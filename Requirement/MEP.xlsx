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filterPrivacy="1" defaultThemeVersion="124226"/>
  <xr:revisionPtr revIDLastSave="0" documentId="13_ncr:1_{8FF5E5D8-E0F6-4A25-AC39-93C5C85E308F}" xr6:coauthVersionLast="47" xr6:coauthVersionMax="47" xr10:uidLastSave="{00000000-0000-0000-0000-000000000000}"/>
  <bookViews>
    <workbookView xWindow="28680" yWindow="-2730" windowWidth="29040" windowHeight="15840" tabRatio="456" xr2:uid="{00000000-000D-0000-FFFF-FFFF00000000}"/>
  </bookViews>
  <sheets>
    <sheet name="PB " sheetId="1" r:id="rId1"/>
    <sheet name="Salary Slip" sheetId="17" r:id="rId2"/>
    <sheet name="Wage Statement" sheetId="18" state="hidden" r:id="rId3"/>
    <sheet name="Offsigners" sheetId="28" r:id="rId4"/>
    <sheet name="ALLOWANCE " sheetId="3" r:id="rId5"/>
    <sheet name="Allotment Sheet" sheetId="21" r:id="rId6"/>
    <sheet name="Discretionary Account" sheetId="6" state="hidden" r:id="rId7"/>
    <sheet name="MCA" sheetId="25" r:id="rId8"/>
    <sheet name="Calling - Chart Cards Statement" sheetId="23" r:id="rId9"/>
    <sheet name="Welfare Account" sheetId="26" r:id="rId10"/>
  </sheets>
  <definedNames>
    <definedName name="_xlnm._FilterDatabase" localSheetId="0" hidden="1">'PB '!$B$5:$X$46</definedName>
    <definedName name="_xlnm.Print_Area" localSheetId="5">'Allotment Sheet'!$A$1:$Q$48</definedName>
    <definedName name="_xlnm.Print_Area" localSheetId="8">'Calling - Chart Cards Statement'!$A$1:$J$50</definedName>
    <definedName name="_xlnm.Print_Area" localSheetId="3">Offsigners!$A$1:$M$698</definedName>
    <definedName name="_xlnm.Print_Area" localSheetId="0">'PB '!$A$1:$Y$48</definedName>
    <definedName name="_xlnm.Print_Area" localSheetId="1">'Salary Slip'!$A$1:$M$1120</definedName>
    <definedName name="_xlnm.Print_Area" localSheetId="2">'Wage Statement'!$B$2:$M$249</definedName>
    <definedName name="_xlnm.Print_Area" localSheetId="9">'Welfare Account'!$A$1:$E$23</definedName>
    <definedName name="_xlnm.Print_Titles" localSheetId="5">'Allotment Sheet'!$3:$3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8" i="28" l="1"/>
  <c r="J306" i="28"/>
  <c r="J304" i="28"/>
  <c r="J298" i="28"/>
  <c r="J297" i="28"/>
  <c r="F293" i="28"/>
  <c r="D293" i="28"/>
  <c r="I287" i="28"/>
  <c r="C287" i="28"/>
  <c r="M41" i="1"/>
  <c r="N41" i="1"/>
  <c r="O41" i="1"/>
  <c r="Q41" i="1"/>
  <c r="S41" i="1"/>
  <c r="T41" i="1"/>
  <c r="V41" i="1"/>
  <c r="G40" i="1"/>
  <c r="K40" i="1" s="1"/>
  <c r="J946" i="17"/>
  <c r="H293" i="28" l="1"/>
  <c r="H40" i="1"/>
  <c r="I40" i="1"/>
  <c r="J40" i="1"/>
  <c r="J248" i="17"/>
  <c r="J203" i="17"/>
  <c r="P40" i="1" l="1"/>
  <c r="R40" i="1" s="1"/>
  <c r="J277" i="28"/>
  <c r="J257" i="28"/>
  <c r="G249" i="28"/>
  <c r="G248" i="28"/>
  <c r="G247" i="28"/>
  <c r="G246" i="28"/>
  <c r="F205" i="28"/>
  <c r="F204" i="28"/>
  <c r="F203" i="28"/>
  <c r="F202" i="28"/>
  <c r="F249" i="28"/>
  <c r="F248" i="28"/>
  <c r="F247" i="28"/>
  <c r="F246" i="28"/>
  <c r="E249" i="28"/>
  <c r="E248" i="28"/>
  <c r="E247" i="28"/>
  <c r="E246" i="28"/>
  <c r="D246" i="28"/>
  <c r="D248" i="28" s="1"/>
  <c r="L243" i="28"/>
  <c r="I240" i="28"/>
  <c r="C240" i="28"/>
  <c r="C277" i="28" s="1"/>
  <c r="J261" i="28"/>
  <c r="J259" i="28"/>
  <c r="J249" i="28"/>
  <c r="J248" i="28"/>
  <c r="J247" i="28"/>
  <c r="J233" i="28"/>
  <c r="J213" i="28"/>
  <c r="G205" i="28"/>
  <c r="G204" i="28"/>
  <c r="G203" i="28"/>
  <c r="G202" i="28"/>
  <c r="E205" i="28"/>
  <c r="E204" i="28"/>
  <c r="E203" i="28"/>
  <c r="E202" i="28"/>
  <c r="D202" i="28"/>
  <c r="D203" i="28" s="1"/>
  <c r="L199" i="28"/>
  <c r="I196" i="28"/>
  <c r="C196" i="28"/>
  <c r="C233" i="28" s="1"/>
  <c r="J217" i="28"/>
  <c r="J215" i="28"/>
  <c r="J205" i="28"/>
  <c r="J204" i="28"/>
  <c r="J203" i="28"/>
  <c r="J186" i="28"/>
  <c r="J168" i="28"/>
  <c r="J166" i="28"/>
  <c r="G158" i="28"/>
  <c r="G157" i="28"/>
  <c r="G156" i="28"/>
  <c r="G155" i="28"/>
  <c r="E158" i="28"/>
  <c r="E157" i="28"/>
  <c r="E156" i="28"/>
  <c r="E155" i="28"/>
  <c r="F158" i="28"/>
  <c r="F157" i="28"/>
  <c r="F156" i="28"/>
  <c r="F155" i="28"/>
  <c r="D155" i="28"/>
  <c r="D157" i="28" s="1"/>
  <c r="L152" i="28"/>
  <c r="I149" i="28"/>
  <c r="C149" i="28"/>
  <c r="C186" i="28" s="1"/>
  <c r="J156" i="28"/>
  <c r="J157" i="28"/>
  <c r="J158" i="28"/>
  <c r="J170" i="28"/>
  <c r="J123" i="28"/>
  <c r="J74" i="28"/>
  <c r="J76" i="28"/>
  <c r="J121" i="28"/>
  <c r="J120" i="28"/>
  <c r="J119" i="28"/>
  <c r="F111" i="28"/>
  <c r="F110" i="28"/>
  <c r="F108" i="28"/>
  <c r="F109" i="28"/>
  <c r="D108" i="28"/>
  <c r="F64" i="28"/>
  <c r="F63" i="28"/>
  <c r="F62" i="28"/>
  <c r="F61" i="28"/>
  <c r="D61" i="28"/>
  <c r="L105" i="28"/>
  <c r="L58" i="28"/>
  <c r="I102" i="28"/>
  <c r="C102" i="28"/>
  <c r="J72" i="28"/>
  <c r="I55" i="28"/>
  <c r="C55" i="28"/>
  <c r="U40" i="1" l="1"/>
  <c r="W40" i="1" s="1"/>
  <c r="J305" i="28"/>
  <c r="D247" i="28"/>
  <c r="D249" i="28"/>
  <c r="D204" i="28"/>
  <c r="D205" i="28"/>
  <c r="D156" i="28"/>
  <c r="D158" i="28"/>
  <c r="I31" i="21"/>
  <c r="C34" i="21"/>
  <c r="C33" i="21"/>
  <c r="B34" i="21"/>
  <c r="B33" i="21"/>
  <c r="C32" i="21"/>
  <c r="B32" i="21"/>
  <c r="C31" i="21"/>
  <c r="B31" i="21"/>
  <c r="C30" i="21"/>
  <c r="B30" i="21"/>
  <c r="C29" i="21"/>
  <c r="B29" i="21"/>
  <c r="C19" i="3"/>
  <c r="C18" i="3"/>
  <c r="J340" i="17"/>
  <c r="L39" i="1" l="1"/>
  <c r="J250" i="28" s="1"/>
  <c r="G39" i="1"/>
  <c r="L38" i="1"/>
  <c r="J206" i="28" s="1"/>
  <c r="G38" i="1"/>
  <c r="L15" i="1"/>
  <c r="L37" i="1"/>
  <c r="J159" i="28" s="1"/>
  <c r="G37" i="1"/>
  <c r="U36" i="1"/>
  <c r="L36" i="1"/>
  <c r="J112" i="28" s="1"/>
  <c r="G36" i="1"/>
  <c r="L11" i="1"/>
  <c r="C92" i="28"/>
  <c r="D64" i="28"/>
  <c r="E61" i="28"/>
  <c r="G61" i="28"/>
  <c r="E62" i="28"/>
  <c r="G62" i="28"/>
  <c r="D63" i="28"/>
  <c r="E63" i="28"/>
  <c r="G63" i="28"/>
  <c r="E64" i="28"/>
  <c r="G64" i="28"/>
  <c r="B65" i="28"/>
  <c r="J92" i="28"/>
  <c r="K36" i="1" l="1"/>
  <c r="H108" i="28"/>
  <c r="K39" i="1"/>
  <c r="H246" i="28"/>
  <c r="J246" i="28" s="1"/>
  <c r="J252" i="28" s="1"/>
  <c r="L252" i="28" s="1"/>
  <c r="L253" i="28" s="1"/>
  <c r="J38" i="1"/>
  <c r="H202" i="28"/>
  <c r="J202" i="28" s="1"/>
  <c r="J208" i="28" s="1"/>
  <c r="L208" i="28" s="1"/>
  <c r="L209" i="28" s="1"/>
  <c r="J37" i="1"/>
  <c r="H155" i="28"/>
  <c r="J155" i="28" s="1"/>
  <c r="J161" i="28" s="1"/>
  <c r="L161" i="28" s="1"/>
  <c r="L162" i="28" s="1"/>
  <c r="D62" i="28"/>
  <c r="H39" i="1"/>
  <c r="I39" i="1"/>
  <c r="J39" i="1"/>
  <c r="P39" i="1" s="1"/>
  <c r="I38" i="1"/>
  <c r="K38" i="1"/>
  <c r="H38" i="1"/>
  <c r="I37" i="1"/>
  <c r="K37" i="1"/>
  <c r="H37" i="1"/>
  <c r="H36" i="1"/>
  <c r="J36" i="1"/>
  <c r="I36" i="1"/>
  <c r="R39" i="1" l="1"/>
  <c r="P38" i="1"/>
  <c r="P37" i="1"/>
  <c r="P36" i="1"/>
  <c r="W36" i="1" s="1"/>
  <c r="I34" i="21" l="1"/>
  <c r="J258" i="28"/>
  <c r="J263" i="28" s="1"/>
  <c r="L263" i="28" s="1"/>
  <c r="L266" i="28" s="1"/>
  <c r="U39" i="1"/>
  <c r="W39" i="1" s="1"/>
  <c r="R38" i="1"/>
  <c r="J214" i="28" s="1"/>
  <c r="J219" i="28" s="1"/>
  <c r="L219" i="28" s="1"/>
  <c r="L222" i="28" s="1"/>
  <c r="R37" i="1"/>
  <c r="J167" i="28" s="1"/>
  <c r="J172" i="28" s="1"/>
  <c r="L172" i="28" s="1"/>
  <c r="L175" i="28" s="1"/>
  <c r="D15" i="28"/>
  <c r="D14" i="28"/>
  <c r="D13" i="28"/>
  <c r="L35" i="1"/>
  <c r="J65" i="28" s="1"/>
  <c r="G35" i="1"/>
  <c r="L34" i="1"/>
  <c r="L41" i="1" s="1"/>
  <c r="G34" i="1"/>
  <c r="K34" i="1" s="1"/>
  <c r="K41" i="1" s="1"/>
  <c r="J35" i="1" l="1"/>
  <c r="H64" i="28"/>
  <c r="J64" i="28" s="1"/>
  <c r="H63" i="28"/>
  <c r="J63" i="28" s="1"/>
  <c r="H62" i="28"/>
  <c r="J62" i="28" s="1"/>
  <c r="H61" i="28"/>
  <c r="J61" i="28" s="1"/>
  <c r="U37" i="1"/>
  <c r="W37" i="1" s="1"/>
  <c r="I32" i="21"/>
  <c r="U38" i="1"/>
  <c r="W38" i="1" s="1"/>
  <c r="I33" i="21"/>
  <c r="I35" i="1"/>
  <c r="H35" i="1"/>
  <c r="H34" i="1"/>
  <c r="H41" i="1" s="1"/>
  <c r="I34" i="1"/>
  <c r="I41" i="1" s="1"/>
  <c r="J34" i="1"/>
  <c r="J41" i="1" s="1"/>
  <c r="J67" i="28" l="1"/>
  <c r="L67" i="28" s="1"/>
  <c r="L68" i="28" s="1"/>
  <c r="P35" i="1"/>
  <c r="R35" i="1" s="1"/>
  <c r="J73" i="28" s="1"/>
  <c r="J78" i="28" s="1"/>
  <c r="L78" i="28" s="1"/>
  <c r="L81" i="28" s="1"/>
  <c r="P34" i="1"/>
  <c r="P41" i="1" l="1"/>
  <c r="U35" i="1"/>
  <c r="W35" i="1" s="1"/>
  <c r="I30" i="21"/>
  <c r="R34" i="1"/>
  <c r="R41" i="1" s="1"/>
  <c r="U34" i="1" l="1"/>
  <c r="I29" i="21"/>
  <c r="L7" i="1"/>
  <c r="W34" i="1" l="1"/>
  <c r="W41" i="1" s="1"/>
  <c r="U41" i="1"/>
  <c r="G29" i="1"/>
  <c r="G28" i="1"/>
  <c r="K28" i="1" s="1"/>
  <c r="G14" i="1"/>
  <c r="K14" i="1" s="1"/>
  <c r="G11" i="1"/>
  <c r="G12" i="1"/>
  <c r="K12" i="1" s="1"/>
  <c r="G7" i="1"/>
  <c r="K7" i="1" s="1"/>
  <c r="L29" i="1" l="1"/>
  <c r="L28" i="1"/>
  <c r="J945" i="17" s="1"/>
  <c r="L12" i="1"/>
  <c r="J247" i="17" s="1"/>
  <c r="J1039" i="17" l="1"/>
  <c r="J294" i="17"/>
  <c r="I146" i="17" l="1"/>
  <c r="B4" i="21" l="1"/>
  <c r="J29" i="28" l="1"/>
  <c r="L9" i="28"/>
  <c r="F15" i="28"/>
  <c r="F14" i="28"/>
  <c r="F13" i="28"/>
  <c r="F290" i="17"/>
  <c r="H14" i="28" l="1"/>
  <c r="J14" i="28" s="1"/>
  <c r="H15" i="28"/>
  <c r="J15" i="28" s="1"/>
  <c r="H13" i="28"/>
  <c r="H12" i="28"/>
  <c r="B9" i="21" l="1"/>
  <c r="I1078" i="17" l="1"/>
  <c r="F1084" i="17"/>
  <c r="F1087" i="17" s="1"/>
  <c r="F1035" i="17"/>
  <c r="F1038" i="17" s="1"/>
  <c r="F988" i="17"/>
  <c r="F991" i="17" s="1"/>
  <c r="F941" i="17"/>
  <c r="F944" i="17" s="1"/>
  <c r="F894" i="17"/>
  <c r="F897" i="17" s="1"/>
  <c r="F848" i="17"/>
  <c r="F851" i="17" s="1"/>
  <c r="F801" i="17"/>
  <c r="F804" i="17" s="1"/>
  <c r="F755" i="17"/>
  <c r="F756" i="17" s="1"/>
  <c r="F707" i="17"/>
  <c r="F710" i="17" s="1"/>
  <c r="F660" i="17"/>
  <c r="F663" i="17" s="1"/>
  <c r="F614" i="17"/>
  <c r="F615" i="17" s="1"/>
  <c r="F567" i="17"/>
  <c r="F570" i="17" s="1"/>
  <c r="I561" i="17"/>
  <c r="F520" i="17"/>
  <c r="F523" i="17" s="1"/>
  <c r="F757" i="17" l="1"/>
  <c r="F758" i="17"/>
  <c r="F522" i="17"/>
  <c r="F989" i="17"/>
  <c r="F990" i="17"/>
  <c r="F521" i="17"/>
  <c r="F1085" i="17"/>
  <c r="F1086" i="17"/>
  <c r="F1037" i="17"/>
  <c r="F1036" i="17"/>
  <c r="F942" i="17"/>
  <c r="F943" i="17"/>
  <c r="F896" i="17"/>
  <c r="F895" i="17"/>
  <c r="F849" i="17"/>
  <c r="F850" i="17"/>
  <c r="F803" i="17"/>
  <c r="F802" i="17"/>
  <c r="F708" i="17"/>
  <c r="F709" i="17"/>
  <c r="F662" i="17"/>
  <c r="F661" i="17"/>
  <c r="F616" i="17"/>
  <c r="F617" i="17"/>
  <c r="F568" i="17"/>
  <c r="F569" i="17"/>
  <c r="F474" i="17"/>
  <c r="F475" i="17" s="1"/>
  <c r="G474" i="17"/>
  <c r="F428" i="17"/>
  <c r="F431" i="17" s="1"/>
  <c r="F382" i="17"/>
  <c r="F385" i="17" s="1"/>
  <c r="F336" i="17"/>
  <c r="F337" i="17" s="1"/>
  <c r="F292" i="17"/>
  <c r="D290" i="17"/>
  <c r="D293" i="17" s="1"/>
  <c r="E290" i="17"/>
  <c r="E291" i="17" s="1"/>
  <c r="E292" i="17" s="1"/>
  <c r="E293" i="17" s="1"/>
  <c r="G290" i="17"/>
  <c r="G291" i="17" s="1"/>
  <c r="G292" i="17" s="1"/>
  <c r="G293" i="17" s="1"/>
  <c r="F243" i="17"/>
  <c r="F383" i="17" l="1"/>
  <c r="F384" i="17"/>
  <c r="F293" i="17"/>
  <c r="D291" i="17"/>
  <c r="D292" i="17"/>
  <c r="F338" i="17"/>
  <c r="F476" i="17"/>
  <c r="F477" i="17"/>
  <c r="F339" i="17"/>
  <c r="F291" i="17"/>
  <c r="F430" i="17"/>
  <c r="F429" i="17"/>
  <c r="F246" i="17"/>
  <c r="F245" i="17"/>
  <c r="F244" i="17"/>
  <c r="F198" i="17"/>
  <c r="F201" i="17" s="1"/>
  <c r="F152" i="17"/>
  <c r="F154" i="17" s="1"/>
  <c r="F200" i="17" l="1"/>
  <c r="F199" i="17"/>
  <c r="F155" i="17"/>
  <c r="F153" i="17"/>
  <c r="J63" i="17"/>
  <c r="J62" i="17"/>
  <c r="F61" i="17"/>
  <c r="F60" i="17"/>
  <c r="F59" i="17"/>
  <c r="F58" i="17"/>
  <c r="F15" i="17"/>
  <c r="F14" i="17"/>
  <c r="F13" i="17"/>
  <c r="F12" i="17"/>
  <c r="G21" i="1" l="1"/>
  <c r="G22" i="1"/>
  <c r="G23" i="1"/>
  <c r="G24" i="1"/>
  <c r="K24" i="1" s="1"/>
  <c r="G25" i="1"/>
  <c r="G26" i="1"/>
  <c r="G27" i="1"/>
  <c r="G30" i="1"/>
  <c r="G31" i="1"/>
  <c r="G20" i="1"/>
  <c r="K20" i="1" s="1"/>
  <c r="G17" i="1"/>
  <c r="K17" i="1" s="1"/>
  <c r="G16" i="1"/>
  <c r="G13" i="1"/>
  <c r="H290" i="17" s="1"/>
  <c r="G9" i="1"/>
  <c r="G10" i="1"/>
  <c r="K10" i="1" l="1"/>
  <c r="J10" i="1"/>
  <c r="I10" i="1"/>
  <c r="H10" i="1"/>
  <c r="K9" i="1"/>
  <c r="J9" i="1"/>
  <c r="I9" i="1"/>
  <c r="H9" i="1"/>
  <c r="J12" i="1"/>
  <c r="H293" i="17"/>
  <c r="J13" i="1"/>
  <c r="I13" i="1"/>
  <c r="H13" i="1"/>
  <c r="K13" i="1"/>
  <c r="K31" i="1"/>
  <c r="J31" i="1"/>
  <c r="H31" i="1"/>
  <c r="I31" i="1"/>
  <c r="J30" i="1"/>
  <c r="K30" i="1"/>
  <c r="K27" i="1"/>
  <c r="J27" i="1"/>
  <c r="K26" i="1"/>
  <c r="J26" i="1"/>
  <c r="K25" i="1"/>
  <c r="J25" i="1"/>
  <c r="K23" i="1"/>
  <c r="J23" i="1"/>
  <c r="K22" i="1"/>
  <c r="J22" i="1"/>
  <c r="K21" i="1"/>
  <c r="J21" i="1"/>
  <c r="J527" i="28"/>
  <c r="I425" i="28"/>
  <c r="J538" i="28"/>
  <c r="J536" i="28"/>
  <c r="J534" i="28"/>
  <c r="I517" i="28"/>
  <c r="C517" i="28"/>
  <c r="J528" i="28"/>
  <c r="G526" i="28"/>
  <c r="G525" i="28"/>
  <c r="G524" i="28"/>
  <c r="G523" i="28"/>
  <c r="F523" i="28"/>
  <c r="F525" i="28" s="1"/>
  <c r="E526" i="28"/>
  <c r="E525" i="28"/>
  <c r="E524" i="28"/>
  <c r="E523" i="28"/>
  <c r="D523" i="28"/>
  <c r="D525" i="28" s="1"/>
  <c r="J492" i="28"/>
  <c r="J490" i="28"/>
  <c r="J488" i="28"/>
  <c r="G480" i="28"/>
  <c r="G479" i="28"/>
  <c r="G478" i="28"/>
  <c r="G477" i="28"/>
  <c r="F477" i="28"/>
  <c r="F478" i="28" s="1"/>
  <c r="E480" i="28"/>
  <c r="E479" i="28"/>
  <c r="E478" i="28"/>
  <c r="E477" i="28"/>
  <c r="D477" i="28"/>
  <c r="D479" i="28" s="1"/>
  <c r="I471" i="28"/>
  <c r="C471" i="28"/>
  <c r="J482" i="28"/>
  <c r="J481" i="28"/>
  <c r="J446" i="28"/>
  <c r="J444" i="28"/>
  <c r="J442" i="28"/>
  <c r="G434" i="28"/>
  <c r="G433" i="28"/>
  <c r="G432" i="28"/>
  <c r="G431" i="28"/>
  <c r="F431" i="28"/>
  <c r="F433" i="28" s="1"/>
  <c r="E434" i="28"/>
  <c r="E433" i="28"/>
  <c r="E432" i="28"/>
  <c r="E431" i="28"/>
  <c r="D431" i="28"/>
  <c r="D432" i="28" s="1"/>
  <c r="C425" i="28"/>
  <c r="J436" i="28"/>
  <c r="J435" i="28"/>
  <c r="J390" i="28"/>
  <c r="J389" i="28"/>
  <c r="J400" i="28"/>
  <c r="J398" i="28"/>
  <c r="J396" i="28"/>
  <c r="G388" i="28"/>
  <c r="G387" i="28"/>
  <c r="G386" i="28"/>
  <c r="G385" i="28"/>
  <c r="F385" i="28"/>
  <c r="F386" i="28" s="1"/>
  <c r="E388" i="28"/>
  <c r="E387" i="28"/>
  <c r="E386" i="28"/>
  <c r="E385" i="28"/>
  <c r="D385" i="28"/>
  <c r="D388" i="28" s="1"/>
  <c r="D339" i="28"/>
  <c r="I379" i="28"/>
  <c r="C379" i="28"/>
  <c r="D524" i="28" l="1"/>
  <c r="D526" i="28"/>
  <c r="H291" i="17"/>
  <c r="H292" i="17"/>
  <c r="D478" i="28"/>
  <c r="D386" i="28"/>
  <c r="D480" i="28"/>
  <c r="F526" i="28"/>
  <c r="F479" i="28"/>
  <c r="D433" i="28"/>
  <c r="F524" i="28"/>
  <c r="F432" i="28"/>
  <c r="F434" i="28"/>
  <c r="F480" i="28"/>
  <c r="D434" i="28"/>
  <c r="F387" i="28"/>
  <c r="D387" i="28"/>
  <c r="F388" i="28"/>
  <c r="J354" i="28"/>
  <c r="J352" i="28"/>
  <c r="J350" i="28"/>
  <c r="J344" i="28"/>
  <c r="J343" i="28"/>
  <c r="G342" i="28"/>
  <c r="G341" i="28"/>
  <c r="G340" i="28"/>
  <c r="G339" i="28"/>
  <c r="F339" i="28"/>
  <c r="F341" i="28" s="1"/>
  <c r="E342" i="28"/>
  <c r="E341" i="28"/>
  <c r="E340" i="28"/>
  <c r="E339" i="28"/>
  <c r="D340" i="28"/>
  <c r="I333" i="28"/>
  <c r="C333" i="28"/>
  <c r="G296" i="28"/>
  <c r="G295" i="28"/>
  <c r="G294" i="28"/>
  <c r="G293" i="28"/>
  <c r="F296" i="28"/>
  <c r="E296" i="28"/>
  <c r="E295" i="28"/>
  <c r="E294" i="28"/>
  <c r="E293" i="28"/>
  <c r="D294" i="28"/>
  <c r="D295" i="28" l="1"/>
  <c r="F342" i="28"/>
  <c r="F340" i="28"/>
  <c r="D341" i="28"/>
  <c r="D342" i="28"/>
  <c r="F295" i="28"/>
  <c r="F294" i="28"/>
  <c r="D296" i="28"/>
  <c r="J18" i="28"/>
  <c r="J17" i="28"/>
  <c r="J16" i="28"/>
  <c r="G111" i="28"/>
  <c r="G110" i="28"/>
  <c r="G109" i="28"/>
  <c r="G108" i="28"/>
  <c r="E111" i="28"/>
  <c r="E110" i="28"/>
  <c r="E109" i="28"/>
  <c r="E108" i="28"/>
  <c r="D111" i="28"/>
  <c r="J28" i="28"/>
  <c r="J26" i="28"/>
  <c r="J24" i="28"/>
  <c r="F12" i="28"/>
  <c r="D12" i="28"/>
  <c r="I6" i="28"/>
  <c r="C6" i="28"/>
  <c r="D109" i="28" l="1"/>
  <c r="D110" i="28"/>
  <c r="H523" i="28" l="1"/>
  <c r="H477" i="28"/>
  <c r="J477" i="28" s="1"/>
  <c r="H431" i="28"/>
  <c r="J431" i="28" s="1"/>
  <c r="H385" i="28"/>
  <c r="H339" i="28"/>
  <c r="C22" i="23"/>
  <c r="C23" i="23"/>
  <c r="C24" i="23"/>
  <c r="C25" i="23"/>
  <c r="C26" i="23"/>
  <c r="C27" i="23"/>
  <c r="C28" i="23"/>
  <c r="C29" i="23"/>
  <c r="B26" i="23"/>
  <c r="B27" i="23"/>
  <c r="B28" i="23"/>
  <c r="B29" i="23"/>
  <c r="B24" i="23"/>
  <c r="B25" i="23"/>
  <c r="C10" i="23"/>
  <c r="B10" i="23"/>
  <c r="J111" i="28" l="1"/>
  <c r="J109" i="28"/>
  <c r="J108" i="28"/>
  <c r="J293" i="28"/>
  <c r="H524" i="28"/>
  <c r="J524" i="28" s="1"/>
  <c r="H526" i="28"/>
  <c r="J526" i="28" s="1"/>
  <c r="H525" i="28"/>
  <c r="J525" i="28" s="1"/>
  <c r="J523" i="28"/>
  <c r="H480" i="28"/>
  <c r="J480" i="28" s="1"/>
  <c r="H479" i="28"/>
  <c r="J479" i="28" s="1"/>
  <c r="H478" i="28"/>
  <c r="J478" i="28" s="1"/>
  <c r="H433" i="28"/>
  <c r="J433" i="28" s="1"/>
  <c r="H434" i="28"/>
  <c r="J434" i="28" s="1"/>
  <c r="H432" i="28"/>
  <c r="J432" i="28" s="1"/>
  <c r="H388" i="28"/>
  <c r="J388" i="28" s="1"/>
  <c r="H386" i="28"/>
  <c r="J386" i="28" s="1"/>
  <c r="H387" i="28"/>
  <c r="J387" i="28" s="1"/>
  <c r="J385" i="28"/>
  <c r="H341" i="28"/>
  <c r="H342" i="28"/>
  <c r="H340" i="28"/>
  <c r="H294" i="28"/>
  <c r="J294" i="28" s="1"/>
  <c r="H295" i="28"/>
  <c r="J295" i="28" s="1"/>
  <c r="H296" i="28"/>
  <c r="J296" i="28" s="1"/>
  <c r="J110" i="28"/>
  <c r="J909" i="17"/>
  <c r="L891" i="17"/>
  <c r="J299" i="28" l="1"/>
  <c r="J535" i="28"/>
  <c r="J489" i="28"/>
  <c r="J397" i="28"/>
  <c r="L845" i="17"/>
  <c r="J443" i="28" l="1"/>
  <c r="J351" i="28"/>
  <c r="J25" i="28"/>
  <c r="R16" i="28" s="1"/>
  <c r="J952" i="17"/>
  <c r="G15" i="1" l="1"/>
  <c r="K15" i="1" s="1"/>
  <c r="J993" i="17" l="1"/>
  <c r="J387" i="17"/>
  <c r="G8" i="1" l="1"/>
  <c r="K8" i="1" l="1"/>
  <c r="J8" i="1"/>
  <c r="J954" i="17" l="1"/>
  <c r="J525" i="17" l="1"/>
  <c r="J202" i="17"/>
  <c r="J157" i="17"/>
  <c r="G19" i="1" l="1"/>
  <c r="K19" i="1" s="1"/>
  <c r="H11" i="1"/>
  <c r="I11" i="1" l="1"/>
  <c r="J11" i="1"/>
  <c r="C16" i="21" l="1"/>
  <c r="C17" i="21"/>
  <c r="C18" i="21"/>
  <c r="C19" i="21"/>
  <c r="C20" i="21"/>
  <c r="C21" i="21"/>
  <c r="C22" i="21"/>
  <c r="C23" i="21"/>
  <c r="C24" i="21"/>
  <c r="C25" i="21"/>
  <c r="C26" i="21"/>
  <c r="C27" i="21"/>
  <c r="C15" i="21"/>
  <c r="C5" i="21"/>
  <c r="C8" i="21"/>
  <c r="C9" i="21"/>
  <c r="C10" i="21"/>
  <c r="C11" i="21"/>
  <c r="C12" i="21"/>
  <c r="C13" i="21"/>
  <c r="C14" i="21"/>
  <c r="C4" i="21"/>
  <c r="J395" i="17" l="1"/>
  <c r="J956" i="17" l="1"/>
  <c r="L938" i="17"/>
  <c r="D941" i="17"/>
  <c r="I935" i="17"/>
  <c r="C935" i="17"/>
  <c r="J899" i="17"/>
  <c r="J853" i="17"/>
  <c r="J806" i="17"/>
  <c r="J760" i="17"/>
  <c r="J712" i="17"/>
  <c r="J665" i="17"/>
  <c r="J619" i="17"/>
  <c r="J572" i="17"/>
  <c r="J433" i="17"/>
  <c r="J524" i="17" l="1"/>
  <c r="H13" i="3" l="1"/>
  <c r="D13" i="3"/>
  <c r="F20" i="3"/>
  <c r="H18" i="3"/>
  <c r="B24" i="21" l="1"/>
  <c r="D18" i="3" l="1"/>
  <c r="C8" i="3"/>
  <c r="J992" i="17"/>
  <c r="J156" i="17"/>
  <c r="J46" i="28"/>
  <c r="J28" i="1" l="1"/>
  <c r="H941" i="17"/>
  <c r="H28" i="1"/>
  <c r="I28" i="1"/>
  <c r="D755" i="17"/>
  <c r="J908" i="17"/>
  <c r="J907" i="17"/>
  <c r="J905" i="17"/>
  <c r="J898" i="17"/>
  <c r="D894" i="17"/>
  <c r="I888" i="17"/>
  <c r="C888" i="17"/>
  <c r="P28" i="1" l="1"/>
  <c r="R28" i="1" s="1"/>
  <c r="J953" i="17" l="1"/>
  <c r="J139" i="28"/>
  <c r="U28" i="1" l="1"/>
  <c r="W28" i="1" s="1"/>
  <c r="I24" i="21"/>
  <c r="E1084" i="17" l="1"/>
  <c r="E1035" i="17"/>
  <c r="E988" i="17"/>
  <c r="E941" i="17"/>
  <c r="E894" i="17"/>
  <c r="E848" i="17"/>
  <c r="I795" i="17"/>
  <c r="I749" i="17"/>
  <c r="C749" i="17"/>
  <c r="E801" i="17"/>
  <c r="E755" i="17"/>
  <c r="E707" i="17"/>
  <c r="E660" i="17"/>
  <c r="E614" i="17"/>
  <c r="E567" i="17"/>
  <c r="E520" i="17"/>
  <c r="E474" i="17"/>
  <c r="E477" i="17" s="1"/>
  <c r="E428" i="17"/>
  <c r="E431" i="17" s="1"/>
  <c r="E382" i="17"/>
  <c r="E385" i="17" s="1"/>
  <c r="E336" i="17"/>
  <c r="E339" i="17" s="1"/>
  <c r="E429" i="17" l="1"/>
  <c r="E430" i="17"/>
  <c r="E337" i="17"/>
  <c r="E475" i="17"/>
  <c r="E338" i="17"/>
  <c r="E476" i="17"/>
  <c r="E383" i="17"/>
  <c r="E384" i="17"/>
  <c r="D14" i="3"/>
  <c r="C20" i="26" l="1"/>
  <c r="I44" i="21"/>
  <c r="C19" i="25"/>
  <c r="J120" i="17" l="1"/>
  <c r="J118" i="17"/>
  <c r="J116" i="17"/>
  <c r="L102" i="17"/>
  <c r="J110" i="17"/>
  <c r="J109" i="17"/>
  <c r="F105" i="17"/>
  <c r="F108" i="17" s="1"/>
  <c r="D105" i="17"/>
  <c r="D108" i="17" s="1"/>
  <c r="I99" i="17"/>
  <c r="C99" i="17"/>
  <c r="D106" i="17" l="1"/>
  <c r="D107" i="17"/>
  <c r="F106" i="17"/>
  <c r="F107" i="17"/>
  <c r="B16" i="21" l="1"/>
  <c r="B17" i="21"/>
  <c r="B18" i="21"/>
  <c r="B19" i="21"/>
  <c r="B20" i="21"/>
  <c r="B21" i="21"/>
  <c r="B22" i="21"/>
  <c r="B23" i="21"/>
  <c r="B25" i="21"/>
  <c r="B26" i="21"/>
  <c r="B27" i="21"/>
  <c r="B15" i="21"/>
  <c r="B8" i="21"/>
  <c r="B10" i="21"/>
  <c r="B11" i="21"/>
  <c r="B12" i="21"/>
  <c r="B13" i="21"/>
  <c r="B14" i="21"/>
  <c r="B7" i="21"/>
  <c r="B6" i="21"/>
  <c r="B5" i="21"/>
  <c r="D2" i="21"/>
  <c r="B6" i="3"/>
  <c r="J805" i="17" l="1"/>
  <c r="D801" i="17"/>
  <c r="J770" i="17"/>
  <c r="J768" i="17"/>
  <c r="J766" i="17"/>
  <c r="L752" i="17"/>
  <c r="J759" i="17"/>
  <c r="H755" i="17"/>
  <c r="H801" i="17"/>
  <c r="H894" i="17"/>
  <c r="K29" i="1"/>
  <c r="H105" i="17"/>
  <c r="J105" i="17" s="1"/>
  <c r="J16" i="1" l="1"/>
  <c r="I16" i="1"/>
  <c r="H16" i="1"/>
  <c r="H8" i="1"/>
  <c r="I8" i="1"/>
  <c r="J20" i="1"/>
  <c r="I20" i="1"/>
  <c r="H20" i="1"/>
  <c r="H108" i="17"/>
  <c r="H106" i="17"/>
  <c r="H107" i="17"/>
  <c r="J24" i="1"/>
  <c r="I24" i="1"/>
  <c r="H24" i="1"/>
  <c r="P24" i="1" l="1"/>
  <c r="R24" i="1" l="1"/>
  <c r="J767" i="17" s="1"/>
  <c r="I701" i="17"/>
  <c r="I654" i="17"/>
  <c r="I608" i="17"/>
  <c r="J1088" i="17"/>
  <c r="D895" i="17"/>
  <c r="D896" i="17" s="1"/>
  <c r="D897" i="17" s="1"/>
  <c r="J852" i="17"/>
  <c r="J863" i="17"/>
  <c r="J861" i="17"/>
  <c r="J859" i="17"/>
  <c r="D848" i="17"/>
  <c r="I842" i="17"/>
  <c r="C842" i="17"/>
  <c r="J816" i="17"/>
  <c r="J814" i="17"/>
  <c r="J812" i="17"/>
  <c r="C795" i="17"/>
  <c r="I20" i="21" l="1"/>
  <c r="U24" i="1"/>
  <c r="W24" i="1" s="1"/>
  <c r="G243" i="17" l="1"/>
  <c r="G244" i="17" s="1"/>
  <c r="G245" i="17" s="1"/>
  <c r="G246" i="17" s="1"/>
  <c r="E243" i="17"/>
  <c r="E244" i="17" s="1"/>
  <c r="E245" i="17" s="1"/>
  <c r="E246" i="17" s="1"/>
  <c r="E198" i="17" l="1"/>
  <c r="P9" i="1" l="1"/>
  <c r="R9" i="1" s="1"/>
  <c r="J117" i="17" l="1"/>
  <c r="U9" i="1"/>
  <c r="W9" i="1" s="1"/>
  <c r="I6" i="21"/>
  <c r="C139" i="28"/>
  <c r="J694" i="28"/>
  <c r="J678" i="28"/>
  <c r="J676" i="28"/>
  <c r="J674" i="28"/>
  <c r="J668" i="28"/>
  <c r="B668" i="28"/>
  <c r="J667" i="28"/>
  <c r="G666" i="28"/>
  <c r="E666" i="28"/>
  <c r="G665" i="28"/>
  <c r="E665" i="28"/>
  <c r="G664" i="28"/>
  <c r="E664" i="28"/>
  <c r="G663" i="28"/>
  <c r="D663" i="28"/>
  <c r="D665" i="28" s="1"/>
  <c r="L660" i="28"/>
  <c r="C694" i="28"/>
  <c r="J648" i="28"/>
  <c r="J632" i="28"/>
  <c r="J630" i="28"/>
  <c r="J628" i="28"/>
  <c r="J622" i="28"/>
  <c r="B622" i="28"/>
  <c r="J621" i="28"/>
  <c r="G620" i="28"/>
  <c r="E620" i="28"/>
  <c r="G619" i="28"/>
  <c r="E619" i="28"/>
  <c r="G618" i="28"/>
  <c r="E618" i="28"/>
  <c r="G617" i="28"/>
  <c r="D617" i="28"/>
  <c r="D620" i="28" s="1"/>
  <c r="L614" i="28"/>
  <c r="C648" i="28"/>
  <c r="J601" i="28"/>
  <c r="J585" i="28"/>
  <c r="J583" i="28"/>
  <c r="J581" i="28"/>
  <c r="J575" i="28"/>
  <c r="B575" i="28"/>
  <c r="J574" i="28"/>
  <c r="G573" i="28"/>
  <c r="E573" i="28"/>
  <c r="G572" i="28"/>
  <c r="E572" i="28"/>
  <c r="G571" i="28"/>
  <c r="E571" i="28"/>
  <c r="G570" i="28"/>
  <c r="D570" i="28"/>
  <c r="D573" i="28" s="1"/>
  <c r="L567" i="28"/>
  <c r="C601" i="28"/>
  <c r="J554" i="28"/>
  <c r="L520" i="28"/>
  <c r="C554" i="28"/>
  <c r="J508" i="28"/>
  <c r="L474" i="28"/>
  <c r="C508" i="28"/>
  <c r="J462" i="28"/>
  <c r="L428" i="28"/>
  <c r="C462" i="28"/>
  <c r="J416" i="28"/>
  <c r="L382" i="28"/>
  <c r="C416" i="28"/>
  <c r="J370" i="28"/>
  <c r="L336" i="28"/>
  <c r="C370" i="28"/>
  <c r="J324" i="28"/>
  <c r="L290" i="28"/>
  <c r="C324" i="28"/>
  <c r="B16" i="28"/>
  <c r="G15" i="28"/>
  <c r="E15" i="28"/>
  <c r="G14" i="28"/>
  <c r="E14" i="28"/>
  <c r="G13" i="28"/>
  <c r="E13" i="28"/>
  <c r="G12" i="28"/>
  <c r="E12" i="28"/>
  <c r="C4" i="28"/>
  <c r="C53" i="28" s="1"/>
  <c r="C100" i="28" l="1"/>
  <c r="C46" i="28"/>
  <c r="D571" i="28"/>
  <c r="D618" i="28"/>
  <c r="D664" i="28"/>
  <c r="D572" i="28"/>
  <c r="D666" i="28"/>
  <c r="D619" i="28"/>
  <c r="C147" i="28" l="1"/>
  <c r="J13" i="28"/>
  <c r="J12" i="28"/>
  <c r="S32" i="1"/>
  <c r="C238" i="28" l="1"/>
  <c r="C285" i="28" s="1"/>
  <c r="C331" i="28" s="1"/>
  <c r="C377" i="28" s="1"/>
  <c r="C423" i="28" s="1"/>
  <c r="C469" i="28" s="1"/>
  <c r="C515" i="28" s="1"/>
  <c r="C562" i="28" s="1"/>
  <c r="C609" i="28" s="1"/>
  <c r="C655" i="28" s="1"/>
  <c r="C194" i="28"/>
  <c r="J114" i="28"/>
  <c r="L114" i="28" s="1"/>
  <c r="L115" i="28" s="1"/>
  <c r="J19" i="28"/>
  <c r="L19" i="28" s="1"/>
  <c r="L20" i="28" s="1"/>
  <c r="J125" i="28" l="1"/>
  <c r="L125" i="28" s="1"/>
  <c r="L128" i="28" s="1"/>
  <c r="Q32" i="1"/>
  <c r="Q18" i="1"/>
  <c r="J30" i="28" l="1"/>
  <c r="L30" i="28" s="1"/>
  <c r="L33" i="28" s="1"/>
  <c r="H15" i="3"/>
  <c r="J341" i="28" l="1"/>
  <c r="H25" i="1"/>
  <c r="J339" i="28" s="1"/>
  <c r="I25" i="1"/>
  <c r="J340" i="28" s="1"/>
  <c r="J342" i="28"/>
  <c r="P25" i="1" l="1"/>
  <c r="R25" i="1" s="1"/>
  <c r="J813" i="17" l="1"/>
  <c r="U25" i="1" l="1"/>
  <c r="W25" i="1" s="1"/>
  <c r="I21" i="21"/>
  <c r="G201" i="17" l="1"/>
  <c r="G200" i="17"/>
  <c r="G199" i="17"/>
  <c r="G198" i="17"/>
  <c r="E201" i="17"/>
  <c r="E200" i="17"/>
  <c r="E199" i="17"/>
  <c r="H8" i="3"/>
  <c r="H14" i="3"/>
  <c r="E20" i="3"/>
  <c r="D8" i="3"/>
  <c r="D10" i="3"/>
  <c r="D11" i="3"/>
  <c r="D12" i="3"/>
  <c r="D9" i="3"/>
  <c r="C10" i="3"/>
  <c r="C9" i="3"/>
  <c r="I23" i="1" l="1"/>
  <c r="H23" i="1"/>
  <c r="E12" i="26"/>
  <c r="D12" i="26"/>
  <c r="D14" i="26" l="1"/>
  <c r="P23" i="1"/>
  <c r="R23" i="1" s="1"/>
  <c r="H570" i="28" l="1"/>
  <c r="U23" i="1"/>
  <c r="J48" i="23"/>
  <c r="H48" i="23"/>
  <c r="G48" i="23"/>
  <c r="F48" i="23"/>
  <c r="E48" i="23"/>
  <c r="D48" i="23"/>
  <c r="I46" i="23"/>
  <c r="I45" i="23"/>
  <c r="J42" i="23"/>
  <c r="H42" i="23"/>
  <c r="G42" i="23"/>
  <c r="F42" i="23"/>
  <c r="E42" i="23"/>
  <c r="D42" i="23"/>
  <c r="I40" i="23"/>
  <c r="I39" i="23"/>
  <c r="I38" i="23"/>
  <c r="I37" i="23"/>
  <c r="I36" i="23"/>
  <c r="H32" i="23"/>
  <c r="G32" i="23"/>
  <c r="F32" i="23"/>
  <c r="E32" i="23"/>
  <c r="D32" i="23"/>
  <c r="I30" i="23"/>
  <c r="C30" i="23"/>
  <c r="B30" i="23"/>
  <c r="I29" i="23"/>
  <c r="I28" i="23"/>
  <c r="I27" i="23"/>
  <c r="I26" i="23"/>
  <c r="I25" i="23"/>
  <c r="I24" i="23"/>
  <c r="I23" i="23"/>
  <c r="B23" i="23"/>
  <c r="I22" i="23"/>
  <c r="B22" i="23"/>
  <c r="I21" i="23"/>
  <c r="C21" i="23"/>
  <c r="B21" i="23"/>
  <c r="I20" i="23"/>
  <c r="C20" i="23"/>
  <c r="B20" i="23"/>
  <c r="I19" i="23"/>
  <c r="C19" i="23"/>
  <c r="B19" i="23"/>
  <c r="I18" i="23"/>
  <c r="C18" i="23"/>
  <c r="B18" i="23"/>
  <c r="I17" i="23"/>
  <c r="C17" i="23"/>
  <c r="B17" i="23"/>
  <c r="I16" i="23"/>
  <c r="C16" i="23"/>
  <c r="B16" i="23"/>
  <c r="I15" i="23"/>
  <c r="C15" i="23"/>
  <c r="B15" i="23"/>
  <c r="I14" i="23"/>
  <c r="C14" i="23"/>
  <c r="B14" i="23"/>
  <c r="I13" i="23"/>
  <c r="C13" i="23"/>
  <c r="B13" i="23"/>
  <c r="I12" i="23"/>
  <c r="C12" i="23"/>
  <c r="B12" i="23"/>
  <c r="I11" i="23"/>
  <c r="C11" i="23"/>
  <c r="B11" i="23"/>
  <c r="I10" i="23"/>
  <c r="I9" i="23"/>
  <c r="C9" i="23"/>
  <c r="B9" i="23"/>
  <c r="I8" i="23"/>
  <c r="C8" i="23"/>
  <c r="B8" i="23"/>
  <c r="D12" i="25"/>
  <c r="H33" i="6"/>
  <c r="G34" i="6" s="1"/>
  <c r="G33" i="6"/>
  <c r="E30" i="3"/>
  <c r="G20" i="3"/>
  <c r="H19" i="3"/>
  <c r="D19" i="3"/>
  <c r="H17" i="3"/>
  <c r="D17" i="3"/>
  <c r="C17" i="3"/>
  <c r="H16" i="3"/>
  <c r="D16" i="3"/>
  <c r="C16" i="3"/>
  <c r="H12" i="3"/>
  <c r="H11" i="3"/>
  <c r="H10" i="3"/>
  <c r="H9" i="3"/>
  <c r="J249" i="18"/>
  <c r="L236" i="18"/>
  <c r="J228" i="18"/>
  <c r="J227" i="18"/>
  <c r="J226" i="18"/>
  <c r="J225" i="18"/>
  <c r="J224" i="18"/>
  <c r="J230" i="18" s="1"/>
  <c r="L230" i="18" s="1"/>
  <c r="I218" i="18"/>
  <c r="J218" i="18" s="1"/>
  <c r="I217" i="18"/>
  <c r="J217" i="18" s="1"/>
  <c r="I216" i="18"/>
  <c r="I215" i="18"/>
  <c r="I214" i="18"/>
  <c r="I213" i="18"/>
  <c r="H213" i="18"/>
  <c r="H214" i="18" s="1"/>
  <c r="H215" i="18" s="1"/>
  <c r="H216" i="18" s="1"/>
  <c r="L210" i="18"/>
  <c r="L208" i="18"/>
  <c r="H206" i="18"/>
  <c r="C206" i="18"/>
  <c r="C249" i="18" s="1"/>
  <c r="J199" i="18"/>
  <c r="L186" i="18"/>
  <c r="J178" i="18"/>
  <c r="J177" i="18"/>
  <c r="J176" i="18"/>
  <c r="J175" i="18"/>
  <c r="J174" i="18"/>
  <c r="J180" i="18" s="1"/>
  <c r="L180" i="18" s="1"/>
  <c r="I168" i="18"/>
  <c r="J168" i="18" s="1"/>
  <c r="I167" i="18"/>
  <c r="J167" i="18" s="1"/>
  <c r="I166" i="18"/>
  <c r="E166" i="18"/>
  <c r="I165" i="18"/>
  <c r="E165" i="18"/>
  <c r="I164" i="18"/>
  <c r="E164" i="18"/>
  <c r="I163" i="18"/>
  <c r="H163" i="18"/>
  <c r="H164" i="18" s="1"/>
  <c r="H165" i="18" s="1"/>
  <c r="H166" i="18" s="1"/>
  <c r="G163" i="18"/>
  <c r="G165" i="18" s="1"/>
  <c r="F163" i="18"/>
  <c r="F165" i="18" s="1"/>
  <c r="E163" i="18"/>
  <c r="L160" i="18"/>
  <c r="D158" i="18"/>
  <c r="L156" i="18"/>
  <c r="H156" i="18"/>
  <c r="C156" i="18"/>
  <c r="C199" i="18" s="1"/>
  <c r="J149" i="18"/>
  <c r="L136" i="18"/>
  <c r="J128" i="18"/>
  <c r="J127" i="18"/>
  <c r="J126" i="18"/>
  <c r="J125" i="18"/>
  <c r="J124" i="18"/>
  <c r="J130" i="18" s="1"/>
  <c r="L130" i="18" s="1"/>
  <c r="I118" i="18"/>
  <c r="J118" i="18" s="1"/>
  <c r="I117" i="18"/>
  <c r="J117" i="18" s="1"/>
  <c r="I116" i="18"/>
  <c r="G116" i="18"/>
  <c r="F116" i="18"/>
  <c r="E116" i="18"/>
  <c r="I115" i="18"/>
  <c r="G115" i="18"/>
  <c r="F115" i="18"/>
  <c r="E115" i="18"/>
  <c r="I114" i="18"/>
  <c r="G114" i="18"/>
  <c r="F114" i="18"/>
  <c r="E114" i="18"/>
  <c r="I113" i="18"/>
  <c r="H113" i="18"/>
  <c r="H114" i="18" s="1"/>
  <c r="H115" i="18" s="1"/>
  <c r="H116" i="18" s="1"/>
  <c r="G113" i="18"/>
  <c r="F113" i="18"/>
  <c r="E113" i="18"/>
  <c r="L110" i="18"/>
  <c r="H106" i="18"/>
  <c r="C106" i="18"/>
  <c r="C149" i="18" s="1"/>
  <c r="B102" i="18"/>
  <c r="B152" i="18" s="1"/>
  <c r="J99" i="18"/>
  <c r="L86" i="18"/>
  <c r="J78" i="18"/>
  <c r="J77" i="18"/>
  <c r="J76" i="18"/>
  <c r="J75" i="18"/>
  <c r="J74" i="18"/>
  <c r="J80" i="18" s="1"/>
  <c r="L80" i="18" s="1"/>
  <c r="I68" i="18"/>
  <c r="J68" i="18" s="1"/>
  <c r="I67" i="18"/>
  <c r="J67" i="18" s="1"/>
  <c r="I66" i="18"/>
  <c r="G66" i="18"/>
  <c r="F66" i="18"/>
  <c r="E66" i="18"/>
  <c r="I65" i="18"/>
  <c r="G65" i="18"/>
  <c r="F65" i="18"/>
  <c r="E65" i="18"/>
  <c r="I64" i="18"/>
  <c r="G64" i="18"/>
  <c r="F64" i="18"/>
  <c r="E64" i="18"/>
  <c r="I63" i="18"/>
  <c r="H63" i="18"/>
  <c r="H64" i="18" s="1"/>
  <c r="G63" i="18"/>
  <c r="F63" i="18"/>
  <c r="E63" i="18"/>
  <c r="L60" i="18"/>
  <c r="L58" i="18"/>
  <c r="L108" i="18" s="1"/>
  <c r="H56" i="18"/>
  <c r="C56" i="18"/>
  <c r="C99" i="18" s="1"/>
  <c r="H54" i="18"/>
  <c r="H104" i="18" s="1"/>
  <c r="H154" i="18" s="1"/>
  <c r="C54" i="18"/>
  <c r="C104" i="18" s="1"/>
  <c r="C154" i="18" s="1"/>
  <c r="C204" i="18" s="1"/>
  <c r="J49" i="18"/>
  <c r="L36" i="18"/>
  <c r="J28" i="18"/>
  <c r="J27" i="18"/>
  <c r="J26" i="18"/>
  <c r="J25" i="18"/>
  <c r="J24" i="18"/>
  <c r="J30" i="18" s="1"/>
  <c r="L30" i="18" s="1"/>
  <c r="I18" i="18"/>
  <c r="J18" i="18" s="1"/>
  <c r="I17" i="18"/>
  <c r="J17" i="18" s="1"/>
  <c r="I16" i="18"/>
  <c r="G16" i="18"/>
  <c r="F16" i="18"/>
  <c r="E16" i="18"/>
  <c r="I15" i="18"/>
  <c r="G15" i="18"/>
  <c r="F15" i="18"/>
  <c r="E15" i="18"/>
  <c r="I14" i="18"/>
  <c r="G14" i="18"/>
  <c r="F14" i="18"/>
  <c r="E14" i="18"/>
  <c r="I13" i="18"/>
  <c r="H13" i="18"/>
  <c r="H14" i="18" s="1"/>
  <c r="G13" i="18"/>
  <c r="F13" i="18"/>
  <c r="E13" i="18"/>
  <c r="L10" i="18"/>
  <c r="E10" i="18"/>
  <c r="H6" i="18"/>
  <c r="C6" i="18"/>
  <c r="C49" i="18" s="1"/>
  <c r="L4" i="18"/>
  <c r="L54" i="18" s="1"/>
  <c r="L104" i="18" s="1"/>
  <c r="L154" i="18" s="1"/>
  <c r="J1115" i="17"/>
  <c r="J1099" i="17"/>
  <c r="J1097" i="17"/>
  <c r="J1095" i="17"/>
  <c r="J1089" i="17"/>
  <c r="D1087" i="17"/>
  <c r="D1086" i="17"/>
  <c r="G1086" i="17"/>
  <c r="L1081" i="17"/>
  <c r="C1078" i="17"/>
  <c r="C1115" i="17" s="1"/>
  <c r="J1066" i="17"/>
  <c r="J1050" i="17"/>
  <c r="J1048" i="17"/>
  <c r="J1046" i="17"/>
  <c r="J1040" i="17"/>
  <c r="B1040" i="17"/>
  <c r="G1035" i="17"/>
  <c r="D1035" i="17"/>
  <c r="D1037" i="17" s="1"/>
  <c r="L1032" i="17"/>
  <c r="C1029" i="17"/>
  <c r="C1066" i="17" s="1"/>
  <c r="J1019" i="17"/>
  <c r="J1003" i="17"/>
  <c r="J1001" i="17"/>
  <c r="J999" i="17"/>
  <c r="D988" i="17"/>
  <c r="D990" i="17" s="1"/>
  <c r="L985" i="17"/>
  <c r="C982" i="17"/>
  <c r="C1019" i="17" s="1"/>
  <c r="J972" i="17"/>
  <c r="G942" i="17"/>
  <c r="D942" i="17"/>
  <c r="C972" i="17"/>
  <c r="J925" i="17"/>
  <c r="G895" i="17"/>
  <c r="C925" i="17"/>
  <c r="J879" i="17"/>
  <c r="E850" i="17"/>
  <c r="G849" i="17"/>
  <c r="E849" i="17"/>
  <c r="D851" i="17"/>
  <c r="C879" i="17"/>
  <c r="J832" i="17"/>
  <c r="E803" i="17"/>
  <c r="G802" i="17"/>
  <c r="G803" i="17"/>
  <c r="D802" i="17"/>
  <c r="L798" i="17"/>
  <c r="C832" i="17"/>
  <c r="J786" i="17"/>
  <c r="C786" i="17"/>
  <c r="H758" i="17"/>
  <c r="J758" i="17" s="1"/>
  <c r="G758" i="17"/>
  <c r="D758" i="17"/>
  <c r="H757" i="17"/>
  <c r="J757" i="17" s="1"/>
  <c r="G757" i="17"/>
  <c r="D757" i="17"/>
  <c r="H756" i="17"/>
  <c r="J756" i="17" s="1"/>
  <c r="E756" i="17"/>
  <c r="D756" i="17"/>
  <c r="G755" i="17"/>
  <c r="E757" i="17"/>
  <c r="J738" i="17"/>
  <c r="J722" i="17"/>
  <c r="J720" i="17"/>
  <c r="J718" i="17"/>
  <c r="J711" i="17"/>
  <c r="E709" i="17"/>
  <c r="D707" i="17"/>
  <c r="D709" i="17" s="1"/>
  <c r="L704" i="17"/>
  <c r="C701" i="17"/>
  <c r="C738" i="17" s="1"/>
  <c r="J691" i="17"/>
  <c r="J675" i="17"/>
  <c r="J673" i="17"/>
  <c r="J671" i="17"/>
  <c r="G661" i="17"/>
  <c r="D660" i="17"/>
  <c r="D661" i="17" s="1"/>
  <c r="L657" i="17"/>
  <c r="C654" i="17"/>
  <c r="C691" i="17" s="1"/>
  <c r="J645" i="17"/>
  <c r="J629" i="17"/>
  <c r="J627" i="17"/>
  <c r="J625" i="17"/>
  <c r="G615" i="17"/>
  <c r="D614" i="17"/>
  <c r="D615" i="17" s="1"/>
  <c r="L611" i="17"/>
  <c r="C608" i="17"/>
  <c r="C645" i="17" s="1"/>
  <c r="J598" i="17"/>
  <c r="J582" i="17"/>
  <c r="J580" i="17"/>
  <c r="J578" i="17"/>
  <c r="J571" i="17"/>
  <c r="G569" i="17"/>
  <c r="D567" i="17"/>
  <c r="D569" i="17" s="1"/>
  <c r="L564" i="17"/>
  <c r="C561" i="17"/>
  <c r="C598" i="17" s="1"/>
  <c r="J551" i="17"/>
  <c r="J535" i="17"/>
  <c r="J533" i="17"/>
  <c r="J531" i="17"/>
  <c r="G523" i="17"/>
  <c r="E522" i="17"/>
  <c r="E521" i="17"/>
  <c r="G521" i="17"/>
  <c r="D520" i="17"/>
  <c r="D523" i="17" s="1"/>
  <c r="L517" i="17"/>
  <c r="C514" i="17"/>
  <c r="C551" i="17" s="1"/>
  <c r="J505" i="17"/>
  <c r="J489" i="17"/>
  <c r="J487" i="17"/>
  <c r="J485" i="17"/>
  <c r="J479" i="17"/>
  <c r="B479" i="17"/>
  <c r="G476" i="17"/>
  <c r="D474" i="17"/>
  <c r="D475" i="17" s="1"/>
  <c r="L471" i="17"/>
  <c r="C468" i="17"/>
  <c r="C505" i="17" s="1"/>
  <c r="J459" i="17"/>
  <c r="J443" i="17"/>
  <c r="J441" i="17"/>
  <c r="J439" i="17"/>
  <c r="J432" i="17"/>
  <c r="G429" i="17"/>
  <c r="D428" i="17"/>
  <c r="D429" i="17" s="1"/>
  <c r="L425" i="17"/>
  <c r="C422" i="17"/>
  <c r="C459" i="17" s="1"/>
  <c r="J413" i="17"/>
  <c r="J397" i="17"/>
  <c r="J393" i="17"/>
  <c r="J386" i="17"/>
  <c r="G384" i="17"/>
  <c r="D382" i="17"/>
  <c r="D384" i="17" s="1"/>
  <c r="L379" i="17"/>
  <c r="C376" i="17"/>
  <c r="C413" i="17" s="1"/>
  <c r="J367" i="17"/>
  <c r="J351" i="17"/>
  <c r="J349" i="17"/>
  <c r="J347" i="17"/>
  <c r="G336" i="17"/>
  <c r="D336" i="17"/>
  <c r="D338" i="17" s="1"/>
  <c r="L333" i="17"/>
  <c r="C330" i="17"/>
  <c r="C367" i="17" s="1"/>
  <c r="J321" i="17"/>
  <c r="J305" i="17"/>
  <c r="J303" i="17"/>
  <c r="J301" i="17"/>
  <c r="J295" i="17"/>
  <c r="B295" i="17"/>
  <c r="L287" i="17"/>
  <c r="C284" i="17"/>
  <c r="C321" i="17" s="1"/>
  <c r="J274" i="17"/>
  <c r="J258" i="17"/>
  <c r="J256" i="17"/>
  <c r="J254" i="17"/>
  <c r="D246" i="17"/>
  <c r="D245" i="17"/>
  <c r="D244" i="17"/>
  <c r="D243" i="17"/>
  <c r="L240" i="17"/>
  <c r="C237" i="17"/>
  <c r="C274" i="17" s="1"/>
  <c r="J229" i="17"/>
  <c r="J213" i="17"/>
  <c r="J211" i="17"/>
  <c r="J209" i="17"/>
  <c r="D201" i="17"/>
  <c r="D200" i="17"/>
  <c r="D199" i="17"/>
  <c r="D198" i="17"/>
  <c r="L195" i="17"/>
  <c r="C192" i="17"/>
  <c r="C229" i="17" s="1"/>
  <c r="J183" i="17"/>
  <c r="J167" i="17"/>
  <c r="J165" i="17"/>
  <c r="J163" i="17"/>
  <c r="I157" i="17"/>
  <c r="G155" i="17"/>
  <c r="E155" i="17"/>
  <c r="D155" i="17"/>
  <c r="G154" i="17"/>
  <c r="E154" i="17"/>
  <c r="D154" i="17"/>
  <c r="G153" i="17"/>
  <c r="E153" i="17"/>
  <c r="D153" i="17"/>
  <c r="G152" i="17"/>
  <c r="E152" i="17"/>
  <c r="D152" i="17"/>
  <c r="L149" i="17"/>
  <c r="C146" i="17"/>
  <c r="C183" i="17" s="1"/>
  <c r="J136" i="17"/>
  <c r="B110" i="17"/>
  <c r="G108" i="17"/>
  <c r="E108" i="17"/>
  <c r="G107" i="17"/>
  <c r="E107" i="17"/>
  <c r="G106" i="17"/>
  <c r="E106" i="17"/>
  <c r="G105" i="17"/>
  <c r="E105" i="17"/>
  <c r="C136" i="17"/>
  <c r="J89" i="17"/>
  <c r="J73" i="17"/>
  <c r="J71" i="17"/>
  <c r="J69" i="17"/>
  <c r="B62" i="17"/>
  <c r="G61" i="17"/>
  <c r="E61" i="17"/>
  <c r="D61" i="17"/>
  <c r="G60" i="17"/>
  <c r="E60" i="17"/>
  <c r="D60" i="17"/>
  <c r="G59" i="17"/>
  <c r="E59" i="17"/>
  <c r="D59" i="17"/>
  <c r="G58" i="17"/>
  <c r="E58" i="17"/>
  <c r="D58" i="17"/>
  <c r="L55" i="17"/>
  <c r="C52" i="17"/>
  <c r="C89" i="17" s="1"/>
  <c r="J44" i="17"/>
  <c r="J28" i="17"/>
  <c r="J26" i="17"/>
  <c r="J24" i="17"/>
  <c r="J18" i="17"/>
  <c r="J17" i="17"/>
  <c r="J16" i="17"/>
  <c r="B16" i="17"/>
  <c r="G15" i="17"/>
  <c r="E15" i="17"/>
  <c r="D15" i="17"/>
  <c r="G14" i="17"/>
  <c r="E14" i="17"/>
  <c r="D14" i="17"/>
  <c r="G13" i="17"/>
  <c r="E13" i="17"/>
  <c r="D13" i="17"/>
  <c r="G12" i="17"/>
  <c r="E12" i="17"/>
  <c r="D12" i="17"/>
  <c r="L9" i="17"/>
  <c r="C6" i="17"/>
  <c r="C44" i="17" s="1"/>
  <c r="C4" i="17"/>
  <c r="C50" i="17" s="1"/>
  <c r="C97" i="17" s="1"/>
  <c r="C144" i="17" s="1"/>
  <c r="C190" i="17" s="1"/>
  <c r="C235" i="17" s="1"/>
  <c r="C282" i="17" s="1"/>
  <c r="C328" i="17" s="1"/>
  <c r="C374" i="17" s="1"/>
  <c r="C420" i="17" s="1"/>
  <c r="C466" i="17" s="1"/>
  <c r="C512" i="17" s="1"/>
  <c r="C559" i="17" s="1"/>
  <c r="C606" i="17" s="1"/>
  <c r="C652" i="17" s="1"/>
  <c r="C699" i="17" s="1"/>
  <c r="C747" i="17" s="1"/>
  <c r="C793" i="17" s="1"/>
  <c r="C840" i="17" s="1"/>
  <c r="C886" i="17" s="1"/>
  <c r="C933" i="17" s="1"/>
  <c r="C980" i="17" s="1"/>
  <c r="C1027" i="17" s="1"/>
  <c r="C1076" i="17" s="1"/>
  <c r="V44" i="1"/>
  <c r="U44" i="1"/>
  <c r="T44" i="1"/>
  <c r="S44" i="1"/>
  <c r="R44" i="1"/>
  <c r="Q44" i="1"/>
  <c r="Q46" i="1" s="1"/>
  <c r="E12" i="25" s="1"/>
  <c r="P44" i="1"/>
  <c r="O44" i="1"/>
  <c r="N44" i="1"/>
  <c r="M44" i="1"/>
  <c r="L44" i="1"/>
  <c r="K44" i="1"/>
  <c r="J44" i="1"/>
  <c r="I44" i="1"/>
  <c r="H44" i="1"/>
  <c r="V32" i="1"/>
  <c r="T32" i="1"/>
  <c r="O32" i="1"/>
  <c r="N32" i="1"/>
  <c r="M32" i="1"/>
  <c r="V18" i="1"/>
  <c r="T18" i="1"/>
  <c r="S18" i="1"/>
  <c r="O18" i="1"/>
  <c r="N18" i="1"/>
  <c r="M18" i="1"/>
  <c r="T46" i="1" l="1"/>
  <c r="S46" i="1"/>
  <c r="I14" i="1"/>
  <c r="J14" i="1"/>
  <c r="H14" i="1"/>
  <c r="J15" i="1"/>
  <c r="I15" i="1"/>
  <c r="H15" i="1"/>
  <c r="H848" i="17"/>
  <c r="I26" i="1"/>
  <c r="H26" i="1"/>
  <c r="J17" i="1"/>
  <c r="H17" i="1"/>
  <c r="I17" i="1"/>
  <c r="H12" i="17"/>
  <c r="J12" i="17" s="1"/>
  <c r="J7" i="1"/>
  <c r="I7" i="1"/>
  <c r="H7" i="1"/>
  <c r="H153" i="17"/>
  <c r="J153" i="17" s="1"/>
  <c r="J19" i="1"/>
  <c r="I19" i="1"/>
  <c r="H19" i="1"/>
  <c r="I12" i="1"/>
  <c r="H12" i="1"/>
  <c r="I21" i="1"/>
  <c r="H21" i="1"/>
  <c r="H27" i="1"/>
  <c r="I27" i="1"/>
  <c r="H30" i="1"/>
  <c r="I30" i="1"/>
  <c r="I22" i="1"/>
  <c r="H22" i="1"/>
  <c r="J29" i="1"/>
  <c r="I29" i="1"/>
  <c r="H29" i="1"/>
  <c r="H1035" i="17"/>
  <c r="H1037" i="17" s="1"/>
  <c r="J1037" i="17" s="1"/>
  <c r="H1084" i="17"/>
  <c r="H1087" i="17" s="1"/>
  <c r="J1087" i="17" s="1"/>
  <c r="P11" i="1"/>
  <c r="R11" i="1" s="1"/>
  <c r="D50" i="23"/>
  <c r="F50" i="23"/>
  <c r="H243" i="17"/>
  <c r="H617" i="28"/>
  <c r="H663" i="28"/>
  <c r="J570" i="28"/>
  <c r="H571" i="28"/>
  <c r="H382" i="17"/>
  <c r="J382" i="17" s="1"/>
  <c r="J801" i="17"/>
  <c r="I32" i="23"/>
  <c r="E60" i="18"/>
  <c r="E50" i="23"/>
  <c r="D431" i="17"/>
  <c r="D521" i="17"/>
  <c r="H50" i="23"/>
  <c r="H336" i="17"/>
  <c r="J336" i="17" s="1"/>
  <c r="J50" i="23"/>
  <c r="H20" i="3"/>
  <c r="J13" i="18"/>
  <c r="J19" i="18" s="1"/>
  <c r="L19" i="18" s="1"/>
  <c r="L20" i="18" s="1"/>
  <c r="L33" i="18" s="1"/>
  <c r="L38" i="18" s="1"/>
  <c r="J213" i="18"/>
  <c r="J219" i="18" s="1"/>
  <c r="L219" i="18" s="1"/>
  <c r="L220" i="18" s="1"/>
  <c r="L233" i="18" s="1"/>
  <c r="L238" i="18" s="1"/>
  <c r="L158" i="18"/>
  <c r="E160" i="18" s="1"/>
  <c r="E110" i="18"/>
  <c r="J113" i="18"/>
  <c r="J119" i="18" s="1"/>
  <c r="L119" i="18" s="1"/>
  <c r="L120" i="18" s="1"/>
  <c r="L133" i="18" s="1"/>
  <c r="L138" i="18" s="1"/>
  <c r="I48" i="23"/>
  <c r="D943" i="17"/>
  <c r="D944" i="17"/>
  <c r="G35" i="6"/>
  <c r="D13" i="25"/>
  <c r="I42" i="23"/>
  <c r="G50" i="23"/>
  <c r="D616" i="17"/>
  <c r="D710" i="17"/>
  <c r="D337" i="17"/>
  <c r="D617" i="17"/>
  <c r="G707" i="17"/>
  <c r="D804" i="17"/>
  <c r="D385" i="17"/>
  <c r="G617" i="17"/>
  <c r="E804" i="17"/>
  <c r="D849" i="17"/>
  <c r="G475" i="17"/>
  <c r="E944" i="17"/>
  <c r="G1084" i="17"/>
  <c r="J163" i="18"/>
  <c r="J169" i="18" s="1"/>
  <c r="L169" i="18" s="1"/>
  <c r="L170" i="18" s="1"/>
  <c r="L183" i="18" s="1"/>
  <c r="L188" i="18" s="1"/>
  <c r="J214" i="18"/>
  <c r="G944" i="17"/>
  <c r="D989" i="17"/>
  <c r="D1038" i="17"/>
  <c r="E1085" i="17"/>
  <c r="J164" i="18"/>
  <c r="J63" i="18"/>
  <c r="J69" i="18" s="1"/>
  <c r="L69" i="18" s="1"/>
  <c r="L70" i="18" s="1"/>
  <c r="L83" i="18" s="1"/>
  <c r="L88" i="18" s="1"/>
  <c r="J165" i="18"/>
  <c r="D570" i="17"/>
  <c r="E570" i="17"/>
  <c r="D803" i="17"/>
  <c r="J166" i="18"/>
  <c r="D522" i="17"/>
  <c r="D708" i="17"/>
  <c r="D850" i="17"/>
  <c r="G1085" i="17"/>
  <c r="F164" i="18"/>
  <c r="H154" i="17"/>
  <c r="J154" i="17" s="1"/>
  <c r="G385" i="17"/>
  <c r="G708" i="17"/>
  <c r="G428" i="17"/>
  <c r="G522" i="17"/>
  <c r="G801" i="17"/>
  <c r="G851" i="17"/>
  <c r="G941" i="17"/>
  <c r="J215" i="18"/>
  <c r="D430" i="17"/>
  <c r="E523" i="17"/>
  <c r="G709" i="17"/>
  <c r="J114" i="18"/>
  <c r="G614" i="17"/>
  <c r="E710" i="17"/>
  <c r="E943" i="17"/>
  <c r="F166" i="18"/>
  <c r="H155" i="17"/>
  <c r="J155" i="17" s="1"/>
  <c r="G710" i="17"/>
  <c r="G382" i="17"/>
  <c r="D383" i="17"/>
  <c r="E616" i="17"/>
  <c r="G477" i="17"/>
  <c r="G520" i="17"/>
  <c r="G804" i="17"/>
  <c r="W44" i="1"/>
  <c r="J755" i="17"/>
  <c r="J761" i="17" s="1"/>
  <c r="L761" i="17" s="1"/>
  <c r="L762" i="17" s="1"/>
  <c r="H59" i="17"/>
  <c r="J59" i="17" s="1"/>
  <c r="H15" i="18"/>
  <c r="J14" i="18"/>
  <c r="H428" i="17"/>
  <c r="J216" i="18"/>
  <c r="H988" i="17"/>
  <c r="J115" i="18"/>
  <c r="H60" i="17"/>
  <c r="J60" i="17" s="1"/>
  <c r="H58" i="17"/>
  <c r="J58" i="17" s="1"/>
  <c r="H61" i="17"/>
  <c r="J61" i="17" s="1"/>
  <c r="G338" i="17"/>
  <c r="G337" i="17"/>
  <c r="G339" i="17"/>
  <c r="J64" i="18"/>
  <c r="H65" i="18"/>
  <c r="H15" i="17"/>
  <c r="J15" i="17" s="1"/>
  <c r="H13" i="17"/>
  <c r="J13" i="17" s="1"/>
  <c r="H245" i="17"/>
  <c r="H474" i="17"/>
  <c r="G990" i="17"/>
  <c r="E990" i="17"/>
  <c r="G989" i="17"/>
  <c r="E989" i="17"/>
  <c r="G991" i="17"/>
  <c r="E991" i="17"/>
  <c r="G988" i="17"/>
  <c r="J107" i="17"/>
  <c r="J108" i="17"/>
  <c r="J106" i="17"/>
  <c r="J116" i="18"/>
  <c r="H246" i="17"/>
  <c r="H244" i="17"/>
  <c r="H660" i="17"/>
  <c r="J664" i="17"/>
  <c r="H614" i="17"/>
  <c r="H14" i="17"/>
  <c r="J14" i="17" s="1"/>
  <c r="H200" i="17"/>
  <c r="J200" i="17" s="1"/>
  <c r="H198" i="17"/>
  <c r="J198" i="17" s="1"/>
  <c r="H201" i="17"/>
  <c r="J201" i="17" s="1"/>
  <c r="H199" i="17"/>
  <c r="J199" i="17" s="1"/>
  <c r="H520" i="17"/>
  <c r="H152" i="17"/>
  <c r="J152" i="17" s="1"/>
  <c r="D339" i="17"/>
  <c r="G570" i="17"/>
  <c r="G616" i="17"/>
  <c r="D662" i="17"/>
  <c r="E802" i="17"/>
  <c r="G943" i="17"/>
  <c r="E1038" i="17"/>
  <c r="E1087" i="17"/>
  <c r="G383" i="17"/>
  <c r="G430" i="17"/>
  <c r="D476" i="17"/>
  <c r="E662" i="17"/>
  <c r="E758" i="17"/>
  <c r="E896" i="17"/>
  <c r="D991" i="17"/>
  <c r="D1036" i="17"/>
  <c r="G1038" i="17"/>
  <c r="G1087" i="17"/>
  <c r="G662" i="17"/>
  <c r="G896" i="17"/>
  <c r="E1036" i="17"/>
  <c r="G567" i="17"/>
  <c r="G1036" i="17"/>
  <c r="G164" i="18"/>
  <c r="G166" i="18"/>
  <c r="M46" i="1"/>
  <c r="D568" i="17"/>
  <c r="E617" i="17"/>
  <c r="G660" i="17"/>
  <c r="E708" i="17"/>
  <c r="G756" i="17"/>
  <c r="G850" i="17"/>
  <c r="G894" i="17"/>
  <c r="E568" i="17"/>
  <c r="D663" i="17"/>
  <c r="N46" i="1"/>
  <c r="G431" i="17"/>
  <c r="D477" i="17"/>
  <c r="G568" i="17"/>
  <c r="E615" i="17"/>
  <c r="E663" i="17"/>
  <c r="G848" i="17"/>
  <c r="E897" i="17"/>
  <c r="E942" i="17"/>
  <c r="G663" i="17"/>
  <c r="G897" i="17"/>
  <c r="E1037" i="17"/>
  <c r="E1086" i="17"/>
  <c r="E569" i="17"/>
  <c r="E661" i="17"/>
  <c r="E851" i="17"/>
  <c r="E895" i="17"/>
  <c r="G1037" i="17"/>
  <c r="O46" i="1"/>
  <c r="H567" i="17"/>
  <c r="V46" i="1"/>
  <c r="H707" i="17"/>
  <c r="J707" i="17" s="1"/>
  <c r="H1085" i="17" l="1"/>
  <c r="J1085" i="17" s="1"/>
  <c r="H1086" i="17"/>
  <c r="J1086" i="17" s="1"/>
  <c r="P21" i="1"/>
  <c r="H383" i="17"/>
  <c r="J383" i="17" s="1"/>
  <c r="H384" i="17"/>
  <c r="J384" i="17" s="1"/>
  <c r="H385" i="17"/>
  <c r="J385" i="17" s="1"/>
  <c r="J1035" i="17"/>
  <c r="H1036" i="17"/>
  <c r="J1036" i="17" s="1"/>
  <c r="H1038" i="17"/>
  <c r="J1038" i="17" s="1"/>
  <c r="J1084" i="17"/>
  <c r="H804" i="17"/>
  <c r="J804" i="17" s="1"/>
  <c r="H802" i="17"/>
  <c r="J802" i="17" s="1"/>
  <c r="H803" i="17"/>
  <c r="J803" i="17" s="1"/>
  <c r="J246" i="17"/>
  <c r="J571" i="28"/>
  <c r="H572" i="28"/>
  <c r="H666" i="28"/>
  <c r="J666" i="28" s="1"/>
  <c r="J663" i="28"/>
  <c r="H664" i="28"/>
  <c r="J664" i="28" s="1"/>
  <c r="H665" i="28"/>
  <c r="J665" i="28" s="1"/>
  <c r="J244" i="17"/>
  <c r="H618" i="28"/>
  <c r="J618" i="28" s="1"/>
  <c r="J617" i="28"/>
  <c r="H619" i="28"/>
  <c r="J619" i="28" s="1"/>
  <c r="H620" i="28"/>
  <c r="J620" i="28" s="1"/>
  <c r="H337" i="17"/>
  <c r="H338" i="17" s="1"/>
  <c r="J483" i="28"/>
  <c r="L483" i="28" s="1"/>
  <c r="L484" i="28" s="1"/>
  <c r="J618" i="17"/>
  <c r="L32" i="1"/>
  <c r="I50" i="23"/>
  <c r="P31" i="1"/>
  <c r="R31" i="1" s="1"/>
  <c r="P27" i="1"/>
  <c r="R27" i="1" s="1"/>
  <c r="J158" i="17"/>
  <c r="L158" i="17" s="1"/>
  <c r="L159" i="17" s="1"/>
  <c r="K32" i="1"/>
  <c r="P22" i="1"/>
  <c r="R22" i="1" s="1"/>
  <c r="P30" i="1"/>
  <c r="R30" i="1" s="1"/>
  <c r="P26" i="1"/>
  <c r="R26" i="1" s="1"/>
  <c r="P10" i="1"/>
  <c r="H661" i="17"/>
  <c r="J661" i="17" s="1"/>
  <c r="H663" i="17"/>
  <c r="J663" i="17" s="1"/>
  <c r="J660" i="17"/>
  <c r="H662" i="17"/>
  <c r="J662" i="17" s="1"/>
  <c r="J520" i="17"/>
  <c r="H521" i="17"/>
  <c r="J243" i="17"/>
  <c r="P12" i="1"/>
  <c r="R12" i="1" s="1"/>
  <c r="J290" i="17"/>
  <c r="J292" i="17"/>
  <c r="J293" i="17"/>
  <c r="J291" i="17"/>
  <c r="H989" i="17"/>
  <c r="J989" i="17" s="1"/>
  <c r="H991" i="17"/>
  <c r="J991" i="17" s="1"/>
  <c r="J988" i="17"/>
  <c r="H990" i="17"/>
  <c r="J990" i="17" s="1"/>
  <c r="H16" i="18"/>
  <c r="J16" i="18" s="1"/>
  <c r="J15" i="18"/>
  <c r="J204" i="17"/>
  <c r="L204" i="17" s="1"/>
  <c r="L205" i="17" s="1"/>
  <c r="J111" i="17"/>
  <c r="L111" i="17" s="1"/>
  <c r="L112" i="17" s="1"/>
  <c r="H477" i="17"/>
  <c r="J477" i="17" s="1"/>
  <c r="J474" i="17"/>
  <c r="H476" i="17"/>
  <c r="J476" i="17" s="1"/>
  <c r="H475" i="17"/>
  <c r="J475" i="17" s="1"/>
  <c r="H66" i="18"/>
  <c r="J66" i="18" s="1"/>
  <c r="J65" i="18"/>
  <c r="H615" i="17"/>
  <c r="J615" i="17" s="1"/>
  <c r="H617" i="17"/>
  <c r="J617" i="17" s="1"/>
  <c r="J614" i="17"/>
  <c r="H616" i="17"/>
  <c r="J616" i="17" s="1"/>
  <c r="P14" i="1"/>
  <c r="R14" i="1" s="1"/>
  <c r="J18" i="1"/>
  <c r="P7" i="1"/>
  <c r="H18" i="1"/>
  <c r="J245" i="17"/>
  <c r="H942" i="17"/>
  <c r="J942" i="17" s="1"/>
  <c r="H944" i="17"/>
  <c r="J944" i="17" s="1"/>
  <c r="J941" i="17"/>
  <c r="H943" i="17"/>
  <c r="J943" i="17" s="1"/>
  <c r="H895" i="17"/>
  <c r="J895" i="17" s="1"/>
  <c r="H897" i="17"/>
  <c r="J897" i="17" s="1"/>
  <c r="J894" i="17"/>
  <c r="H896" i="17"/>
  <c r="J896" i="17" s="1"/>
  <c r="P17" i="1"/>
  <c r="R17" i="1" s="1"/>
  <c r="K18" i="1"/>
  <c r="I18" i="1"/>
  <c r="J64" i="17"/>
  <c r="L64" i="17" s="1"/>
  <c r="L65" i="17" s="1"/>
  <c r="H851" i="17"/>
  <c r="J851" i="17" s="1"/>
  <c r="J848" i="17"/>
  <c r="H850" i="17"/>
  <c r="J850" i="17" s="1"/>
  <c r="H849" i="17"/>
  <c r="J849" i="17" s="1"/>
  <c r="P15" i="1"/>
  <c r="R15" i="1" s="1"/>
  <c r="P29" i="1"/>
  <c r="R29" i="1" s="1"/>
  <c r="H429" i="17"/>
  <c r="J429" i="17" s="1"/>
  <c r="H431" i="17"/>
  <c r="J431" i="17" s="1"/>
  <c r="J428" i="17"/>
  <c r="H430" i="17"/>
  <c r="J430" i="17" s="1"/>
  <c r="P8" i="1"/>
  <c r="R8" i="1" s="1"/>
  <c r="P13" i="1"/>
  <c r="R13" i="1" s="1"/>
  <c r="I10" i="21" s="1"/>
  <c r="P19" i="1"/>
  <c r="R19" i="1" s="1"/>
  <c r="J772" i="17"/>
  <c r="L772" i="17" s="1"/>
  <c r="L775" i="17" s="1"/>
  <c r="I8" i="21"/>
  <c r="U11" i="1"/>
  <c r="W11" i="1" s="1"/>
  <c r="J210" i="17"/>
  <c r="J215" i="17" s="1"/>
  <c r="L215" i="17" s="1"/>
  <c r="P20" i="1"/>
  <c r="R20" i="1" s="1"/>
  <c r="I32" i="1"/>
  <c r="H568" i="17"/>
  <c r="J567" i="17"/>
  <c r="J32" i="1"/>
  <c r="H708" i="17"/>
  <c r="J708" i="17" s="1"/>
  <c r="H710" i="17"/>
  <c r="J710" i="17" s="1"/>
  <c r="H709" i="17"/>
  <c r="J709" i="17" s="1"/>
  <c r="H32" i="1"/>
  <c r="I11" i="21" l="1"/>
  <c r="J348" i="17"/>
  <c r="R21" i="1"/>
  <c r="J629" i="28" s="1"/>
  <c r="J634" i="28" s="1"/>
  <c r="L634" i="28" s="1"/>
  <c r="R10" i="1"/>
  <c r="J164" i="17" s="1"/>
  <c r="J169" i="17" s="1"/>
  <c r="L169" i="17" s="1"/>
  <c r="L172" i="17" s="1"/>
  <c r="J540" i="28"/>
  <c r="L540" i="28" s="1"/>
  <c r="J532" i="17"/>
  <c r="J537" i="17" s="1"/>
  <c r="L537" i="17" s="1"/>
  <c r="J958" i="17"/>
  <c r="L958" i="17" s="1"/>
  <c r="J906" i="17"/>
  <c r="J911" i="17" s="1"/>
  <c r="L911" i="17" s="1"/>
  <c r="J579" i="17"/>
  <c r="J584" i="17" s="1"/>
  <c r="L584" i="17" s="1"/>
  <c r="P32" i="1"/>
  <c r="J860" i="17"/>
  <c r="J865" i="17" s="1"/>
  <c r="I22" i="21"/>
  <c r="J1090" i="17"/>
  <c r="L1090" i="17" s="1"/>
  <c r="L1091" i="17" s="1"/>
  <c r="J388" i="17"/>
  <c r="L388" i="17" s="1"/>
  <c r="L389" i="17" s="1"/>
  <c r="J1041" i="17"/>
  <c r="L1041" i="17" s="1"/>
  <c r="L1042" i="17" s="1"/>
  <c r="J807" i="17"/>
  <c r="L807" i="17" s="1"/>
  <c r="L808" i="17" s="1"/>
  <c r="J623" i="28"/>
  <c r="L623" i="28" s="1"/>
  <c r="L624" i="28" s="1"/>
  <c r="L299" i="28"/>
  <c r="L300" i="28" s="1"/>
  <c r="J818" i="17"/>
  <c r="L818" i="17" s="1"/>
  <c r="U14" i="1"/>
  <c r="W14" i="1" s="1"/>
  <c r="J356" i="28"/>
  <c r="L356" i="28" s="1"/>
  <c r="J572" i="28"/>
  <c r="H573" i="28"/>
  <c r="J573" i="28" s="1"/>
  <c r="J1000" i="17"/>
  <c r="J1005" i="17" s="1"/>
  <c r="L1005" i="17" s="1"/>
  <c r="J672" i="17"/>
  <c r="J677" i="17" s="1"/>
  <c r="L677" i="17" s="1"/>
  <c r="J675" i="28"/>
  <c r="J680" i="28" s="1"/>
  <c r="L680" i="28" s="1"/>
  <c r="J1096" i="17"/>
  <c r="J1101" i="17" s="1"/>
  <c r="L1101" i="17" s="1"/>
  <c r="J437" i="28"/>
  <c r="L437" i="28" s="1"/>
  <c r="L438" i="28" s="1"/>
  <c r="J669" i="28"/>
  <c r="L669" i="28" s="1"/>
  <c r="L670" i="28" s="1"/>
  <c r="I16" i="21"/>
  <c r="J582" i="28"/>
  <c r="J587" i="28" s="1"/>
  <c r="L587" i="28" s="1"/>
  <c r="J391" i="28"/>
  <c r="L391" i="28" s="1"/>
  <c r="L392" i="28" s="1"/>
  <c r="J337" i="17"/>
  <c r="J478" i="17"/>
  <c r="J480" i="17" s="1"/>
  <c r="L480" i="17" s="1"/>
  <c r="L481" i="17" s="1"/>
  <c r="L18" i="1"/>
  <c r="L46" i="1" s="1"/>
  <c r="P16" i="1"/>
  <c r="R16" i="1" s="1"/>
  <c r="U31" i="1"/>
  <c r="W31" i="1" s="1"/>
  <c r="I27" i="21"/>
  <c r="I23" i="21"/>
  <c r="U27" i="1"/>
  <c r="W27" i="1" s="1"/>
  <c r="I46" i="1"/>
  <c r="J947" i="17"/>
  <c r="L947" i="17" s="1"/>
  <c r="L948" i="17" s="1"/>
  <c r="K46" i="1"/>
  <c r="J620" i="17"/>
  <c r="L620" i="17" s="1"/>
  <c r="L621" i="17" s="1"/>
  <c r="L218" i="17"/>
  <c r="U10" i="1"/>
  <c r="W10" i="1" s="1"/>
  <c r="I7" i="21"/>
  <c r="J900" i="17"/>
  <c r="L900" i="17" s="1"/>
  <c r="L901" i="17" s="1"/>
  <c r="U26" i="1"/>
  <c r="W26" i="1" s="1"/>
  <c r="I18" i="21"/>
  <c r="U22" i="1"/>
  <c r="W22" i="1" s="1"/>
  <c r="J353" i="17"/>
  <c r="L353" i="17" s="1"/>
  <c r="J402" i="28"/>
  <c r="L402" i="28" s="1"/>
  <c r="U29" i="1"/>
  <c r="W29" i="1" s="1"/>
  <c r="J448" i="28"/>
  <c r="L448" i="28" s="1"/>
  <c r="I14" i="21"/>
  <c r="U17" i="1"/>
  <c r="W17" i="1" s="1"/>
  <c r="I5" i="21"/>
  <c r="U8" i="1"/>
  <c r="W8" i="1" s="1"/>
  <c r="J70" i="17"/>
  <c r="J854" i="17"/>
  <c r="L854" i="17" s="1"/>
  <c r="L855" i="17" s="1"/>
  <c r="L865" i="17" s="1"/>
  <c r="J19" i="17"/>
  <c r="L19" i="17" s="1"/>
  <c r="L20" i="17" s="1"/>
  <c r="J666" i="17"/>
  <c r="L666" i="17" s="1"/>
  <c r="L667" i="17" s="1"/>
  <c r="I25" i="21"/>
  <c r="J434" i="17"/>
  <c r="L434" i="17" s="1"/>
  <c r="L435" i="17" s="1"/>
  <c r="J310" i="28"/>
  <c r="L310" i="28" s="1"/>
  <c r="J296" i="17"/>
  <c r="L296" i="17" s="1"/>
  <c r="L297" i="17" s="1"/>
  <c r="J122" i="17"/>
  <c r="L122" i="17" s="1"/>
  <c r="L125" i="17" s="1"/>
  <c r="J994" i="17"/>
  <c r="L994" i="17" s="1"/>
  <c r="L995" i="17" s="1"/>
  <c r="H522" i="17"/>
  <c r="J521" i="17"/>
  <c r="J626" i="17"/>
  <c r="J631" i="17" s="1"/>
  <c r="L631" i="17" s="1"/>
  <c r="I17" i="21"/>
  <c r="U21" i="1"/>
  <c r="W21" i="1" s="1"/>
  <c r="J249" i="17"/>
  <c r="L249" i="17" s="1"/>
  <c r="L250" i="17" s="1"/>
  <c r="J46" i="1"/>
  <c r="H46" i="1"/>
  <c r="U30" i="1"/>
  <c r="W30" i="1" s="1"/>
  <c r="I26" i="21"/>
  <c r="J1047" i="17"/>
  <c r="J1052" i="17" s="1"/>
  <c r="L1052" i="17" s="1"/>
  <c r="H339" i="17"/>
  <c r="J339" i="17" s="1"/>
  <c r="J338" i="17"/>
  <c r="J568" i="17"/>
  <c r="H569" i="17"/>
  <c r="J713" i="17"/>
  <c r="L713" i="17" s="1"/>
  <c r="L714" i="17" s="1"/>
  <c r="J75" i="17" l="1"/>
  <c r="L75" i="17" s="1"/>
  <c r="L78" i="17" s="1"/>
  <c r="L637" i="28"/>
  <c r="R32" i="1"/>
  <c r="R18" i="1"/>
  <c r="U20" i="1"/>
  <c r="W20" i="1" s="1"/>
  <c r="P18" i="1"/>
  <c r="P46" i="1" s="1"/>
  <c r="L1055" i="17"/>
  <c r="L1104" i="17"/>
  <c r="L821" i="17"/>
  <c r="L868" i="17"/>
  <c r="L680" i="17"/>
  <c r="L1008" i="17"/>
  <c r="J576" i="28"/>
  <c r="L576" i="28" s="1"/>
  <c r="L577" i="28" s="1"/>
  <c r="L590" i="28" s="1"/>
  <c r="L405" i="28"/>
  <c r="J345" i="28"/>
  <c r="L345" i="28" s="1"/>
  <c r="L346" i="28" s="1"/>
  <c r="L359" i="28" s="1"/>
  <c r="L313" i="28"/>
  <c r="L683" i="28"/>
  <c r="L451" i="28"/>
  <c r="I13" i="21"/>
  <c r="J494" i="28"/>
  <c r="L494" i="28" s="1"/>
  <c r="L497" i="28" s="1"/>
  <c r="L961" i="17"/>
  <c r="U16" i="1"/>
  <c r="W16" i="1" s="1"/>
  <c r="J486" i="17"/>
  <c r="J491" i="17" s="1"/>
  <c r="L491" i="17" s="1"/>
  <c r="L494" i="17" s="1"/>
  <c r="L634" i="17"/>
  <c r="L914" i="17"/>
  <c r="J342" i="17"/>
  <c r="L342" i="17" s="1"/>
  <c r="L343" i="17" s="1"/>
  <c r="L356" i="17" s="1"/>
  <c r="J25" i="17"/>
  <c r="J30" i="17" s="1"/>
  <c r="L30" i="17" s="1"/>
  <c r="L33" i="17" s="1"/>
  <c r="I4" i="21"/>
  <c r="U7" i="1"/>
  <c r="J302" i="17"/>
  <c r="J307" i="17" s="1"/>
  <c r="L307" i="17" s="1"/>
  <c r="L310" i="17" s="1"/>
  <c r="U13" i="1"/>
  <c r="W13" i="1" s="1"/>
  <c r="J522" i="17"/>
  <c r="H523" i="17"/>
  <c r="J523" i="17" s="1"/>
  <c r="I15" i="21"/>
  <c r="J440" i="17"/>
  <c r="J445" i="17" s="1"/>
  <c r="L445" i="17" s="1"/>
  <c r="L448" i="17" s="1"/>
  <c r="U19" i="1"/>
  <c r="W19" i="1" s="1"/>
  <c r="J255" i="17"/>
  <c r="J260" i="17" s="1"/>
  <c r="L260" i="17" s="1"/>
  <c r="L263" i="17" s="1"/>
  <c r="I9" i="21"/>
  <c r="U12" i="1"/>
  <c r="W12" i="1" s="1"/>
  <c r="I12" i="21"/>
  <c r="U15" i="1"/>
  <c r="W15" i="1" s="1"/>
  <c r="J394" i="17"/>
  <c r="J399" i="17" s="1"/>
  <c r="L399" i="17" s="1"/>
  <c r="L402" i="17" s="1"/>
  <c r="H570" i="17"/>
  <c r="J570" i="17" s="1"/>
  <c r="J569" i="17"/>
  <c r="I19" i="21"/>
  <c r="J719" i="17"/>
  <c r="J724" i="17" s="1"/>
  <c r="L724" i="17" s="1"/>
  <c r="L727" i="17" s="1"/>
  <c r="I35" i="21" l="1"/>
  <c r="Q12" i="17"/>
  <c r="R46" i="1"/>
  <c r="J529" i="28"/>
  <c r="L529" i="28" s="1"/>
  <c r="L530" i="28" s="1"/>
  <c r="L543" i="28" s="1"/>
  <c r="J526" i="17"/>
  <c r="L526" i="17" s="1"/>
  <c r="L527" i="17" s="1"/>
  <c r="L540" i="17" s="1"/>
  <c r="U18" i="1"/>
  <c r="W7" i="1"/>
  <c r="W18" i="1" s="1"/>
  <c r="J573" i="17"/>
  <c r="L573" i="17" s="1"/>
  <c r="L574" i="17" s="1"/>
  <c r="L587" i="17" s="1"/>
  <c r="W23" i="1"/>
  <c r="W32" i="1" s="1"/>
  <c r="U32" i="1"/>
  <c r="W46" i="1" l="1"/>
  <c r="U46" i="1"/>
</calcChain>
</file>

<file path=xl/sharedStrings.xml><?xml version="1.0" encoding="utf-8"?>
<sst xmlns="http://schemas.openxmlformats.org/spreadsheetml/2006/main" count="2205" uniqueCount="215">
  <si>
    <t>E  A  R  N  I  N  G  S</t>
  </si>
  <si>
    <t>SR. No</t>
  </si>
  <si>
    <t xml:space="preserve">NAME </t>
  </si>
  <si>
    <t>RANK</t>
  </si>
  <si>
    <t>FM</t>
  </si>
  <si>
    <t>TO</t>
  </si>
  <si>
    <t>DAYS</t>
  </si>
  <si>
    <t>BASIC</t>
  </si>
  <si>
    <t>FIXED OT</t>
  </si>
  <si>
    <t>LEAVE WAGES</t>
  </si>
  <si>
    <t xml:space="preserve">OTHER ALLOWANCES </t>
  </si>
  <si>
    <t>TOTAL EARNINGS</t>
  </si>
  <si>
    <t>CASH DRAWN ON BOARD</t>
  </si>
  <si>
    <t xml:space="preserve">HOME ALLOMENT </t>
  </si>
  <si>
    <t>BOND</t>
  </si>
  <si>
    <t>TOTAL  DEDUCTION</t>
  </si>
  <si>
    <t>FINAL  BALANCE</t>
  </si>
  <si>
    <t>TOTAL (A)</t>
  </si>
  <si>
    <t>TOTAL (B)</t>
  </si>
  <si>
    <t>S.No</t>
  </si>
  <si>
    <t>Name of Crew</t>
  </si>
  <si>
    <t>Rank</t>
  </si>
  <si>
    <t>Total</t>
  </si>
  <si>
    <t>M.V.ONYX 1</t>
  </si>
  <si>
    <t>Sl No</t>
  </si>
  <si>
    <t>CREW NAME</t>
  </si>
  <si>
    <t>BENIFICIARY NAME</t>
  </si>
  <si>
    <t>BENIFICIARY BANK ADDRESS</t>
  </si>
  <si>
    <t>RATE</t>
  </si>
  <si>
    <t>PAYOUT CCY CODE</t>
  </si>
  <si>
    <t>PAY OUT AMOUNT</t>
  </si>
  <si>
    <t>AED</t>
  </si>
  <si>
    <t>CHGS</t>
  </si>
  <si>
    <t>TOTAL</t>
  </si>
  <si>
    <t>SIGN</t>
  </si>
  <si>
    <t>DATE:</t>
  </si>
  <si>
    <t>30.06.2017</t>
  </si>
  <si>
    <t>S. No.</t>
  </si>
  <si>
    <t>Date</t>
  </si>
  <si>
    <t>Voucher</t>
  </si>
  <si>
    <t>Port</t>
  </si>
  <si>
    <t>Details</t>
  </si>
  <si>
    <t>Received</t>
  </si>
  <si>
    <t>Expenditure</t>
  </si>
  <si>
    <t xml:space="preserve"> </t>
  </si>
  <si>
    <t>Master</t>
  </si>
  <si>
    <t>28.2.15</t>
  </si>
  <si>
    <t xml:space="preserve"> Balance on  board as of 30.06.2017</t>
  </si>
  <si>
    <t>Spent on board as of 30.06.2017</t>
  </si>
  <si>
    <t xml:space="preserve"> Balance B/F from MAY' 2017</t>
  </si>
  <si>
    <t>DISCRETIONARY  ACCOUNT- June 2017</t>
  </si>
  <si>
    <t>US $</t>
  </si>
  <si>
    <t xml:space="preserve">ITEMS </t>
  </si>
  <si>
    <t xml:space="preserve">TOTAL </t>
  </si>
  <si>
    <t>SIGNATURE</t>
  </si>
  <si>
    <t xml:space="preserve">                   PRICE IN USD</t>
  </si>
  <si>
    <t>NO.</t>
  </si>
  <si>
    <t>NAME</t>
  </si>
  <si>
    <t>TOTAL CONSUMPTION BY CREW /OFFICERS</t>
  </si>
  <si>
    <t>Capt.FRANKLIN WILFRED</t>
  </si>
  <si>
    <t>From</t>
  </si>
  <si>
    <t>To</t>
  </si>
  <si>
    <t>SALARY SLIP</t>
  </si>
  <si>
    <t xml:space="preserve">Vessel Name    </t>
  </si>
  <si>
    <t>Name</t>
  </si>
  <si>
    <t xml:space="preserve">   </t>
  </si>
  <si>
    <t>Balance brought forward from previous month =</t>
  </si>
  <si>
    <t xml:space="preserve">EARNINGS   </t>
  </si>
  <si>
    <t>No.of days</t>
  </si>
  <si>
    <t>Wages p.m.</t>
  </si>
  <si>
    <t>Basic Wage</t>
  </si>
  <si>
    <t>Fixed OT</t>
  </si>
  <si>
    <t>Leave wages</t>
  </si>
  <si>
    <t xml:space="preserve">Other /Seniority Allowances / Seniority </t>
  </si>
  <si>
    <t>Travel Wages/Other Earnings</t>
  </si>
  <si>
    <t>Hold Scav.Tk Clng</t>
  </si>
  <si>
    <t>Total Earnings  ( A )</t>
  </si>
  <si>
    <t>DEDUCTIONS</t>
  </si>
  <si>
    <t>Cash drawn on board</t>
  </si>
  <si>
    <t>Home Allotments</t>
  </si>
  <si>
    <t>Bond Stores</t>
  </si>
  <si>
    <t>Radio bills</t>
  </si>
  <si>
    <t>Other Deductions</t>
  </si>
  <si>
    <t>Total  deductions ( B )</t>
  </si>
  <si>
    <t>FINAL BALANCE(A-B)</t>
  </si>
  <si>
    <t>I HEREBY DECLARE THAT THE BALANCE AMOUNT BROUGHT FORWARD FROM PREVIOUS MONTH IS</t>
  </si>
  <si>
    <t xml:space="preserve"> IN MASTER'S CUSTODY AND  I AGREE TO THE ABOVE FIGURES AND THAT THEY ARE CORRECT.</t>
  </si>
  <si>
    <t xml:space="preserve">   Signature of Seaman</t>
  </si>
  <si>
    <t xml:space="preserve">   Signature : Master (With Ship's Stamp)</t>
  </si>
  <si>
    <t>Wage Statement</t>
  </si>
  <si>
    <t xml:space="preserve">Date </t>
  </si>
  <si>
    <t xml:space="preserve">Rank </t>
  </si>
  <si>
    <t>Date of Joining ship</t>
  </si>
  <si>
    <t>Reason for discharge</t>
  </si>
  <si>
    <t>Date of Discharge</t>
  </si>
  <si>
    <t>TOTAL PERIOD ON BOARD</t>
  </si>
  <si>
    <t>Other /Seniority Allowances</t>
  </si>
  <si>
    <t xml:space="preserve">Others : </t>
  </si>
  <si>
    <t xml:space="preserve">FINAL BALANCE(A-B)  </t>
  </si>
  <si>
    <t xml:space="preserve">Wages paid through cash by Master at Discharge from vessel </t>
  </si>
  <si>
    <t xml:space="preserve">Total Balance Payable </t>
  </si>
  <si>
    <t xml:space="preserve">FINAL BALANCE to be remitted  by Admiral Marine Service Limited Private </t>
  </si>
  <si>
    <t xml:space="preserve">** Ensure FINAL BALANCE is NIL where full dues are paid on board. ; </t>
  </si>
  <si>
    <t xml:space="preserve">Name: </t>
  </si>
  <si>
    <t>Name:</t>
  </si>
  <si>
    <t>Other Deductions - Panama Docs</t>
  </si>
  <si>
    <t xml:space="preserve">Other Deductions -Panama Docs </t>
  </si>
  <si>
    <t xml:space="preserve">Other Deductions </t>
  </si>
  <si>
    <t>ALLOTMENT AMOUNT IN USD</t>
  </si>
  <si>
    <t>CURRENCY TO BE SEND</t>
  </si>
  <si>
    <t>CHARTERERS</t>
  </si>
  <si>
    <t>TOTAL CONSUMPTION - CHARTERERS ACCOUNT</t>
  </si>
  <si>
    <t>OWNERS</t>
  </si>
  <si>
    <t>TOTAL CONSUMPTION - OWNERS ACCOUNT</t>
  </si>
  <si>
    <t>TOTAL CONSUMPTION - OVERALL</t>
  </si>
  <si>
    <t>BENIFICIARY BANK ACCOUNT NO</t>
  </si>
  <si>
    <t xml:space="preserve">Vridhi Maritime Private Limited </t>
  </si>
  <si>
    <t>END OF CONTRACT</t>
  </si>
  <si>
    <t>Capt.</t>
  </si>
  <si>
    <t>PF Deduction</t>
  </si>
  <si>
    <t>PF deduction</t>
  </si>
  <si>
    <t>MONTH :</t>
  </si>
  <si>
    <t>IFSC CODE</t>
  </si>
  <si>
    <t>BENEFICIARY BANK NAME</t>
  </si>
  <si>
    <t>P O R T A G E    B I L L - MONTH OF</t>
  </si>
  <si>
    <t>TOTAL =</t>
  </si>
  <si>
    <t>Ch.Officer</t>
  </si>
  <si>
    <t>2nd Engineer</t>
  </si>
  <si>
    <t>4th Engineer</t>
  </si>
  <si>
    <t>Fitter</t>
  </si>
  <si>
    <t>SIGN OFF</t>
  </si>
  <si>
    <t>Dubai</t>
  </si>
  <si>
    <t>Travel Wages</t>
  </si>
  <si>
    <t>Ch.Engineer</t>
  </si>
  <si>
    <t>3rd.Engineer</t>
  </si>
  <si>
    <t>Voucher No</t>
  </si>
  <si>
    <t>Received USD</t>
  </si>
  <si>
    <t>Expenditure USD</t>
  </si>
  <si>
    <t>SOFI 1</t>
  </si>
  <si>
    <t>Deck Cadet</t>
  </si>
  <si>
    <t>Pumpman</t>
  </si>
  <si>
    <t>Bosun</t>
  </si>
  <si>
    <t>Chief Cook</t>
  </si>
  <si>
    <t>GS</t>
  </si>
  <si>
    <t>TME</t>
  </si>
  <si>
    <t>Eletrical Officer</t>
  </si>
  <si>
    <t>Master,  MT ALMA</t>
  </si>
  <si>
    <t>CASH ON BOARD</t>
  </si>
  <si>
    <r>
      <rPr>
        <b/>
        <sz val="14"/>
        <rFont val="Times New Roman"/>
        <family val="1"/>
      </rPr>
      <t>Allowance Brk Up</t>
    </r>
    <r>
      <rPr>
        <b/>
        <sz val="14"/>
        <color rgb="FFC00000"/>
        <rFont val="Times New Roman"/>
        <family val="1"/>
      </rPr>
      <t xml:space="preserve"> </t>
    </r>
  </si>
  <si>
    <t>TOTAL (C)</t>
  </si>
  <si>
    <t>TOTAL (D)</t>
  </si>
  <si>
    <t>TOTAL ( A)+ (B) + (C) + (D)</t>
  </si>
  <si>
    <t>HRA</t>
  </si>
  <si>
    <t>JOINING EXPENSES</t>
  </si>
  <si>
    <t>OFF SIGNERS DURING THE MONTH</t>
  </si>
  <si>
    <t>MASTER / MT ALMA</t>
  </si>
  <si>
    <t>Joining Expenses</t>
  </si>
  <si>
    <t xml:space="preserve">ALMA CREW CALLING CARD </t>
  </si>
  <si>
    <t>2nd Officer</t>
  </si>
  <si>
    <t>OTHER DEDUCTION</t>
  </si>
  <si>
    <t xml:space="preserve">Joining Expenses </t>
  </si>
  <si>
    <t>Balance Carry forward To Next Month month =</t>
  </si>
  <si>
    <t>Oiler 1</t>
  </si>
  <si>
    <t>Oiler 2</t>
  </si>
  <si>
    <t>AB 1</t>
  </si>
  <si>
    <t>AB 2</t>
  </si>
  <si>
    <t>AB 3</t>
  </si>
  <si>
    <t>OS 1</t>
  </si>
  <si>
    <t>OS 2</t>
  </si>
  <si>
    <t>Oiler 3</t>
  </si>
  <si>
    <t>ONBOARD ALLOWANCE  / SHORT MANNING</t>
  </si>
  <si>
    <t>Short manning Allowance</t>
  </si>
  <si>
    <t xml:space="preserve"> ME SCAVANGE SPACE, UP SPACE CLEANING AND EXH GAS BOILER CLEANING ALLOWANCE IN  USD</t>
  </si>
  <si>
    <t>Onboard Allowance</t>
  </si>
  <si>
    <t>Balance carried forward to next month =</t>
  </si>
  <si>
    <t>BROUGHT FORWARD</t>
  </si>
  <si>
    <t>On Board Allowances</t>
  </si>
  <si>
    <t>RAISH HUSSAIN</t>
  </si>
  <si>
    <t>SATINDER SINGH</t>
  </si>
  <si>
    <t>SALSON SELVAM</t>
  </si>
  <si>
    <t>GOPINADH KARUKU</t>
  </si>
  <si>
    <t>Paid as cash advance to Officer and crew on board</t>
  </si>
  <si>
    <t xml:space="preserve">KISHOR RAJU     </t>
  </si>
  <si>
    <t>Adtnl Ch.Officer</t>
  </si>
  <si>
    <t xml:space="preserve">2nd Officer </t>
  </si>
  <si>
    <t>MASTER CASH ACCOUNT JANUARY' 2026</t>
  </si>
  <si>
    <t>Balance From Last month (DEC' 2025)</t>
  </si>
  <si>
    <t>WELFARE ACCOUNT FOR THE MONTH OF - JANUARY'2026</t>
  </si>
  <si>
    <t>B/F From Last Month DEC' 2025</t>
  </si>
  <si>
    <t>01.01.2026</t>
  </si>
  <si>
    <t>Crew Welfare for the Month of JANUARY 2026</t>
  </si>
  <si>
    <t>Crew Welfare for the Month of JANUARY-2026</t>
  </si>
  <si>
    <t>17.01.2026</t>
  </si>
  <si>
    <t>02.01.2026</t>
  </si>
  <si>
    <t>Paid to purchase Christmas &amp; New year party items for crew welfare</t>
  </si>
  <si>
    <t>18.01.2026</t>
  </si>
  <si>
    <t>IN MASTER'S CUSTODY AND  I AGREE TO THE ABOVE FIGURES AND THAT THEY ARE CORRECT.</t>
  </si>
  <si>
    <t>FW STBD SIDE TANK CLEANING</t>
  </si>
  <si>
    <t>SIGNED OFF</t>
  </si>
  <si>
    <t>PLEASE NOTE: MR.AMAL SINDH MANGALANANDAN PROMOTED ONBOARD TO 3RD ENGINEER ON 29TH JANUARY 2026 &amp; SAILED AS A 4TH ENGINEER FOR 28 DAYS IN JANUARY.HIS EARNINGS AS 4TH ENGINEER FOR 28 DAYS SHOWN IN OTHER EARNINGS.</t>
  </si>
  <si>
    <t>Other Earnings As 4th Eng for 28days</t>
  </si>
  <si>
    <t>REMARKS:  PLS NOTE CHIEF ENGINEER MR.SAMSON ROY CHELLAPPAN REQUESTING NOT TO TRANSFER HIS SALARY IN HIS ACCOUNT BEFORE 3RD APRIL 2026.  PLS TRANSFER HIS COMPLETE BALANCE AMOUNT TO HIS MENTIONED ACCOUNT ON 04TH APRIL 2026.</t>
  </si>
  <si>
    <t>Paid to purchase Cricket Balls for Crew Welfare</t>
  </si>
  <si>
    <t>29.01.2026</t>
  </si>
  <si>
    <t>SPECIAL ALLOTMENT OF 7000 USD WITH APPROVAL FROM CREWING HEAD.SAME TO BE ADJUSTED IN FEBRUARY 2026 WAGES.</t>
  </si>
  <si>
    <t>Sign Off Expenses</t>
  </si>
  <si>
    <t>4th.Engineer</t>
  </si>
  <si>
    <t>Promoted to 4E</t>
  </si>
  <si>
    <t>Vessel Name</t>
  </si>
  <si>
    <t>Vessel name</t>
  </si>
  <si>
    <t>Company name</t>
  </si>
  <si>
    <t>MASTER, vessel name</t>
  </si>
  <si>
    <t>Editable</t>
  </si>
  <si>
    <t>HOME ALLOTMENT  FOR SEAFARER OF THE VESSEL - xxxxx</t>
  </si>
  <si>
    <t>Master,  Vessel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</si>
</sst>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 #,##0.00_ ;_ * \-#,##0.00_ ;_ * &quot;-&quot;??_ ;_ @_ "/>
    <numFmt numFmtId="165" formatCode="_(&quot;$&quot;* #,##0.00_);_(&quot;$&quot;* \(#,##0.00\);_(&quot;$&quot;* &quot;-&quot;??_);_(@_)"/>
    <numFmt numFmtId="166" formatCode="_(* #,##0.00_);_(* \(#,##0.00\);_(* &quot;-&quot;??_);_(@_)"/>
    <numFmt numFmtId="167" formatCode="_-&quot;$&quot;* #,##0.00_-;\-&quot;$&quot;* #,##0.00_-;_-&quot;$&quot;* &quot;-&quot;??_-;_-@_-"/>
    <numFmt numFmtId="168" formatCode="mmmm\-yy"/>
    <numFmt numFmtId="169" formatCode="&quot;$&quot;#,##0.00;[Red]&quot;$&quot;#,##0.00"/>
    <numFmt numFmtId="170" formatCode="&quot;$&quot;#,##0.00"/>
    <numFmt numFmtId="171" formatCode="0.000"/>
    <numFmt numFmtId="172" formatCode="#,##0.00_ ;\-#,##0.00\ "/>
    <numFmt numFmtId="173" formatCode="[$-409]mmm\-yy;@"/>
    <numFmt numFmtId="174" formatCode="[$-F800]dddd\,\ mmmm\ dd\,\ yyyy"/>
    <numFmt numFmtId="175" formatCode="&quot;$&quot;#,##0"/>
  </numFmts>
  <fonts count="82" x14ac:knownFonts="1">
    <font>
      <sz val="11"/>
      <color theme="1"/>
      <name val="Calibri"/>
      <family val="2"/>
      <scheme val="minor"/>
    </font>
    <font>
      <sz val="11"/>
      <color theme="1"/>
      <name val="Calibri"/>
      <family val="2"/>
      <scheme val="minor"/>
    </font>
    <font>
      <sz val="10"/>
      <name val="Times New Roman"/>
      <family val="1"/>
    </font>
    <font>
      <sz val="10"/>
      <name val="Verdana"/>
      <family val="2"/>
    </font>
    <font>
      <b/>
      <sz val="11"/>
      <name val="Calibri"/>
      <family val="2"/>
      <scheme val="minor"/>
    </font>
    <font>
      <b/>
      <sz val="14"/>
      <name val="Times New Roman"/>
      <family val="1"/>
    </font>
    <font>
      <b/>
      <sz val="12"/>
      <name val="Times New Roman"/>
      <family val="1"/>
    </font>
    <font>
      <b/>
      <sz val="15"/>
      <name val="Times New Roman"/>
      <family val="1"/>
    </font>
    <font>
      <b/>
      <sz val="11"/>
      <color theme="1"/>
      <name val="Calibri"/>
      <family val="2"/>
      <scheme val="minor"/>
    </font>
    <font>
      <b/>
      <u/>
      <sz val="11"/>
      <color theme="1"/>
      <name val="Calibri"/>
      <family val="2"/>
      <scheme val="minor"/>
    </font>
    <font>
      <b/>
      <sz val="12"/>
      <name val="Arial"/>
      <family val="2"/>
    </font>
    <font>
      <sz val="10"/>
      <name val="Arial"/>
      <family val="2"/>
    </font>
    <font>
      <b/>
      <sz val="10"/>
      <name val="Arial"/>
      <family val="2"/>
    </font>
    <font>
      <sz val="10"/>
      <color indexed="8"/>
      <name val="Arial"/>
      <family val="2"/>
    </font>
    <font>
      <sz val="9"/>
      <name val="Arial"/>
      <family val="2"/>
    </font>
    <font>
      <sz val="11"/>
      <name val="Bookman Old Style"/>
      <family val="1"/>
    </font>
    <font>
      <sz val="10"/>
      <name val="Bookman Old Style"/>
      <family val="1"/>
    </font>
    <font>
      <sz val="11"/>
      <color theme="1"/>
      <name val="Bookman Old Style"/>
      <family val="1"/>
    </font>
    <font>
      <b/>
      <sz val="11"/>
      <name val="Bookman Old Style"/>
      <family val="1"/>
    </font>
    <font>
      <sz val="11"/>
      <color theme="1"/>
      <name val="Cambria"/>
      <family val="1"/>
      <scheme val="major"/>
    </font>
    <font>
      <sz val="11"/>
      <color rgb="FFFF0000"/>
      <name val="Cambria"/>
      <family val="1"/>
      <scheme val="major"/>
    </font>
    <font>
      <sz val="10"/>
      <name val="Cambria"/>
      <family val="1"/>
      <scheme val="major"/>
    </font>
    <font>
      <sz val="8"/>
      <name val="Cambria"/>
      <family val="1"/>
      <scheme val="major"/>
    </font>
    <font>
      <b/>
      <sz val="12"/>
      <color theme="1"/>
      <name val="Calibri"/>
      <family val="2"/>
      <scheme val="minor"/>
    </font>
    <font>
      <sz val="10"/>
      <color theme="1"/>
      <name val="Calibri"/>
      <family val="2"/>
      <scheme val="minor"/>
    </font>
    <font>
      <sz val="8"/>
      <color theme="1"/>
      <name val="Calibri"/>
      <family val="2"/>
      <scheme val="minor"/>
    </font>
    <font>
      <b/>
      <u/>
      <sz val="8"/>
      <color theme="1"/>
      <name val="Calibri"/>
      <family val="2"/>
      <scheme val="minor"/>
    </font>
    <font>
      <u/>
      <sz val="10"/>
      <color theme="1"/>
      <name val="Calibri"/>
      <family val="2"/>
      <scheme val="minor"/>
    </font>
    <font>
      <b/>
      <u/>
      <sz val="16"/>
      <color theme="1"/>
      <name val="Calibri"/>
      <family val="2"/>
      <scheme val="minor"/>
    </font>
    <font>
      <b/>
      <u/>
      <sz val="12"/>
      <color theme="1"/>
      <name val="Calibri"/>
      <family val="2"/>
      <scheme val="minor"/>
    </font>
    <font>
      <b/>
      <sz val="8"/>
      <color theme="1"/>
      <name val="Calibri"/>
      <family val="2"/>
      <scheme val="minor"/>
    </font>
    <font>
      <b/>
      <sz val="10"/>
      <color theme="1"/>
      <name val="Calibri"/>
      <family val="2"/>
      <scheme val="minor"/>
    </font>
    <font>
      <sz val="11"/>
      <name val="Calibri"/>
      <family val="2"/>
      <scheme val="minor"/>
    </font>
    <font>
      <sz val="11"/>
      <color theme="1"/>
      <name val="Times New Roman"/>
      <family val="1"/>
    </font>
    <font>
      <b/>
      <sz val="14"/>
      <color theme="1"/>
      <name val="Calibri"/>
      <family val="2"/>
      <scheme val="minor"/>
    </font>
    <font>
      <b/>
      <sz val="16"/>
      <name val="Times New Roman"/>
      <family val="1"/>
    </font>
    <font>
      <b/>
      <sz val="16"/>
      <color theme="1"/>
      <name val="Times New Roman"/>
      <family val="1"/>
    </font>
    <font>
      <b/>
      <u/>
      <sz val="16"/>
      <color theme="1"/>
      <name val="Times New Roman"/>
      <family val="1"/>
    </font>
    <font>
      <b/>
      <i/>
      <sz val="16"/>
      <color theme="1"/>
      <name val="Times New Roman"/>
      <family val="1"/>
    </font>
    <font>
      <sz val="16"/>
      <color theme="1"/>
      <name val="Calibri"/>
      <family val="2"/>
      <scheme val="minor"/>
    </font>
    <font>
      <b/>
      <sz val="12"/>
      <color indexed="8"/>
      <name val="Arial"/>
      <family val="2"/>
    </font>
    <font>
      <sz val="16"/>
      <name val="Arial"/>
      <family val="2"/>
    </font>
    <font>
      <b/>
      <sz val="16"/>
      <name val="Arial"/>
      <family val="2"/>
    </font>
    <font>
      <b/>
      <sz val="18"/>
      <name val="Calibri"/>
      <family val="2"/>
      <scheme val="minor"/>
    </font>
    <font>
      <sz val="14"/>
      <name val="Calibri"/>
      <family val="2"/>
    </font>
    <font>
      <b/>
      <sz val="16"/>
      <name val="Calibri"/>
      <family val="2"/>
    </font>
    <font>
      <sz val="18"/>
      <color theme="1"/>
      <name val="Calibri"/>
      <family val="2"/>
    </font>
    <font>
      <b/>
      <sz val="10"/>
      <color theme="1"/>
      <name val="Times New Roman"/>
      <family val="1"/>
    </font>
    <font>
      <b/>
      <sz val="8"/>
      <name val="Times New Roman"/>
      <family val="1"/>
    </font>
    <font>
      <b/>
      <sz val="8"/>
      <color theme="1"/>
      <name val="Times New Roman"/>
      <family val="1"/>
    </font>
    <font>
      <b/>
      <u/>
      <sz val="8"/>
      <color theme="1"/>
      <name val="Times New Roman"/>
      <family val="1"/>
    </font>
    <font>
      <b/>
      <sz val="11"/>
      <name val="Times New Roman"/>
      <family val="1"/>
    </font>
    <font>
      <b/>
      <sz val="10"/>
      <name val="Times New Roman"/>
      <family val="1"/>
    </font>
    <font>
      <b/>
      <sz val="14"/>
      <color rgb="FFC00000"/>
      <name val="Times New Roman"/>
      <family val="1"/>
    </font>
    <font>
      <sz val="12"/>
      <name val="Times New Roman"/>
      <family val="1"/>
    </font>
    <font>
      <sz val="12"/>
      <color theme="1"/>
      <name val="Tahoma"/>
      <family val="2"/>
    </font>
    <font>
      <b/>
      <sz val="12"/>
      <color rgb="FFFF0000"/>
      <name val="Tahoma"/>
      <family val="2"/>
    </font>
    <font>
      <sz val="12"/>
      <name val="Tahoma"/>
      <family val="2"/>
    </font>
    <font>
      <b/>
      <i/>
      <sz val="12"/>
      <name val="Tahoma"/>
      <family val="2"/>
    </font>
    <font>
      <b/>
      <sz val="12"/>
      <name val="Tahoma"/>
      <family val="2"/>
    </font>
    <font>
      <b/>
      <sz val="20"/>
      <name val="Tahoma"/>
      <family val="2"/>
    </font>
    <font>
      <b/>
      <sz val="20"/>
      <name val="Calibri"/>
      <family val="2"/>
      <scheme val="minor"/>
    </font>
    <font>
      <b/>
      <sz val="18"/>
      <name val="Arial"/>
      <family val="2"/>
    </font>
    <font>
      <b/>
      <sz val="20"/>
      <name val="Arial"/>
      <family val="2"/>
    </font>
    <font>
      <b/>
      <sz val="16"/>
      <color theme="1"/>
      <name val="Calibri"/>
      <family val="2"/>
      <scheme val="minor"/>
    </font>
    <font>
      <sz val="16"/>
      <color rgb="FFFF0000"/>
      <name val="Calibri"/>
      <family val="2"/>
    </font>
    <font>
      <sz val="16"/>
      <name val="Calibri"/>
      <family val="2"/>
      <scheme val="minor"/>
    </font>
    <font>
      <sz val="16"/>
      <color rgb="FFFF0000"/>
      <name val="Calibri"/>
      <family val="2"/>
      <scheme val="minor"/>
    </font>
    <font>
      <sz val="16"/>
      <name val="Calibri"/>
      <family val="2"/>
    </font>
    <font>
      <b/>
      <sz val="12"/>
      <color theme="1"/>
      <name val="Tahoma"/>
      <family val="2"/>
    </font>
    <font>
      <b/>
      <sz val="16"/>
      <color indexed="8"/>
      <name val="Arial"/>
      <family val="2"/>
    </font>
    <font>
      <sz val="16"/>
      <color indexed="8"/>
      <name val="Arial"/>
      <family val="2"/>
    </font>
    <font>
      <b/>
      <u/>
      <sz val="16"/>
      <name val="Arial"/>
      <family val="2"/>
    </font>
    <font>
      <b/>
      <sz val="24"/>
      <name val="Calibri"/>
      <family val="2"/>
      <scheme val="minor"/>
    </font>
    <font>
      <b/>
      <sz val="18"/>
      <color theme="1"/>
      <name val="Times New Roman"/>
      <family val="1"/>
    </font>
    <font>
      <b/>
      <sz val="10"/>
      <name val="Calibri"/>
      <family val="2"/>
      <scheme val="minor"/>
    </font>
    <font>
      <b/>
      <sz val="12"/>
      <color theme="1"/>
      <name val="Times New Roman"/>
      <family val="1"/>
    </font>
    <font>
      <b/>
      <sz val="22"/>
      <name val="Arial"/>
      <family val="2"/>
    </font>
    <font>
      <sz val="22"/>
      <color rgb="FFFF0000"/>
      <name val="Arial"/>
      <family val="2"/>
    </font>
    <font>
      <b/>
      <sz val="24"/>
      <name val="Calibri"/>
      <family val="2"/>
    </font>
    <font>
      <b/>
      <u/>
      <sz val="16"/>
      <color rgb="FFFF0000"/>
      <name val="Times New Roman"/>
      <family val="1"/>
    </font>
    <font>
      <b/>
      <sz val="16"/>
      <color rgb="FFFF0000"/>
      <name val="Times New Roman"/>
      <family val="1"/>
    </font>
  </fonts>
  <fills count="14">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indexed="9"/>
        <bgColor indexed="64"/>
      </patternFill>
    </fill>
    <fill>
      <patternFill patternType="solid">
        <fgColor theme="0"/>
        <bgColor indexed="64"/>
      </patternFill>
    </fill>
    <fill>
      <patternFill patternType="solid">
        <fgColor indexed="27"/>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4" tint="0.79998168889431442"/>
        <bgColor indexed="4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92D050"/>
        <bgColor indexed="64"/>
      </patternFill>
    </fill>
  </fills>
  <borders count="6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s>
  <cellStyleXfs count="17">
    <xf numFmtId="0" fontId="0" fillId="0" borderId="0"/>
    <xf numFmtId="166" fontId="1" fillId="0" borderId="0" applyFont="0" applyFill="0" applyBorder="0" applyAlignment="0" applyProtection="0"/>
    <xf numFmtId="0" fontId="2" fillId="0" borderId="0"/>
    <xf numFmtId="166" fontId="2" fillId="0" borderId="0" applyFont="0" applyFill="0" applyBorder="0" applyAlignment="0" applyProtection="0"/>
    <xf numFmtId="0" fontId="3" fillId="0" borderId="0"/>
    <xf numFmtId="165" fontId="1" fillId="0" borderId="0" applyFont="0" applyFill="0" applyBorder="0" applyAlignment="0" applyProtection="0"/>
    <xf numFmtId="0" fontId="11" fillId="0" borderId="0"/>
    <xf numFmtId="165" fontId="1" fillId="0" borderId="0" applyFont="0" applyFill="0" applyBorder="0" applyAlignment="0" applyProtection="0"/>
    <xf numFmtId="0" fontId="1" fillId="0" borderId="0"/>
    <xf numFmtId="0" fontId="2" fillId="0" borderId="0"/>
    <xf numFmtId="0" fontId="2" fillId="0" borderId="0"/>
    <xf numFmtId="0" fontId="2" fillId="0" borderId="0"/>
    <xf numFmtId="43" fontId="1" fillId="0" borderId="0" applyFont="0" applyFill="0" applyBorder="0" applyAlignment="0" applyProtection="0"/>
    <xf numFmtId="4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6" fontId="11" fillId="0" borderId="0" applyFont="0" applyFill="0" applyBorder="0" applyAlignment="0" applyProtection="0"/>
  </cellStyleXfs>
  <cellXfs count="707">
    <xf numFmtId="0" fontId="0" fillId="0" borderId="0" xfId="0"/>
    <xf numFmtId="0" fontId="4" fillId="0" borderId="0" xfId="2" applyFont="1" applyProtection="1">
      <protection locked="0"/>
    </xf>
    <xf numFmtId="166" fontId="4" fillId="0" borderId="0" xfId="1" applyFont="1" applyFill="1" applyProtection="1">
      <protection locked="0"/>
    </xf>
    <xf numFmtId="0" fontId="4" fillId="0" borderId="0" xfId="2" applyFont="1" applyAlignment="1" applyProtection="1">
      <alignment horizontal="center"/>
      <protection locked="0"/>
    </xf>
    <xf numFmtId="166" fontId="0" fillId="0" borderId="0" xfId="1" applyFont="1"/>
    <xf numFmtId="0" fontId="0" fillId="4" borderId="0" xfId="0" applyFill="1"/>
    <xf numFmtId="0" fontId="0" fillId="5" borderId="0" xfId="0" applyFill="1"/>
    <xf numFmtId="0" fontId="6" fillId="4" borderId="12" xfId="0" applyFont="1" applyFill="1" applyBorder="1"/>
    <xf numFmtId="0" fontId="7" fillId="4" borderId="13" xfId="0" applyFont="1" applyFill="1" applyBorder="1"/>
    <xf numFmtId="0" fontId="7" fillId="4" borderId="14" xfId="0" applyFont="1" applyFill="1" applyBorder="1"/>
    <xf numFmtId="0" fontId="6" fillId="4" borderId="15" xfId="0" applyFont="1" applyFill="1" applyBorder="1"/>
    <xf numFmtId="0" fontId="6" fillId="4" borderId="0" xfId="0" applyFont="1" applyFill="1" applyAlignment="1">
      <alignment horizontal="right"/>
    </xf>
    <xf numFmtId="0" fontId="6" fillId="4" borderId="0" xfId="0" applyFont="1" applyFill="1"/>
    <xf numFmtId="0" fontId="7" fillId="4" borderId="0" xfId="0" applyFont="1" applyFill="1"/>
    <xf numFmtId="0" fontId="7" fillId="4" borderId="16" xfId="0" applyFont="1" applyFill="1" applyBorder="1"/>
    <xf numFmtId="0" fontId="6" fillId="4" borderId="16" xfId="0" applyFont="1" applyFill="1" applyBorder="1"/>
    <xf numFmtId="0" fontId="6" fillId="4" borderId="8" xfId="0" applyFont="1" applyFill="1" applyBorder="1"/>
    <xf numFmtId="0" fontId="6" fillId="4" borderId="17" xfId="0" applyFont="1" applyFill="1" applyBorder="1"/>
    <xf numFmtId="0" fontId="6" fillId="4" borderId="18" xfId="0" applyFont="1" applyFill="1" applyBorder="1"/>
    <xf numFmtId="0" fontId="6" fillId="4" borderId="0" xfId="0" applyFont="1" applyFill="1" applyProtection="1">
      <protection locked="0"/>
    </xf>
    <xf numFmtId="0" fontId="0" fillId="0" borderId="3" xfId="2" applyFont="1" applyBorder="1" applyAlignment="1" applyProtection="1">
      <alignment horizontal="center"/>
      <protection locked="0"/>
    </xf>
    <xf numFmtId="0" fontId="0" fillId="0" borderId="3" xfId="2" quotePrefix="1" applyFont="1" applyBorder="1" applyAlignment="1" applyProtection="1">
      <alignment horizontal="left"/>
      <protection locked="0"/>
    </xf>
    <xf numFmtId="0" fontId="11" fillId="0" borderId="0" xfId="0" applyFont="1" applyAlignment="1">
      <alignment vertical="center"/>
    </xf>
    <xf numFmtId="0" fontId="13" fillId="0" borderId="0" xfId="0" applyFont="1" applyAlignment="1">
      <alignment horizontal="center" vertical="center"/>
    </xf>
    <xf numFmtId="0" fontId="11" fillId="7" borderId="0" xfId="0" applyFont="1" applyFill="1" applyAlignment="1">
      <alignment vertical="center"/>
    </xf>
    <xf numFmtId="0" fontId="14" fillId="0" borderId="0" xfId="0" applyFont="1" applyAlignment="1">
      <alignment vertical="center"/>
    </xf>
    <xf numFmtId="0" fontId="14" fillId="4" borderId="0" xfId="0" applyFont="1" applyFill="1" applyAlignment="1">
      <alignment vertical="center" wrapText="1"/>
    </xf>
    <xf numFmtId="0" fontId="14" fillId="0" borderId="0" xfId="0" applyFont="1" applyAlignment="1">
      <alignment horizontal="left" vertical="center"/>
    </xf>
    <xf numFmtId="0" fontId="11" fillId="0" borderId="0" xfId="0" applyFont="1" applyAlignment="1">
      <alignment horizontal="left" vertical="center"/>
    </xf>
    <xf numFmtId="0" fontId="11" fillId="0" borderId="0" xfId="6" applyAlignment="1">
      <alignment horizontal="left" vertical="center" wrapText="1"/>
    </xf>
    <xf numFmtId="0" fontId="11" fillId="0" borderId="0" xfId="6" applyAlignment="1">
      <alignment horizontal="center" vertical="center" wrapText="1"/>
    </xf>
    <xf numFmtId="49" fontId="11" fillId="0" borderId="0" xfId="6" applyNumberFormat="1" applyAlignment="1">
      <alignment horizontal="center" vertical="center" wrapText="1"/>
    </xf>
    <xf numFmtId="170" fontId="12" fillId="0" borderId="0" xfId="0" applyNumberFormat="1" applyFont="1" applyAlignment="1">
      <alignment horizontal="center" vertical="center"/>
    </xf>
    <xf numFmtId="0" fontId="11"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vertical="center"/>
    </xf>
    <xf numFmtId="0" fontId="16" fillId="0" borderId="13" xfId="0" applyFont="1" applyBorder="1" applyAlignment="1">
      <alignment vertical="center"/>
    </xf>
    <xf numFmtId="0" fontId="15" fillId="0" borderId="8" xfId="0" applyFont="1" applyBorder="1" applyAlignment="1">
      <alignment vertical="center"/>
    </xf>
    <xf numFmtId="0" fontId="15" fillId="0" borderId="0" xfId="0" quotePrefix="1" applyFont="1" applyAlignment="1">
      <alignment horizontal="center" vertical="center"/>
    </xf>
    <xf numFmtId="0" fontId="15" fillId="0" borderId="0" xfId="0" applyFont="1" applyAlignment="1">
      <alignment horizontal="center" vertical="center"/>
    </xf>
    <xf numFmtId="0" fontId="15" fillId="0" borderId="0" xfId="0" applyFont="1" applyAlignment="1">
      <alignment vertical="center" wrapText="1"/>
    </xf>
    <xf numFmtId="165" fontId="15" fillId="0" borderId="3" xfId="5" applyFont="1" applyBorder="1" applyAlignment="1">
      <alignment vertical="center" wrapText="1"/>
    </xf>
    <xf numFmtId="14" fontId="15" fillId="0" borderId="3" xfId="0" applyNumberFormat="1" applyFont="1" applyBorder="1" applyAlignment="1">
      <alignment horizontal="left" vertical="center" wrapText="1"/>
    </xf>
    <xf numFmtId="0" fontId="15" fillId="0" borderId="3" xfId="0" applyFont="1" applyBorder="1" applyAlignment="1">
      <alignment horizontal="right" vertical="center" wrapText="1"/>
    </xf>
    <xf numFmtId="166" fontId="15" fillId="0" borderId="15" xfId="1" applyFont="1" applyBorder="1" applyAlignment="1">
      <alignment vertical="center" wrapText="1"/>
    </xf>
    <xf numFmtId="0" fontId="15" fillId="0" borderId="3" xfId="0" quotePrefix="1" applyFont="1" applyBorder="1" applyAlignment="1">
      <alignment horizontal="right" vertical="center" wrapText="1"/>
    </xf>
    <xf numFmtId="0" fontId="15" fillId="0" borderId="0" xfId="0" applyFont="1" applyAlignment="1">
      <alignment horizontal="center" vertical="center" wrapText="1"/>
    </xf>
    <xf numFmtId="14" fontId="15" fillId="0" borderId="0" xfId="0" applyNumberFormat="1" applyFont="1" applyAlignment="1">
      <alignment horizontal="center" vertical="center" wrapText="1"/>
    </xf>
    <xf numFmtId="166" fontId="15" fillId="0" borderId="12" xfId="1" applyFont="1" applyBorder="1" applyAlignment="1">
      <alignment vertical="center" wrapText="1"/>
    </xf>
    <xf numFmtId="0" fontId="15" fillId="0" borderId="13" xfId="0" applyFont="1" applyBorder="1" applyAlignment="1">
      <alignment horizontal="center" vertical="center" wrapText="1"/>
    </xf>
    <xf numFmtId="14" fontId="15" fillId="0" borderId="13" xfId="0" applyNumberFormat="1" applyFont="1" applyBorder="1" applyAlignment="1">
      <alignment horizontal="center" vertical="center" wrapText="1"/>
    </xf>
    <xf numFmtId="0" fontId="15" fillId="5" borderId="3" xfId="0" applyFont="1" applyFill="1" applyBorder="1" applyAlignment="1">
      <alignment horizontal="center" vertical="center" wrapText="1"/>
    </xf>
    <xf numFmtId="14" fontId="15" fillId="0" borderId="3"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15" fillId="0" borderId="3" xfId="0" applyFont="1" applyBorder="1" applyAlignment="1">
      <alignment vertical="center" wrapText="1"/>
    </xf>
    <xf numFmtId="2" fontId="15" fillId="0" borderId="3" xfId="0" applyNumberFormat="1" applyFont="1" applyBorder="1" applyAlignment="1">
      <alignment vertical="center" wrapText="1"/>
    </xf>
    <xf numFmtId="0" fontId="15" fillId="0" borderId="3" xfId="0" applyFont="1" applyBorder="1" applyAlignment="1">
      <alignment horizontal="left" vertical="center" wrapText="1"/>
    </xf>
    <xf numFmtId="166" fontId="15" fillId="0" borderId="3" xfId="1" applyFont="1" applyBorder="1" applyAlignment="1">
      <alignment vertical="center" wrapText="1"/>
    </xf>
    <xf numFmtId="165" fontId="17" fillId="0" borderId="3" xfId="5" applyFont="1" applyBorder="1" applyAlignment="1">
      <alignment vertical="center" wrapText="1"/>
    </xf>
    <xf numFmtId="14" fontId="15" fillId="0" borderId="0" xfId="0" applyNumberFormat="1" applyFont="1" applyAlignment="1">
      <alignment horizontal="center" vertical="center"/>
    </xf>
    <xf numFmtId="0" fontId="15" fillId="0" borderId="0" xfId="0" applyFont="1" applyAlignment="1">
      <alignment horizontal="right" vertical="center"/>
    </xf>
    <xf numFmtId="17" fontId="15" fillId="0" borderId="0" xfId="0" applyNumberFormat="1" applyFont="1" applyAlignment="1">
      <alignment vertical="center"/>
    </xf>
    <xf numFmtId="0" fontId="19" fillId="0" borderId="0" xfId="2" applyFont="1" applyAlignment="1">
      <alignment vertical="center"/>
    </xf>
    <xf numFmtId="165" fontId="21" fillId="0" borderId="0" xfId="7" applyFont="1" applyFill="1" applyBorder="1" applyAlignment="1">
      <alignment vertical="center"/>
    </xf>
    <xf numFmtId="165" fontId="21" fillId="0" borderId="0" xfId="7" applyFont="1" applyFill="1" applyBorder="1" applyAlignment="1" applyProtection="1">
      <alignment vertical="center"/>
      <protection locked="0"/>
    </xf>
    <xf numFmtId="165" fontId="19" fillId="0" borderId="0" xfId="7" applyFont="1" applyFill="1" applyAlignment="1">
      <alignment vertical="center"/>
    </xf>
    <xf numFmtId="165" fontId="20" fillId="0" borderId="0" xfId="7" applyFont="1" applyFill="1" applyBorder="1" applyAlignment="1">
      <alignment vertical="center"/>
    </xf>
    <xf numFmtId="3" fontId="22" fillId="0" borderId="0" xfId="7" applyNumberFormat="1" applyFont="1" applyFill="1" applyBorder="1" applyAlignment="1">
      <alignment horizontal="right" vertical="center"/>
    </xf>
    <xf numFmtId="172" fontId="21" fillId="0" borderId="0" xfId="7" applyNumberFormat="1" applyFont="1" applyFill="1" applyBorder="1" applyAlignment="1">
      <alignment vertical="center"/>
    </xf>
    <xf numFmtId="0" fontId="2" fillId="0" borderId="0" xfId="2" applyAlignment="1">
      <alignment vertical="center"/>
    </xf>
    <xf numFmtId="0" fontId="2" fillId="0" borderId="0" xfId="2" applyAlignment="1">
      <alignment horizontal="center" vertical="center"/>
    </xf>
    <xf numFmtId="2" fontId="0" fillId="0" borderId="0" xfId="7" applyNumberFormat="1" applyFont="1" applyFill="1" applyAlignment="1">
      <alignment vertical="center"/>
    </xf>
    <xf numFmtId="0" fontId="8" fillId="0" borderId="0" xfId="2" applyFont="1" applyAlignment="1">
      <alignment vertical="center"/>
    </xf>
    <xf numFmtId="0" fontId="24" fillId="0" borderId="0" xfId="2" applyFont="1" applyAlignment="1">
      <alignment vertical="center"/>
    </xf>
    <xf numFmtId="0" fontId="27" fillId="0" borderId="3" xfId="2" applyFont="1" applyBorder="1" applyAlignment="1">
      <alignment horizontal="center" textRotation="90" wrapText="1"/>
    </xf>
    <xf numFmtId="0" fontId="26" fillId="0" borderId="3" xfId="2" applyFont="1" applyBorder="1" applyAlignment="1">
      <alignment horizontal="center" vertical="center" wrapText="1"/>
    </xf>
    <xf numFmtId="2" fontId="31" fillId="0" borderId="3" xfId="2" applyNumberFormat="1" applyFont="1" applyBorder="1" applyAlignment="1">
      <alignment horizontal="center" vertical="center" wrapText="1"/>
    </xf>
    <xf numFmtId="0" fontId="1" fillId="0" borderId="3" xfId="2" applyFont="1" applyBorder="1" applyAlignment="1">
      <alignment horizontal="center" vertical="center"/>
    </xf>
    <xf numFmtId="0" fontId="24" fillId="0" borderId="3" xfId="2" applyFont="1" applyBorder="1" applyAlignment="1">
      <alignment vertical="center" wrapText="1"/>
    </xf>
    <xf numFmtId="2" fontId="4" fillId="0" borderId="3" xfId="7" applyNumberFormat="1" applyFont="1" applyFill="1" applyBorder="1" applyAlignment="1">
      <alignment horizontal="right" vertical="center" wrapText="1"/>
    </xf>
    <xf numFmtId="0" fontId="2" fillId="0" borderId="3" xfId="2" applyBorder="1" applyAlignment="1">
      <alignment vertical="center"/>
    </xf>
    <xf numFmtId="0" fontId="32" fillId="0" borderId="3" xfId="2" applyFont="1" applyBorder="1" applyAlignment="1">
      <alignment horizontal="center" vertical="center" wrapText="1"/>
    </xf>
    <xf numFmtId="171" fontId="25" fillId="0" borderId="3" xfId="2" applyNumberFormat="1" applyFont="1" applyBorder="1" applyAlignment="1">
      <alignment vertical="center" wrapText="1"/>
    </xf>
    <xf numFmtId="171" fontId="21" fillId="0" borderId="0" xfId="2" applyNumberFormat="1" applyFont="1" applyAlignment="1" applyProtection="1">
      <alignment vertical="center"/>
      <protection locked="0"/>
    </xf>
    <xf numFmtId="0" fontId="31" fillId="0" borderId="3" xfId="2" applyFont="1" applyBorder="1" applyAlignment="1">
      <alignment horizontal="center" vertical="center" wrapText="1"/>
    </xf>
    <xf numFmtId="0" fontId="30" fillId="0" borderId="10" xfId="2" applyFont="1" applyBorder="1" applyAlignment="1">
      <alignment vertical="center" wrapText="1"/>
    </xf>
    <xf numFmtId="0" fontId="31" fillId="0" borderId="13" xfId="2" applyFont="1" applyBorder="1" applyAlignment="1">
      <alignment horizontal="center" vertical="center" wrapText="1"/>
    </xf>
    <xf numFmtId="2" fontId="4" fillId="0" borderId="13" xfId="7" applyNumberFormat="1" applyFont="1" applyFill="1" applyBorder="1" applyAlignment="1">
      <alignment horizontal="right" vertical="center" wrapText="1"/>
    </xf>
    <xf numFmtId="0" fontId="2" fillId="0" borderId="13" xfId="2" applyBorder="1" applyAlignment="1">
      <alignment vertical="center"/>
    </xf>
    <xf numFmtId="0" fontId="23" fillId="0" borderId="0" xfId="2" quotePrefix="1" applyFont="1" applyAlignment="1">
      <alignment horizontal="left" vertical="center"/>
    </xf>
    <xf numFmtId="0" fontId="15" fillId="0" borderId="0" xfId="0" quotePrefix="1" applyFont="1" applyAlignment="1">
      <alignment horizontal="left" vertical="center"/>
    </xf>
    <xf numFmtId="0" fontId="33" fillId="0" borderId="0" xfId="0" applyFont="1"/>
    <xf numFmtId="0" fontId="6" fillId="4" borderId="0" xfId="0" quotePrefix="1" applyFont="1" applyFill="1" applyAlignment="1">
      <alignment horizontal="left"/>
    </xf>
    <xf numFmtId="0" fontId="36" fillId="5" borderId="1" xfId="0" applyFont="1" applyFill="1" applyBorder="1" applyAlignment="1">
      <alignment horizontal="left"/>
    </xf>
    <xf numFmtId="0" fontId="36" fillId="5" borderId="0" xfId="0" applyFont="1" applyFill="1" applyAlignment="1">
      <alignment horizontal="left"/>
    </xf>
    <xf numFmtId="15" fontId="36" fillId="5" borderId="0" xfId="0" applyNumberFormat="1" applyFont="1" applyFill="1" applyAlignment="1">
      <alignment horizontal="left"/>
    </xf>
    <xf numFmtId="0" fontId="36" fillId="5" borderId="1" xfId="0" quotePrefix="1" applyFont="1" applyFill="1" applyBorder="1" applyAlignment="1">
      <alignment horizontal="left"/>
    </xf>
    <xf numFmtId="0" fontId="36" fillId="5" borderId="0" xfId="0" quotePrefix="1" applyFont="1" applyFill="1" applyAlignment="1">
      <alignment horizontal="left"/>
    </xf>
    <xf numFmtId="0" fontId="37" fillId="5" borderId="0" xfId="0" applyFont="1" applyFill="1" applyAlignment="1">
      <alignment horizontal="left"/>
    </xf>
    <xf numFmtId="0" fontId="36" fillId="5" borderId="2" xfId="0" applyFont="1" applyFill="1" applyBorder="1" applyAlignment="1">
      <alignment horizontal="left"/>
    </xf>
    <xf numFmtId="0" fontId="35" fillId="5" borderId="0" xfId="0" applyFont="1" applyFill="1" applyAlignment="1">
      <alignment horizontal="left"/>
    </xf>
    <xf numFmtId="0" fontId="36" fillId="5" borderId="0" xfId="0" applyFont="1" applyFill="1"/>
    <xf numFmtId="0" fontId="35" fillId="5" borderId="0" xfId="0" applyFont="1" applyFill="1"/>
    <xf numFmtId="2" fontId="35" fillId="5" borderId="3" xfId="0" applyNumberFormat="1" applyFont="1" applyFill="1" applyBorder="1" applyAlignment="1">
      <alignment horizontal="right"/>
    </xf>
    <xf numFmtId="0" fontId="36" fillId="5" borderId="3" xfId="0" applyFont="1" applyFill="1" applyBorder="1" applyAlignment="1">
      <alignment horizontal="center"/>
    </xf>
    <xf numFmtId="0" fontId="36" fillId="5" borderId="9" xfId="0" applyFont="1" applyFill="1" applyBorder="1" applyAlignment="1">
      <alignment horizontal="center"/>
    </xf>
    <xf numFmtId="0" fontId="36" fillId="5" borderId="0" xfId="0" applyFont="1" applyFill="1" applyAlignment="1">
      <alignment horizontal="center"/>
    </xf>
    <xf numFmtId="0" fontId="36" fillId="5" borderId="2" xfId="0" applyFont="1" applyFill="1" applyBorder="1" applyAlignment="1">
      <alignment horizontal="center"/>
    </xf>
    <xf numFmtId="1" fontId="36" fillId="5" borderId="9" xfId="0" applyNumberFormat="1" applyFont="1" applyFill="1" applyBorder="1" applyAlignment="1">
      <alignment horizontal="left"/>
    </xf>
    <xf numFmtId="173" fontId="36" fillId="5" borderId="11" xfId="0" applyNumberFormat="1" applyFont="1" applyFill="1" applyBorder="1" applyAlignment="1">
      <alignment horizontal="left"/>
    </xf>
    <xf numFmtId="0" fontId="36" fillId="5" borderId="8" xfId="0" applyFont="1" applyFill="1" applyBorder="1" applyAlignment="1">
      <alignment horizontal="left"/>
    </xf>
    <xf numFmtId="0" fontId="35" fillId="5" borderId="3" xfId="0" applyFont="1" applyFill="1" applyBorder="1" applyAlignment="1">
      <alignment horizontal="right"/>
    </xf>
    <xf numFmtId="2" fontId="36" fillId="5" borderId="3" xfId="0" applyNumberFormat="1" applyFont="1" applyFill="1" applyBorder="1" applyAlignment="1">
      <alignment horizontal="right"/>
    </xf>
    <xf numFmtId="2" fontId="36" fillId="5" borderId="11" xfId="0" applyNumberFormat="1" applyFont="1" applyFill="1" applyBorder="1"/>
    <xf numFmtId="2" fontId="36" fillId="5" borderId="11" xfId="0" applyNumberFormat="1" applyFont="1" applyFill="1" applyBorder="1" applyAlignment="1">
      <alignment horizontal="right"/>
    </xf>
    <xf numFmtId="0" fontId="36" fillId="5" borderId="9" xfId="0" applyFont="1" applyFill="1" applyBorder="1" applyAlignment="1">
      <alignment horizontal="left"/>
    </xf>
    <xf numFmtId="0" fontId="36" fillId="5" borderId="3" xfId="0" applyFont="1" applyFill="1" applyBorder="1" applyAlignment="1">
      <alignment horizontal="right"/>
    </xf>
    <xf numFmtId="2" fontId="36" fillId="5" borderId="3" xfId="0" applyNumberFormat="1" applyFont="1" applyFill="1" applyBorder="1"/>
    <xf numFmtId="0" fontId="36" fillId="5" borderId="0" xfId="0" applyFont="1" applyFill="1" applyAlignment="1">
      <alignment horizontal="right"/>
    </xf>
    <xf numFmtId="2" fontId="36" fillId="5" borderId="8" xfId="0" applyNumberFormat="1" applyFont="1" applyFill="1" applyBorder="1" applyAlignment="1">
      <alignment horizontal="right"/>
    </xf>
    <xf numFmtId="2" fontId="36" fillId="5" borderId="30" xfId="0" applyNumberFormat="1" applyFont="1" applyFill="1" applyBorder="1" applyAlignment="1">
      <alignment horizontal="right"/>
    </xf>
    <xf numFmtId="2" fontId="36" fillId="5" borderId="0" xfId="0" applyNumberFormat="1" applyFont="1" applyFill="1" applyAlignment="1">
      <alignment horizontal="left"/>
    </xf>
    <xf numFmtId="0" fontId="36" fillId="5" borderId="3" xfId="0" applyFont="1" applyFill="1" applyBorder="1" applyAlignment="1">
      <alignment horizontal="left"/>
    </xf>
    <xf numFmtId="2" fontId="36" fillId="5" borderId="31" xfId="0" applyNumberFormat="1" applyFont="1" applyFill="1" applyBorder="1" applyAlignment="1">
      <alignment horizontal="right"/>
    </xf>
    <xf numFmtId="2" fontId="36" fillId="5" borderId="33" xfId="0" applyNumberFormat="1" applyFont="1" applyFill="1" applyBorder="1" applyAlignment="1">
      <alignment horizontal="right"/>
    </xf>
    <xf numFmtId="0" fontId="37" fillId="5" borderId="1" xfId="0" applyFont="1" applyFill="1" applyBorder="1" applyAlignment="1">
      <alignment horizontal="left"/>
    </xf>
    <xf numFmtId="0" fontId="36" fillId="5" borderId="13" xfId="0" applyFont="1" applyFill="1" applyBorder="1" applyAlignment="1">
      <alignment horizontal="left"/>
    </xf>
    <xf numFmtId="0" fontId="36" fillId="5" borderId="36" xfId="0" applyFont="1" applyFill="1" applyBorder="1" applyAlignment="1">
      <alignment horizontal="left"/>
    </xf>
    <xf numFmtId="0" fontId="36" fillId="5" borderId="33" xfId="0" applyFont="1" applyFill="1" applyBorder="1" applyAlignment="1">
      <alignment horizontal="left"/>
    </xf>
    <xf numFmtId="0" fontId="35" fillId="5" borderId="33" xfId="0" applyFont="1" applyFill="1" applyBorder="1" applyAlignment="1">
      <alignment horizontal="left"/>
    </xf>
    <xf numFmtId="0" fontId="38" fillId="5" borderId="33" xfId="0" applyFont="1" applyFill="1" applyBorder="1" applyAlignment="1">
      <alignment horizontal="left"/>
    </xf>
    <xf numFmtId="0" fontId="36" fillId="5" borderId="37" xfId="0" applyFont="1" applyFill="1" applyBorder="1" applyAlignment="1">
      <alignment horizontal="left"/>
    </xf>
    <xf numFmtId="166" fontId="36" fillId="5" borderId="3" xfId="0" applyNumberFormat="1" applyFont="1" applyFill="1" applyBorder="1" applyAlignment="1">
      <alignment horizontal="right"/>
    </xf>
    <xf numFmtId="0" fontId="39" fillId="0" borderId="0" xfId="0" applyFont="1"/>
    <xf numFmtId="0" fontId="36" fillId="5" borderId="0" xfId="0" applyFont="1" applyFill="1" applyAlignment="1">
      <alignment vertical="center"/>
    </xf>
    <xf numFmtId="15" fontId="36" fillId="5" borderId="0" xfId="0" applyNumberFormat="1" applyFont="1" applyFill="1"/>
    <xf numFmtId="15" fontId="36" fillId="5" borderId="2" xfId="0" applyNumberFormat="1" applyFont="1" applyFill="1" applyBorder="1"/>
    <xf numFmtId="0" fontId="36" fillId="5" borderId="36" xfId="0" applyFont="1" applyFill="1" applyBorder="1"/>
    <xf numFmtId="0" fontId="36" fillId="5" borderId="33" xfId="0" applyFont="1" applyFill="1" applyBorder="1"/>
    <xf numFmtId="0" fontId="36" fillId="5" borderId="37" xfId="0" applyFont="1" applyFill="1" applyBorder="1"/>
    <xf numFmtId="0" fontId="0" fillId="0" borderId="3" xfId="2" applyFont="1" applyBorder="1" applyAlignment="1">
      <alignment vertical="center"/>
    </xf>
    <xf numFmtId="0" fontId="0" fillId="0" borderId="3" xfId="2" applyFont="1" applyBorder="1" applyAlignment="1">
      <alignment vertical="center" wrapText="1"/>
    </xf>
    <xf numFmtId="0" fontId="0" fillId="0" borderId="3" xfId="2" applyFont="1" applyBorder="1" applyAlignment="1">
      <alignment horizontal="center" vertical="center"/>
    </xf>
    <xf numFmtId="0" fontId="10" fillId="0" borderId="6" xfId="0" applyFont="1" applyBorder="1" applyAlignment="1">
      <alignment horizontal="center" vertical="center"/>
    </xf>
    <xf numFmtId="0" fontId="41" fillId="0" borderId="0" xfId="0" applyFont="1" applyAlignment="1">
      <alignment vertical="center"/>
    </xf>
    <xf numFmtId="0" fontId="41" fillId="0" borderId="0" xfId="0" applyFont="1" applyAlignment="1">
      <alignment horizontal="center" vertical="center"/>
    </xf>
    <xf numFmtId="170" fontId="41" fillId="0" borderId="0" xfId="0" applyNumberFormat="1" applyFont="1" applyAlignment="1">
      <alignment horizontal="center" vertical="center"/>
    </xf>
    <xf numFmtId="17" fontId="0" fillId="0" borderId="3" xfId="2" quotePrefix="1" applyNumberFormat="1" applyFont="1" applyBorder="1" applyAlignment="1" applyProtection="1">
      <alignment horizontal="center"/>
      <protection locked="0"/>
    </xf>
    <xf numFmtId="17" fontId="36" fillId="5" borderId="0" xfId="0" applyNumberFormat="1" applyFont="1" applyFill="1"/>
    <xf numFmtId="17" fontId="36" fillId="5" borderId="0" xfId="0" applyNumberFormat="1" applyFont="1" applyFill="1" applyAlignment="1">
      <alignment vertical="center"/>
    </xf>
    <xf numFmtId="168" fontId="10" fillId="0" borderId="0" xfId="0" applyNumberFormat="1" applyFont="1" applyAlignment="1">
      <alignment horizontal="center" vertical="center"/>
    </xf>
    <xf numFmtId="0" fontId="41" fillId="0" borderId="0" xfId="6" applyFont="1" applyAlignment="1">
      <alignment horizontal="center" vertical="center" wrapText="1"/>
    </xf>
    <xf numFmtId="0" fontId="41" fillId="5" borderId="0" xfId="6" applyFont="1" applyFill="1" applyAlignment="1">
      <alignment horizontal="center" vertical="center" wrapText="1"/>
    </xf>
    <xf numFmtId="0" fontId="0" fillId="0" borderId="3" xfId="2" applyFont="1" applyBorder="1" applyAlignment="1">
      <alignment horizontal="center" vertical="center" wrapText="1"/>
    </xf>
    <xf numFmtId="0" fontId="25" fillId="0" borderId="3" xfId="2" applyFont="1" applyBorder="1" applyAlignment="1">
      <alignment vertical="center" wrapText="1"/>
    </xf>
    <xf numFmtId="0" fontId="30" fillId="0" borderId="3" xfId="2" applyFont="1" applyBorder="1" applyAlignment="1">
      <alignment vertical="center" wrapText="1"/>
    </xf>
    <xf numFmtId="0" fontId="0" fillId="0" borderId="0" xfId="0" applyAlignment="1">
      <alignment vertical="center"/>
    </xf>
    <xf numFmtId="0" fontId="0" fillId="0" borderId="0" xfId="2" applyFont="1" applyAlignment="1">
      <alignment horizontal="center" vertical="center" wrapText="1"/>
    </xf>
    <xf numFmtId="14" fontId="0" fillId="0" borderId="3" xfId="2" applyNumberFormat="1" applyFont="1" applyBorder="1" applyAlignment="1">
      <alignment horizontal="center" vertical="center"/>
    </xf>
    <xf numFmtId="0" fontId="0" fillId="5" borderId="3" xfId="2" applyFont="1" applyFill="1" applyBorder="1" applyAlignment="1">
      <alignment horizontal="center" vertical="center" wrapText="1"/>
    </xf>
    <xf numFmtId="14" fontId="2" fillId="0" borderId="3" xfId="2" applyNumberFormat="1" applyBorder="1" applyAlignment="1">
      <alignment horizontal="center" vertical="center"/>
    </xf>
    <xf numFmtId="0" fontId="2" fillId="0" borderId="3" xfId="2" applyBorder="1" applyAlignment="1">
      <alignment horizontal="center" vertical="center"/>
    </xf>
    <xf numFmtId="0" fontId="0" fillId="0" borderId="0" xfId="2" applyFont="1" applyAlignment="1">
      <alignment vertical="center"/>
    </xf>
    <xf numFmtId="169" fontId="45" fillId="5" borderId="3" xfId="0" applyNumberFormat="1" applyFont="1" applyFill="1" applyBorder="1" applyAlignment="1" applyProtection="1">
      <alignment horizontal="center" vertical="center"/>
      <protection locked="0"/>
    </xf>
    <xf numFmtId="170" fontId="45" fillId="0" borderId="0" xfId="0" applyNumberFormat="1" applyFont="1" applyAlignment="1">
      <alignment horizontal="center" vertical="center"/>
    </xf>
    <xf numFmtId="0" fontId="46" fillId="0" borderId="0" xfId="0" applyFont="1"/>
    <xf numFmtId="0" fontId="49" fillId="5" borderId="3" xfId="10" applyFont="1" applyFill="1" applyBorder="1" applyAlignment="1">
      <alignment horizontal="center"/>
    </xf>
    <xf numFmtId="0" fontId="49" fillId="5" borderId="0" xfId="10" applyFont="1" applyFill="1" applyAlignment="1">
      <alignment horizontal="center"/>
    </xf>
    <xf numFmtId="1" fontId="49" fillId="5" borderId="18" xfId="10" applyNumberFormat="1" applyFont="1" applyFill="1" applyBorder="1" applyAlignment="1">
      <alignment horizontal="left"/>
    </xf>
    <xf numFmtId="173" fontId="49" fillId="5" borderId="17" xfId="10" applyNumberFormat="1" applyFont="1" applyFill="1" applyBorder="1" applyAlignment="1">
      <alignment horizontal="left"/>
    </xf>
    <xf numFmtId="0" fontId="49" fillId="5" borderId="18" xfId="10" applyFont="1" applyFill="1" applyBorder="1" applyAlignment="1">
      <alignment horizontal="left"/>
    </xf>
    <xf numFmtId="0" fontId="48" fillId="5" borderId="7" xfId="10" applyFont="1" applyFill="1" applyBorder="1" applyAlignment="1">
      <alignment horizontal="right"/>
    </xf>
    <xf numFmtId="2" fontId="49" fillId="5" borderId="7" xfId="10" applyNumberFormat="1" applyFont="1" applyFill="1" applyBorder="1" applyAlignment="1">
      <alignment horizontal="right"/>
    </xf>
    <xf numFmtId="2" fontId="49" fillId="5" borderId="17" xfId="10" applyNumberFormat="1" applyFont="1" applyFill="1" applyBorder="1"/>
    <xf numFmtId="1" fontId="49" fillId="5" borderId="9" xfId="10" applyNumberFormat="1" applyFont="1" applyFill="1" applyBorder="1" applyAlignment="1">
      <alignment horizontal="left"/>
    </xf>
    <xf numFmtId="173" fontId="49" fillId="5" borderId="11" xfId="10" applyNumberFormat="1" applyFont="1" applyFill="1" applyBorder="1" applyAlignment="1">
      <alignment horizontal="left"/>
    </xf>
    <xf numFmtId="0" fontId="48" fillId="5" borderId="3" xfId="10" applyFont="1" applyFill="1" applyBorder="1" applyAlignment="1">
      <alignment horizontal="right"/>
    </xf>
    <xf numFmtId="2" fontId="49" fillId="5" borderId="3" xfId="10" applyNumberFormat="1" applyFont="1" applyFill="1" applyBorder="1" applyAlignment="1">
      <alignment horizontal="right"/>
    </xf>
    <xf numFmtId="0" fontId="49" fillId="5" borderId="9" xfId="10" applyFont="1" applyFill="1" applyBorder="1" applyAlignment="1">
      <alignment horizontal="left"/>
    </xf>
    <xf numFmtId="0" fontId="49" fillId="5" borderId="3" xfId="10" applyFont="1" applyFill="1" applyBorder="1" applyAlignment="1">
      <alignment horizontal="right"/>
    </xf>
    <xf numFmtId="2" fontId="49" fillId="5" borderId="3" xfId="10" applyNumberFormat="1" applyFont="1" applyFill="1" applyBorder="1"/>
    <xf numFmtId="2" fontId="49" fillId="5" borderId="8" xfId="10" applyNumberFormat="1" applyFont="1" applyFill="1" applyBorder="1" applyAlignment="1">
      <alignment horizontal="right"/>
    </xf>
    <xf numFmtId="2" fontId="49" fillId="5" borderId="30" xfId="10" applyNumberFormat="1" applyFont="1" applyFill="1" applyBorder="1" applyAlignment="1">
      <alignment horizontal="right"/>
    </xf>
    <xf numFmtId="0" fontId="49" fillId="5" borderId="0" xfId="10" applyFont="1" applyFill="1" applyAlignment="1">
      <alignment horizontal="left"/>
    </xf>
    <xf numFmtId="0" fontId="49" fillId="5" borderId="0" xfId="10" applyFont="1" applyFill="1"/>
    <xf numFmtId="0" fontId="49" fillId="5" borderId="1" xfId="10" quotePrefix="1" applyFont="1" applyFill="1" applyBorder="1" applyAlignment="1">
      <alignment horizontal="left"/>
    </xf>
    <xf numFmtId="0" fontId="49" fillId="5" borderId="0" xfId="10" quotePrefix="1" applyFont="1" applyFill="1" applyAlignment="1">
      <alignment horizontal="left"/>
    </xf>
    <xf numFmtId="0" fontId="48" fillId="5" borderId="0" xfId="10" applyFont="1" applyFill="1" applyAlignment="1">
      <alignment horizontal="left"/>
    </xf>
    <xf numFmtId="15" fontId="49" fillId="8" borderId="0" xfId="10" applyNumberFormat="1" applyFont="1" applyFill="1" applyAlignment="1" applyProtection="1">
      <alignment horizontal="right"/>
      <protection locked="0"/>
    </xf>
    <xf numFmtId="15" fontId="49" fillId="5" borderId="0" xfId="10" applyNumberFormat="1" applyFont="1" applyFill="1" applyAlignment="1">
      <alignment horizontal="left"/>
    </xf>
    <xf numFmtId="0" fontId="49" fillId="5" borderId="1" xfId="10" applyFont="1" applyFill="1" applyBorder="1" applyAlignment="1">
      <alignment horizontal="left"/>
    </xf>
    <xf numFmtId="0" fontId="49" fillId="5" borderId="0" xfId="10" applyFont="1" applyFill="1" applyAlignment="1">
      <alignment horizontal="right"/>
    </xf>
    <xf numFmtId="0" fontId="49" fillId="5" borderId="1" xfId="10" applyFont="1" applyFill="1" applyBorder="1"/>
    <xf numFmtId="0" fontId="49" fillId="5" borderId="2" xfId="10" applyFont="1" applyFill="1" applyBorder="1" applyAlignment="1">
      <alignment horizontal="center"/>
    </xf>
    <xf numFmtId="0" fontId="49" fillId="5" borderId="2" xfId="10" applyFont="1" applyFill="1" applyBorder="1" applyAlignment="1">
      <alignment horizontal="left"/>
    </xf>
    <xf numFmtId="2" fontId="49" fillId="5" borderId="0" xfId="10" applyNumberFormat="1" applyFont="1" applyFill="1" applyAlignment="1">
      <alignment horizontal="left"/>
    </xf>
    <xf numFmtId="0" fontId="49" fillId="5" borderId="3" xfId="10" applyFont="1" applyFill="1" applyBorder="1" applyAlignment="1">
      <alignment horizontal="left"/>
    </xf>
    <xf numFmtId="2" fontId="49" fillId="5" borderId="31" xfId="10" applyNumberFormat="1" applyFont="1" applyFill="1" applyBorder="1" applyAlignment="1">
      <alignment horizontal="right"/>
    </xf>
    <xf numFmtId="2" fontId="49" fillId="5" borderId="33" xfId="10" applyNumberFormat="1" applyFont="1" applyFill="1" applyBorder="1" applyAlignment="1">
      <alignment horizontal="right"/>
    </xf>
    <xf numFmtId="2" fontId="49" fillId="5" borderId="0" xfId="10" applyNumberFormat="1" applyFont="1" applyFill="1" applyAlignment="1">
      <alignment horizontal="right"/>
    </xf>
    <xf numFmtId="0" fontId="49" fillId="5" borderId="8" xfId="10" applyFont="1" applyFill="1" applyBorder="1" applyAlignment="1">
      <alignment horizontal="left"/>
    </xf>
    <xf numFmtId="0" fontId="50" fillId="5" borderId="1" xfId="10" applyFont="1" applyFill="1" applyBorder="1" applyAlignment="1">
      <alignment horizontal="left"/>
    </xf>
    <xf numFmtId="0" fontId="50" fillId="5" borderId="0" xfId="10" applyFont="1" applyFill="1" applyAlignment="1">
      <alignment horizontal="left"/>
    </xf>
    <xf numFmtId="0" fontId="50" fillId="5" borderId="1" xfId="10" applyFont="1" applyFill="1" applyBorder="1" applyAlignment="1">
      <alignment horizontal="center" vertical="center"/>
    </xf>
    <xf numFmtId="0" fontId="50" fillId="5" borderId="0" xfId="10" applyFont="1" applyFill="1" applyAlignment="1">
      <alignment horizontal="center" vertical="center"/>
    </xf>
    <xf numFmtId="0" fontId="50" fillId="5" borderId="2" xfId="10" applyFont="1" applyFill="1" applyBorder="1" applyAlignment="1">
      <alignment horizontal="center" vertical="center"/>
    </xf>
    <xf numFmtId="0" fontId="49" fillId="5" borderId="3" xfId="10" applyFont="1" applyFill="1" applyBorder="1" applyAlignment="1">
      <alignment horizontal="center" wrapText="1"/>
    </xf>
    <xf numFmtId="15" fontId="49" fillId="5" borderId="2" xfId="10" applyNumberFormat="1" applyFont="1" applyFill="1" applyBorder="1"/>
    <xf numFmtId="0" fontId="50" fillId="5" borderId="2" xfId="10" applyFont="1" applyFill="1" applyBorder="1" applyAlignment="1">
      <alignment vertical="center"/>
    </xf>
    <xf numFmtId="0" fontId="49" fillId="5" borderId="13" xfId="10" applyFont="1" applyFill="1" applyBorder="1" applyAlignment="1">
      <alignment horizontal="left"/>
    </xf>
    <xf numFmtId="0" fontId="49" fillId="5" borderId="36" xfId="10" applyFont="1" applyFill="1" applyBorder="1" applyAlignment="1">
      <alignment horizontal="left"/>
    </xf>
    <xf numFmtId="0" fontId="49" fillId="5" borderId="33" xfId="10" applyFont="1" applyFill="1" applyBorder="1" applyAlignment="1">
      <alignment horizontal="left"/>
    </xf>
    <xf numFmtId="0" fontId="49" fillId="5" borderId="37" xfId="10" applyFont="1" applyFill="1" applyBorder="1" applyAlignment="1">
      <alignment horizontal="left"/>
    </xf>
    <xf numFmtId="0" fontId="49" fillId="5" borderId="33" xfId="10" applyFont="1" applyFill="1" applyBorder="1"/>
    <xf numFmtId="15" fontId="49" fillId="8" borderId="0" xfId="10" applyNumberFormat="1" applyFont="1" applyFill="1" applyAlignment="1" applyProtection="1">
      <alignment wrapText="1"/>
      <protection locked="0"/>
    </xf>
    <xf numFmtId="2" fontId="49" fillId="8" borderId="0" xfId="10" applyNumberFormat="1" applyFont="1" applyFill="1" applyAlignment="1" applyProtection="1">
      <alignment horizontal="right"/>
      <protection locked="0"/>
    </xf>
    <xf numFmtId="15" fontId="49" fillId="7" borderId="2" xfId="10" applyNumberFormat="1" applyFont="1" applyFill="1" applyBorder="1" applyAlignment="1">
      <alignment horizontal="left"/>
    </xf>
    <xf numFmtId="0" fontId="48" fillId="5" borderId="33" xfId="10" applyFont="1" applyFill="1" applyBorder="1" applyAlignment="1">
      <alignment horizontal="right"/>
    </xf>
    <xf numFmtId="2" fontId="0" fillId="0" borderId="3" xfId="2" applyNumberFormat="1" applyFont="1" applyBorder="1" applyAlignment="1">
      <alignment horizontal="center" vertical="center" wrapText="1"/>
    </xf>
    <xf numFmtId="174" fontId="49" fillId="8" borderId="0" xfId="10" applyNumberFormat="1" applyFont="1" applyFill="1" applyAlignment="1" applyProtection="1">
      <alignment horizontal="right"/>
      <protection locked="0"/>
    </xf>
    <xf numFmtId="0" fontId="4" fillId="0" borderId="0" xfId="2" applyFont="1" applyAlignment="1" applyProtection="1">
      <alignment horizontal="left"/>
      <protection locked="0"/>
    </xf>
    <xf numFmtId="0" fontId="0" fillId="0" borderId="0" xfId="0" applyAlignment="1">
      <alignment horizontal="left"/>
    </xf>
    <xf numFmtId="0" fontId="23" fillId="0" borderId="3" xfId="2" applyFont="1" applyBorder="1" applyAlignment="1">
      <alignment horizontal="center" vertical="center" wrapText="1"/>
    </xf>
    <xf numFmtId="0" fontId="31" fillId="0" borderId="3" xfId="2" applyFont="1" applyBorder="1" applyAlignment="1">
      <alignment vertical="center" wrapText="1"/>
    </xf>
    <xf numFmtId="2" fontId="31" fillId="0" borderId="3" xfId="7" applyNumberFormat="1" applyFont="1" applyFill="1" applyBorder="1" applyAlignment="1">
      <alignment vertical="center" wrapText="1"/>
    </xf>
    <xf numFmtId="2" fontId="23" fillId="0" borderId="3" xfId="2" applyNumberFormat="1" applyFont="1" applyBorder="1" applyAlignment="1">
      <alignment horizontal="right" vertical="center" wrapText="1"/>
    </xf>
    <xf numFmtId="0" fontId="54" fillId="0" borderId="3" xfId="2" applyFont="1" applyBorder="1" applyAlignment="1">
      <alignment vertical="center"/>
    </xf>
    <xf numFmtId="0" fontId="55" fillId="0" borderId="0" xfId="0" applyFont="1"/>
    <xf numFmtId="0" fontId="56" fillId="0" borderId="0" xfId="0" applyFont="1" applyAlignment="1">
      <alignment horizontal="center"/>
    </xf>
    <xf numFmtId="0" fontId="57" fillId="0" borderId="39" xfId="9" applyFont="1" applyBorder="1" applyAlignment="1">
      <alignment horizontal="center" vertical="center"/>
    </xf>
    <xf numFmtId="0" fontId="57" fillId="0" borderId="40" xfId="9" applyFont="1" applyBorder="1" applyAlignment="1">
      <alignment horizontal="center" vertical="center" wrapText="1"/>
    </xf>
    <xf numFmtId="0" fontId="57" fillId="0" borderId="41" xfId="9" applyFont="1" applyBorder="1" applyAlignment="1">
      <alignment horizontal="center" vertical="center" wrapText="1"/>
    </xf>
    <xf numFmtId="0" fontId="57" fillId="0" borderId="32" xfId="9" applyFont="1" applyBorder="1" applyAlignment="1">
      <alignment horizontal="center" vertical="center"/>
    </xf>
    <xf numFmtId="0" fontId="57" fillId="0" borderId="7" xfId="9" applyFont="1" applyBorder="1" applyAlignment="1">
      <alignment horizontal="center" vertical="center"/>
    </xf>
    <xf numFmtId="170" fontId="57" fillId="0" borderId="7" xfId="9" applyNumberFormat="1" applyFont="1" applyBorder="1" applyAlignment="1">
      <alignment horizontal="left" vertical="center" wrapText="1"/>
    </xf>
    <xf numFmtId="0" fontId="57" fillId="0" borderId="3" xfId="9" applyFont="1" applyBorder="1" applyAlignment="1">
      <alignment horizontal="center" vertical="center" wrapText="1"/>
    </xf>
    <xf numFmtId="170" fontId="57" fillId="0" borderId="3" xfId="9" applyNumberFormat="1" applyFont="1" applyBorder="1" applyAlignment="1">
      <alignment horizontal="left" vertical="center" wrapText="1"/>
    </xf>
    <xf numFmtId="0" fontId="57" fillId="0" borderId="23" xfId="9" applyFont="1" applyBorder="1" applyAlignment="1">
      <alignment horizontal="center" vertical="center"/>
    </xf>
    <xf numFmtId="170" fontId="57" fillId="0" borderId="19" xfId="9" applyNumberFormat="1" applyFont="1" applyBorder="1" applyAlignment="1">
      <alignment horizontal="left" vertical="center" wrapText="1"/>
    </xf>
    <xf numFmtId="0" fontId="58" fillId="0" borderId="0" xfId="8" applyFont="1" applyAlignment="1">
      <alignment horizontal="right"/>
    </xf>
    <xf numFmtId="0" fontId="58" fillId="0" borderId="0" xfId="8" applyFont="1" applyAlignment="1">
      <alignment horizontal="right" wrapText="1"/>
    </xf>
    <xf numFmtId="0" fontId="57" fillId="0" borderId="0" xfId="9" applyFont="1" applyAlignment="1">
      <alignment vertical="center"/>
    </xf>
    <xf numFmtId="0" fontId="6" fillId="5" borderId="3" xfId="0" applyFont="1" applyFill="1" applyBorder="1" applyAlignment="1" applyProtection="1">
      <alignment horizontal="left" vertical="center" wrapText="1"/>
      <protection locked="0"/>
    </xf>
    <xf numFmtId="17" fontId="6" fillId="5" borderId="3" xfId="0" applyNumberFormat="1" applyFont="1" applyFill="1" applyBorder="1" applyAlignment="1" applyProtection="1">
      <alignment horizontal="center" vertical="center"/>
      <protection locked="0"/>
    </xf>
    <xf numFmtId="0" fontId="6" fillId="5" borderId="3" xfId="0" applyFont="1" applyFill="1" applyBorder="1" applyAlignment="1" applyProtection="1">
      <alignment horizontal="center" vertical="center"/>
      <protection locked="0"/>
    </xf>
    <xf numFmtId="0" fontId="6" fillId="5" borderId="3" xfId="0" applyFont="1" applyFill="1" applyBorder="1" applyAlignment="1" applyProtection="1">
      <alignment horizontal="center" vertical="center" wrapText="1"/>
      <protection locked="0"/>
    </xf>
    <xf numFmtId="43" fontId="0" fillId="0" borderId="0" xfId="0" applyNumberFormat="1" applyAlignment="1">
      <alignment vertical="center"/>
    </xf>
    <xf numFmtId="0" fontId="62" fillId="0" borderId="6" xfId="0" applyFont="1" applyBorder="1" applyAlignment="1">
      <alignment horizontal="center" vertical="center"/>
    </xf>
    <xf numFmtId="173" fontId="62" fillId="0" borderId="6" xfId="0" applyNumberFormat="1" applyFont="1" applyBorder="1" applyAlignment="1">
      <alignment horizontal="center" vertical="center"/>
    </xf>
    <xf numFmtId="0" fontId="0" fillId="0" borderId="0" xfId="0" applyAlignment="1">
      <alignment horizontal="center"/>
    </xf>
    <xf numFmtId="0" fontId="0" fillId="0" borderId="50" xfId="0" applyBorder="1" applyAlignment="1">
      <alignment vertical="center"/>
    </xf>
    <xf numFmtId="0" fontId="34" fillId="0" borderId="49" xfId="2" applyFont="1" applyBorder="1" applyAlignment="1" applyProtection="1">
      <alignment horizontal="center" vertical="center"/>
      <protection locked="0"/>
    </xf>
    <xf numFmtId="0" fontId="34" fillId="0" borderId="48" xfId="2" applyFont="1" applyBorder="1" applyAlignment="1" applyProtection="1">
      <alignment vertical="center"/>
      <protection locked="0"/>
    </xf>
    <xf numFmtId="17" fontId="34" fillId="0" borderId="48" xfId="2" applyNumberFormat="1" applyFont="1" applyBorder="1" applyAlignment="1" applyProtection="1">
      <alignment horizontal="left" vertical="center"/>
      <protection locked="0"/>
    </xf>
    <xf numFmtId="0" fontId="34" fillId="0" borderId="48" xfId="2" applyFont="1" applyBorder="1" applyAlignment="1" applyProtection="1">
      <alignment horizontal="center" vertical="center"/>
      <protection locked="0"/>
    </xf>
    <xf numFmtId="0" fontId="34" fillId="0" borderId="48" xfId="2" applyFont="1" applyBorder="1" applyAlignment="1">
      <alignment horizontal="center" vertical="center"/>
    </xf>
    <xf numFmtId="0" fontId="64" fillId="12" borderId="39" xfId="2" applyFont="1" applyFill="1" applyBorder="1" applyAlignment="1" applyProtection="1">
      <alignment horizontal="center" vertical="center"/>
      <protection locked="0"/>
    </xf>
    <xf numFmtId="0" fontId="64" fillId="12" borderId="40" xfId="2" applyFont="1" applyFill="1" applyBorder="1" applyAlignment="1" applyProtection="1">
      <alignment vertical="center"/>
      <protection locked="0"/>
    </xf>
    <xf numFmtId="0" fontId="64" fillId="12" borderId="40" xfId="2" applyFont="1" applyFill="1" applyBorder="1" applyAlignment="1" applyProtection="1">
      <alignment horizontal="left" vertical="center"/>
      <protection locked="0"/>
    </xf>
    <xf numFmtId="0" fontId="64" fillId="12" borderId="40" xfId="2" applyFont="1" applyFill="1" applyBorder="1" applyAlignment="1" applyProtection="1">
      <alignment horizontal="center" vertical="center"/>
      <protection locked="0"/>
    </xf>
    <xf numFmtId="0" fontId="39" fillId="0" borderId="41" xfId="0" applyFont="1" applyBorder="1" applyAlignment="1">
      <alignment vertical="center"/>
    </xf>
    <xf numFmtId="0" fontId="39" fillId="0" borderId="24" xfId="2" applyFont="1" applyBorder="1" applyAlignment="1" applyProtection="1">
      <alignment horizontal="center" vertical="center"/>
      <protection locked="0"/>
    </xf>
    <xf numFmtId="0" fontId="39" fillId="0" borderId="25" xfId="2" applyFont="1" applyBorder="1" applyAlignment="1" applyProtection="1">
      <alignment horizontal="center" vertical="center"/>
      <protection locked="0"/>
    </xf>
    <xf numFmtId="0" fontId="65" fillId="0" borderId="25" xfId="0" applyFont="1" applyBorder="1" applyAlignment="1">
      <alignment horizontal="center" vertical="center"/>
    </xf>
    <xf numFmtId="166" fontId="39" fillId="0" borderId="25" xfId="1" applyFont="1" applyFill="1" applyBorder="1" applyAlignment="1" applyProtection="1">
      <alignment horizontal="center" vertical="center"/>
      <protection locked="0"/>
    </xf>
    <xf numFmtId="0" fontId="39" fillId="0" borderId="3" xfId="0" applyFont="1" applyBorder="1" applyAlignment="1">
      <alignment horizontal="center" vertical="center"/>
    </xf>
    <xf numFmtId="0" fontId="39" fillId="0" borderId="3" xfId="2" applyFont="1" applyBorder="1" applyAlignment="1" applyProtection="1">
      <alignment horizontal="center" vertical="center"/>
      <protection locked="0"/>
    </xf>
    <xf numFmtId="0" fontId="65" fillId="0" borderId="3" xfId="0" applyFont="1" applyBorder="1" applyAlignment="1">
      <alignment horizontal="center" vertical="center"/>
    </xf>
    <xf numFmtId="166" fontId="39" fillId="0" borderId="3" xfId="1" applyFont="1" applyFill="1" applyBorder="1" applyAlignment="1" applyProtection="1">
      <alignment horizontal="center" vertical="center"/>
      <protection locked="0"/>
    </xf>
    <xf numFmtId="17" fontId="39" fillId="0" borderId="3" xfId="2" applyNumberFormat="1" applyFont="1" applyBorder="1" applyAlignment="1" applyProtection="1">
      <alignment horizontal="center" vertical="center"/>
      <protection locked="0"/>
    </xf>
    <xf numFmtId="17" fontId="39" fillId="0" borderId="3" xfId="2" quotePrefix="1" applyNumberFormat="1" applyFont="1" applyBorder="1" applyAlignment="1" applyProtection="1">
      <alignment horizontal="center" vertical="center" wrapText="1"/>
      <protection locked="0"/>
    </xf>
    <xf numFmtId="17" fontId="39" fillId="0" borderId="25" xfId="2" quotePrefix="1" applyNumberFormat="1" applyFont="1" applyBorder="1" applyAlignment="1" applyProtection="1">
      <alignment horizontal="center" vertical="center" wrapText="1"/>
      <protection locked="0"/>
    </xf>
    <xf numFmtId="0" fontId="39" fillId="0" borderId="46" xfId="2" applyFont="1" applyBorder="1" applyAlignment="1" applyProtection="1">
      <alignment horizontal="center" vertical="center"/>
      <protection locked="0"/>
    </xf>
    <xf numFmtId="0" fontId="39" fillId="0" borderId="23" xfId="0" applyFont="1" applyBorder="1" applyAlignment="1">
      <alignment horizontal="center" vertical="center"/>
    </xf>
    <xf numFmtId="0" fontId="39" fillId="0" borderId="23" xfId="2" applyFont="1" applyBorder="1" applyAlignment="1" applyProtection="1">
      <alignment horizontal="center" vertical="center"/>
      <protection locked="0"/>
    </xf>
    <xf numFmtId="0" fontId="65" fillId="0" borderId="23" xfId="0" applyFont="1" applyBorder="1" applyAlignment="1">
      <alignment horizontal="center" vertical="center"/>
    </xf>
    <xf numFmtId="166" fontId="39" fillId="0" borderId="23" xfId="1" applyFont="1" applyFill="1" applyBorder="1" applyAlignment="1" applyProtection="1">
      <alignment horizontal="center" vertical="center"/>
      <protection locked="0"/>
    </xf>
    <xf numFmtId="0" fontId="39" fillId="0" borderId="47" xfId="0" applyFont="1" applyBorder="1" applyAlignment="1">
      <alignment vertical="center"/>
    </xf>
    <xf numFmtId="0" fontId="64" fillId="12" borderId="49" xfId="2" applyFont="1" applyFill="1" applyBorder="1" applyAlignment="1" applyProtection="1">
      <alignment horizontal="center" vertical="center"/>
      <protection locked="0"/>
    </xf>
    <xf numFmtId="0" fontId="64" fillId="12" borderId="48" xfId="2" applyFont="1" applyFill="1" applyBorder="1" applyAlignment="1" applyProtection="1">
      <alignment vertical="center"/>
      <protection locked="0"/>
    </xf>
    <xf numFmtId="17" fontId="64" fillId="12" borderId="48" xfId="2" applyNumberFormat="1" applyFont="1" applyFill="1" applyBorder="1" applyAlignment="1" applyProtection="1">
      <alignment horizontal="left" vertical="center"/>
      <protection locked="0"/>
    </xf>
    <xf numFmtId="0" fontId="64" fillId="12" borderId="48" xfId="2" applyFont="1" applyFill="1" applyBorder="1" applyAlignment="1" applyProtection="1">
      <alignment horizontal="center" vertical="center"/>
      <protection locked="0"/>
    </xf>
    <xf numFmtId="0" fontId="64" fillId="12" borderId="48" xfId="2" applyFont="1" applyFill="1" applyBorder="1" applyAlignment="1">
      <alignment horizontal="center" vertical="center"/>
    </xf>
    <xf numFmtId="166" fontId="39" fillId="0" borderId="25" xfId="1" applyFont="1" applyFill="1" applyBorder="1" applyAlignment="1">
      <alignment horizontal="center" vertical="center"/>
    </xf>
    <xf numFmtId="166" fontId="66" fillId="0" borderId="25" xfId="1" applyFont="1" applyFill="1" applyBorder="1" applyAlignment="1" applyProtection="1">
      <alignment horizontal="center" vertical="center"/>
      <protection locked="0"/>
    </xf>
    <xf numFmtId="166" fontId="68" fillId="0" borderId="25" xfId="1" applyFont="1" applyFill="1" applyBorder="1" applyAlignment="1" applyProtection="1">
      <alignment horizontal="center" vertical="center"/>
      <protection locked="0"/>
    </xf>
    <xf numFmtId="166" fontId="67" fillId="9" borderId="25" xfId="1" applyFont="1" applyFill="1" applyBorder="1" applyAlignment="1" applyProtection="1">
      <alignment horizontal="center" vertical="center"/>
    </xf>
    <xf numFmtId="0" fontId="39" fillId="0" borderId="26" xfId="0" applyFont="1" applyBorder="1" applyAlignment="1">
      <alignment horizontal="center" vertical="center"/>
    </xf>
    <xf numFmtId="166" fontId="39" fillId="0" borderId="3" xfId="1" applyFont="1" applyFill="1" applyBorder="1" applyAlignment="1">
      <alignment horizontal="center" vertical="center"/>
    </xf>
    <xf numFmtId="166" fontId="65" fillId="9" borderId="3" xfId="1" applyFont="1" applyFill="1" applyBorder="1" applyAlignment="1">
      <alignment horizontal="center" vertical="center"/>
    </xf>
    <xf numFmtId="166" fontId="66" fillId="0" borderId="3" xfId="1" applyFont="1" applyFill="1" applyBorder="1" applyAlignment="1" applyProtection="1">
      <alignment horizontal="center" vertical="center"/>
      <protection locked="0"/>
    </xf>
    <xf numFmtId="166" fontId="65" fillId="9" borderId="3" xfId="1" applyFont="1" applyFill="1" applyBorder="1" applyAlignment="1" applyProtection="1">
      <alignment horizontal="center" vertical="center"/>
      <protection locked="0"/>
    </xf>
    <xf numFmtId="166" fontId="68" fillId="0" borderId="3" xfId="1" applyFont="1" applyFill="1" applyBorder="1" applyAlignment="1" applyProtection="1">
      <alignment horizontal="center" vertical="center"/>
      <protection locked="0"/>
    </xf>
    <xf numFmtId="166" fontId="67" fillId="9" borderId="3" xfId="1" applyFont="1" applyFill="1" applyBorder="1" applyAlignment="1" applyProtection="1">
      <alignment horizontal="center" vertical="center"/>
    </xf>
    <xf numFmtId="0" fontId="39" fillId="0" borderId="28" xfId="0" applyFont="1" applyBorder="1" applyAlignment="1">
      <alignment horizontal="center" vertical="center"/>
    </xf>
    <xf numFmtId="166" fontId="39" fillId="0" borderId="23" xfId="1" applyFont="1" applyFill="1" applyBorder="1" applyAlignment="1">
      <alignment horizontal="center" vertical="center"/>
    </xf>
    <xf numFmtId="166" fontId="65" fillId="9" borderId="23" xfId="1" applyFont="1" applyFill="1" applyBorder="1" applyAlignment="1">
      <alignment horizontal="center" vertical="center"/>
    </xf>
    <xf numFmtId="166" fontId="66" fillId="0" borderId="23" xfId="1" applyFont="1" applyFill="1" applyBorder="1" applyAlignment="1" applyProtection="1">
      <alignment horizontal="center" vertical="center"/>
      <protection locked="0"/>
    </xf>
    <xf numFmtId="166" fontId="65" fillId="9" borderId="23" xfId="1" applyFont="1" applyFill="1" applyBorder="1" applyAlignment="1" applyProtection="1">
      <alignment horizontal="center" vertical="center"/>
      <protection locked="0"/>
    </xf>
    <xf numFmtId="166" fontId="68" fillId="0" borderId="23" xfId="1" applyFont="1" applyFill="1" applyBorder="1" applyAlignment="1" applyProtection="1">
      <alignment horizontal="center" vertical="center"/>
      <protection locked="0"/>
    </xf>
    <xf numFmtId="166" fontId="67" fillId="9" borderId="23" xfId="1" applyFont="1" applyFill="1" applyBorder="1" applyAlignment="1" applyProtection="1">
      <alignment horizontal="center" vertical="center"/>
    </xf>
    <xf numFmtId="166" fontId="39" fillId="0" borderId="26" xfId="1" applyFont="1" applyFill="1" applyBorder="1" applyAlignment="1" applyProtection="1">
      <alignment horizontal="center" vertical="center"/>
    </xf>
    <xf numFmtId="0" fontId="39" fillId="0" borderId="48" xfId="2" applyFont="1" applyBorder="1" applyAlignment="1" applyProtection="1">
      <alignment horizontal="center" vertical="center"/>
      <protection locked="0"/>
    </xf>
    <xf numFmtId="0" fontId="39" fillId="0" borderId="48" xfId="2" applyFont="1" applyBorder="1" applyAlignment="1">
      <alignment horizontal="center" vertical="center"/>
    </xf>
    <xf numFmtId="0" fontId="39" fillId="0" borderId="50" xfId="0" applyFont="1" applyBorder="1" applyAlignment="1">
      <alignment vertical="center"/>
    </xf>
    <xf numFmtId="17" fontId="39" fillId="0" borderId="23" xfId="2" applyNumberFormat="1" applyFont="1" applyBorder="1" applyAlignment="1" applyProtection="1">
      <alignment horizontal="center" vertical="center"/>
      <protection locked="0"/>
    </xf>
    <xf numFmtId="166" fontId="64" fillId="12" borderId="48" xfId="1" applyFont="1" applyFill="1" applyBorder="1" applyAlignment="1" applyProtection="1">
      <alignment horizontal="center" vertical="center"/>
      <protection locked="0"/>
    </xf>
    <xf numFmtId="166" fontId="39" fillId="0" borderId="48" xfId="1" applyFont="1" applyFill="1" applyBorder="1" applyAlignment="1" applyProtection="1">
      <alignment horizontal="center" vertical="center"/>
      <protection locked="0"/>
    </xf>
    <xf numFmtId="166" fontId="64" fillId="0" borderId="48" xfId="1" applyFont="1" applyFill="1" applyBorder="1" applyAlignment="1" applyProtection="1">
      <alignment horizontal="center" vertical="center"/>
    </xf>
    <xf numFmtId="166" fontId="39" fillId="0" borderId="48" xfId="1" applyFont="1" applyFill="1" applyBorder="1" applyAlignment="1" applyProtection="1">
      <alignment horizontal="center" vertical="center"/>
    </xf>
    <xf numFmtId="166" fontId="67" fillId="12" borderId="48" xfId="1" applyFont="1" applyFill="1" applyBorder="1" applyAlignment="1" applyProtection="1">
      <alignment horizontal="center" vertical="center"/>
    </xf>
    <xf numFmtId="166" fontId="34" fillId="0" borderId="48" xfId="1" applyFont="1" applyFill="1" applyBorder="1" applyAlignment="1" applyProtection="1">
      <alignment horizontal="center" vertical="center"/>
      <protection locked="0"/>
    </xf>
    <xf numFmtId="166" fontId="64" fillId="12" borderId="40" xfId="1" applyFont="1" applyFill="1" applyBorder="1" applyAlignment="1" applyProtection="1">
      <alignment horizontal="center" vertical="center"/>
      <protection locked="0"/>
    </xf>
    <xf numFmtId="166" fontId="4" fillId="0" borderId="0" xfId="1" applyFont="1" applyFill="1" applyBorder="1" applyAlignment="1" applyProtection="1">
      <alignment horizontal="center"/>
      <protection locked="0"/>
    </xf>
    <xf numFmtId="166" fontId="0" fillId="0" borderId="0" xfId="1" applyFont="1" applyAlignment="1">
      <alignment horizontal="center"/>
    </xf>
    <xf numFmtId="170" fontId="42" fillId="0" borderId="0" xfId="0" applyNumberFormat="1" applyFont="1" applyAlignment="1">
      <alignment horizontal="center" vertical="center"/>
    </xf>
    <xf numFmtId="166" fontId="39" fillId="0" borderId="38" xfId="1" applyFont="1" applyFill="1" applyBorder="1" applyAlignment="1" applyProtection="1">
      <alignment horizontal="center" vertical="center"/>
      <protection locked="0"/>
    </xf>
    <xf numFmtId="166" fontId="67" fillId="9" borderId="38" xfId="1" applyFont="1" applyFill="1" applyBorder="1" applyAlignment="1" applyProtection="1">
      <alignment horizontal="center" vertical="center"/>
    </xf>
    <xf numFmtId="1" fontId="44" fillId="0" borderId="0" xfId="6" applyNumberFormat="1" applyFont="1" applyAlignment="1">
      <alignment horizontal="center" vertical="center"/>
    </xf>
    <xf numFmtId="169" fontId="45" fillId="5" borderId="0" xfId="0" applyNumberFormat="1" applyFont="1" applyFill="1" applyAlignment="1" applyProtection="1">
      <alignment horizontal="center" vertical="center"/>
      <protection locked="0"/>
    </xf>
    <xf numFmtId="0" fontId="11" fillId="5" borderId="0" xfId="0" applyFont="1" applyFill="1" applyAlignment="1">
      <alignment vertical="center"/>
    </xf>
    <xf numFmtId="0" fontId="57" fillId="5" borderId="7" xfId="9" applyFont="1" applyFill="1" applyBorder="1" applyAlignment="1">
      <alignment horizontal="center" vertical="center"/>
    </xf>
    <xf numFmtId="170" fontId="57" fillId="5" borderId="7" xfId="9" applyNumberFormat="1" applyFont="1" applyFill="1" applyBorder="1" applyAlignment="1">
      <alignment horizontal="left" vertical="center" wrapText="1"/>
    </xf>
    <xf numFmtId="0" fontId="59" fillId="5" borderId="44" xfId="9" applyFont="1" applyFill="1" applyBorder="1" applyAlignment="1">
      <alignment horizontal="center" vertical="center"/>
    </xf>
    <xf numFmtId="0" fontId="69" fillId="0" borderId="0" xfId="0" applyFont="1"/>
    <xf numFmtId="17" fontId="61" fillId="0" borderId="33" xfId="2" applyNumberFormat="1" applyFont="1" applyBorder="1" applyProtection="1">
      <protection locked="0"/>
    </xf>
    <xf numFmtId="170" fontId="59" fillId="0" borderId="43" xfId="16" applyNumberFormat="1" applyFont="1" applyBorder="1" applyAlignment="1">
      <alignment horizontal="center" vertical="center"/>
    </xf>
    <xf numFmtId="166" fontId="39" fillId="5" borderId="3" xfId="1" applyFont="1" applyFill="1" applyBorder="1" applyAlignment="1" applyProtection="1">
      <alignment horizontal="center" vertical="center"/>
      <protection locked="0"/>
    </xf>
    <xf numFmtId="166" fontId="39" fillId="5" borderId="3" xfId="1" applyFont="1" applyFill="1" applyBorder="1" applyAlignment="1">
      <alignment horizontal="center" vertical="center"/>
    </xf>
    <xf numFmtId="166" fontId="66" fillId="5" borderId="3" xfId="1" applyFont="1" applyFill="1" applyBorder="1" applyAlignment="1" applyProtection="1">
      <alignment horizontal="center" vertical="center"/>
      <protection locked="0"/>
    </xf>
    <xf numFmtId="166" fontId="68" fillId="5" borderId="3" xfId="1" applyFont="1" applyFill="1" applyBorder="1" applyAlignment="1" applyProtection="1">
      <alignment horizontal="center" vertical="center"/>
      <protection locked="0"/>
    </xf>
    <xf numFmtId="0" fontId="39" fillId="5" borderId="28" xfId="0" applyFont="1" applyFill="1" applyBorder="1" applyAlignment="1">
      <alignment horizontal="center" vertical="center"/>
    </xf>
    <xf numFmtId="43" fontId="0" fillId="5" borderId="0" xfId="0" applyNumberFormat="1" applyFill="1" applyAlignment="1">
      <alignment vertical="center"/>
    </xf>
    <xf numFmtId="0" fontId="0" fillId="5" borderId="0" xfId="0" applyFill="1" applyAlignment="1">
      <alignment vertical="center"/>
    </xf>
    <xf numFmtId="17" fontId="39" fillId="5" borderId="3" xfId="2" applyNumberFormat="1" applyFont="1" applyFill="1" applyBorder="1" applyAlignment="1" applyProtection="1">
      <alignment horizontal="center" vertical="center"/>
      <protection locked="0"/>
    </xf>
    <xf numFmtId="164" fontId="39" fillId="0" borderId="3" xfId="1" applyNumberFormat="1" applyFont="1" applyFill="1" applyBorder="1" applyAlignment="1" applyProtection="1">
      <alignment vertical="center"/>
      <protection locked="0"/>
    </xf>
    <xf numFmtId="166" fontId="39" fillId="0" borderId="3" xfId="1" applyFont="1" applyFill="1" applyBorder="1" applyAlignment="1">
      <alignment vertical="center"/>
    </xf>
    <xf numFmtId="166" fontId="39" fillId="5" borderId="3" xfId="1" applyFont="1" applyFill="1" applyBorder="1" applyAlignment="1">
      <alignment vertical="center"/>
    </xf>
    <xf numFmtId="168" fontId="6" fillId="0" borderId="0" xfId="2" applyNumberFormat="1" applyFont="1" applyAlignment="1">
      <alignment horizontal="left" vertical="center"/>
    </xf>
    <xf numFmtId="2" fontId="6" fillId="5" borderId="3" xfId="0" applyNumberFormat="1" applyFont="1" applyFill="1" applyBorder="1" applyAlignment="1" applyProtection="1">
      <alignment horizontal="center" vertical="center" wrapText="1"/>
      <protection locked="0"/>
    </xf>
    <xf numFmtId="0" fontId="41" fillId="0" borderId="3" xfId="0" applyFont="1" applyBorder="1" applyAlignment="1">
      <alignment horizontal="center" vertical="center" wrapText="1"/>
    </xf>
    <xf numFmtId="17" fontId="68" fillId="0" borderId="3" xfId="6" applyNumberFormat="1" applyFont="1" applyBorder="1" applyAlignment="1">
      <alignment horizontal="center" vertical="center" wrapText="1"/>
    </xf>
    <xf numFmtId="0" fontId="68" fillId="5" borderId="3" xfId="6" applyFont="1" applyFill="1" applyBorder="1" applyAlignment="1">
      <alignment horizontal="center" vertical="center" wrapText="1"/>
    </xf>
    <xf numFmtId="0" fontId="68" fillId="5" borderId="3" xfId="6" applyFont="1" applyFill="1" applyBorder="1" applyAlignment="1">
      <alignment horizontal="left" vertical="center" wrapText="1"/>
    </xf>
    <xf numFmtId="0" fontId="41" fillId="0" borderId="28" xfId="0" applyFont="1" applyBorder="1" applyAlignment="1">
      <alignment horizontal="center" vertical="center" wrapText="1"/>
    </xf>
    <xf numFmtId="0" fontId="68" fillId="0" borderId="3" xfId="6" applyFont="1" applyBorder="1" applyAlignment="1">
      <alignment vertical="center" wrapText="1"/>
    </xf>
    <xf numFmtId="0" fontId="68" fillId="0" borderId="3" xfId="6" applyFont="1" applyBorder="1" applyAlignment="1">
      <alignment horizontal="center" vertical="center" wrapText="1"/>
    </xf>
    <xf numFmtId="1" fontId="68" fillId="0" borderId="3" xfId="6" applyNumberFormat="1" applyFont="1" applyBorder="1" applyAlignment="1">
      <alignment horizontal="center" vertical="center" wrapText="1"/>
    </xf>
    <xf numFmtId="0" fontId="68" fillId="0" borderId="3" xfId="6" applyFont="1" applyBorder="1" applyAlignment="1">
      <alignment horizontal="left" vertical="center" wrapText="1"/>
    </xf>
    <xf numFmtId="0" fontId="41" fillId="5" borderId="3" xfId="0" applyFont="1" applyFill="1" applyBorder="1" applyAlignment="1">
      <alignment horizontal="center" vertical="center" wrapText="1"/>
    </xf>
    <xf numFmtId="0" fontId="41" fillId="5" borderId="28" xfId="0" applyFont="1" applyFill="1" applyBorder="1" applyAlignment="1">
      <alignment horizontal="center" vertical="center" wrapText="1"/>
    </xf>
    <xf numFmtId="1" fontId="68" fillId="0" borderId="3" xfId="6" quotePrefix="1" applyNumberFormat="1" applyFont="1" applyBorder="1" applyAlignment="1">
      <alignment horizontal="center" vertical="center" wrapText="1"/>
    </xf>
    <xf numFmtId="0" fontId="68" fillId="5" borderId="3" xfId="6" applyFont="1" applyFill="1" applyBorder="1" applyAlignment="1">
      <alignment vertical="center" wrapText="1"/>
    </xf>
    <xf numFmtId="17" fontId="68" fillId="5" borderId="3" xfId="6" applyNumberFormat="1" applyFont="1" applyFill="1" applyBorder="1" applyAlignment="1">
      <alignment horizontal="center" vertical="center" wrapText="1"/>
    </xf>
    <xf numFmtId="1" fontId="68" fillId="5" borderId="3" xfId="6" applyNumberFormat="1" applyFont="1" applyFill="1" applyBorder="1" applyAlignment="1">
      <alignment horizontal="center" vertical="center" wrapText="1"/>
    </xf>
    <xf numFmtId="2" fontId="70" fillId="5" borderId="3" xfId="0" applyNumberFormat="1" applyFont="1" applyFill="1" applyBorder="1" applyAlignment="1">
      <alignment horizontal="center" vertical="center" wrapText="1"/>
    </xf>
    <xf numFmtId="0" fontId="70" fillId="5" borderId="3" xfId="0" applyFont="1" applyFill="1" applyBorder="1" applyAlignment="1">
      <alignment horizontal="center" vertical="center" wrapText="1"/>
    </xf>
    <xf numFmtId="1" fontId="70" fillId="5" borderId="3" xfId="0" applyNumberFormat="1" applyFont="1" applyFill="1" applyBorder="1" applyAlignment="1">
      <alignment horizontal="center" vertical="center" wrapText="1"/>
    </xf>
    <xf numFmtId="0" fontId="70" fillId="5" borderId="28" xfId="0" applyFont="1" applyFill="1" applyBorder="1" applyAlignment="1">
      <alignment horizontal="center" vertical="center" wrapText="1"/>
    </xf>
    <xf numFmtId="0" fontId="71" fillId="0" borderId="28" xfId="0" applyFont="1" applyBorder="1" applyAlignment="1">
      <alignment horizontal="center" vertical="center" wrapText="1"/>
    </xf>
    <xf numFmtId="0" fontId="73" fillId="0" borderId="0" xfId="2" applyFont="1" applyAlignment="1" applyProtection="1">
      <alignment horizontal="center" vertical="center"/>
      <protection locked="0"/>
    </xf>
    <xf numFmtId="17" fontId="73" fillId="0" borderId="33" xfId="2" applyNumberFormat="1" applyFont="1" applyBorder="1" applyAlignment="1" applyProtection="1">
      <alignment horizontal="center"/>
      <protection locked="0"/>
    </xf>
    <xf numFmtId="2" fontId="6" fillId="6" borderId="3" xfId="0" applyNumberFormat="1" applyFont="1" applyFill="1" applyBorder="1" applyAlignment="1">
      <alignment horizontal="center" vertical="center"/>
    </xf>
    <xf numFmtId="0" fontId="35" fillId="5" borderId="2" xfId="0" applyFont="1" applyFill="1" applyBorder="1" applyAlignment="1">
      <alignment horizontal="left"/>
    </xf>
    <xf numFmtId="0" fontId="74" fillId="5" borderId="1" xfId="0" applyFont="1" applyFill="1" applyBorder="1" applyAlignment="1">
      <alignment horizontal="left"/>
    </xf>
    <xf numFmtId="164" fontId="39" fillId="0" borderId="25" xfId="1" applyNumberFormat="1" applyFont="1" applyFill="1" applyBorder="1" applyAlignment="1" applyProtection="1">
      <alignment vertical="center"/>
      <protection locked="0"/>
    </xf>
    <xf numFmtId="166" fontId="39" fillId="0" borderId="25" xfId="1" applyFont="1" applyFill="1" applyBorder="1" applyAlignment="1">
      <alignment vertical="center"/>
    </xf>
    <xf numFmtId="166" fontId="65" fillId="9" borderId="25" xfId="1" applyFont="1" applyFill="1" applyBorder="1" applyAlignment="1">
      <alignment horizontal="center" vertical="center"/>
    </xf>
    <xf numFmtId="166" fontId="66" fillId="5" borderId="25" xfId="1" applyFont="1" applyFill="1" applyBorder="1" applyAlignment="1" applyProtection="1">
      <alignment horizontal="center" vertical="center"/>
      <protection locked="0"/>
    </xf>
    <xf numFmtId="166" fontId="39" fillId="0" borderId="38" xfId="1" applyFont="1" applyFill="1" applyBorder="1" applyAlignment="1">
      <alignment vertical="center"/>
    </xf>
    <xf numFmtId="166" fontId="65" fillId="9" borderId="38" xfId="1" applyFont="1" applyFill="1" applyBorder="1" applyAlignment="1">
      <alignment horizontal="center" vertical="center"/>
    </xf>
    <xf numFmtId="166" fontId="66" fillId="0" borderId="38" xfId="1" applyFont="1" applyFill="1" applyBorder="1" applyAlignment="1" applyProtection="1">
      <alignment horizontal="center" vertical="center"/>
      <protection locked="0"/>
    </xf>
    <xf numFmtId="166" fontId="68" fillId="0" borderId="38" xfId="1" applyFont="1" applyFill="1" applyBorder="1" applyAlignment="1" applyProtection="1">
      <alignment horizontal="center" vertical="center"/>
      <protection locked="0"/>
    </xf>
    <xf numFmtId="0" fontId="57" fillId="0" borderId="49" xfId="9" applyFont="1" applyBorder="1" applyAlignment="1">
      <alignment horizontal="center" vertical="center"/>
    </xf>
    <xf numFmtId="0" fontId="57" fillId="0" borderId="48" xfId="9" applyFont="1" applyBorder="1" applyAlignment="1">
      <alignment horizontal="center" vertical="center" wrapText="1"/>
    </xf>
    <xf numFmtId="0" fontId="57" fillId="0" borderId="50" xfId="9" applyFont="1" applyBorder="1" applyAlignment="1">
      <alignment horizontal="center" vertical="center" wrapText="1"/>
    </xf>
    <xf numFmtId="0" fontId="57" fillId="0" borderId="55" xfId="9" applyFont="1" applyBorder="1" applyAlignment="1">
      <alignment horizontal="center" vertical="center"/>
    </xf>
    <xf numFmtId="0" fontId="57" fillId="0" borderId="3" xfId="9" applyFont="1" applyBorder="1" applyAlignment="1">
      <alignment horizontal="center" vertical="center"/>
    </xf>
    <xf numFmtId="175" fontId="59" fillId="5" borderId="3" xfId="9" applyNumberFormat="1" applyFont="1" applyFill="1" applyBorder="1" applyAlignment="1">
      <alignment horizontal="center" vertical="center"/>
    </xf>
    <xf numFmtId="0" fontId="57" fillId="5" borderId="3" xfId="9" applyFont="1" applyFill="1" applyBorder="1" applyAlignment="1">
      <alignment horizontal="center" vertical="center"/>
    </xf>
    <xf numFmtId="0" fontId="57" fillId="0" borderId="25" xfId="9" applyFont="1" applyBorder="1" applyAlignment="1">
      <alignment horizontal="center" vertical="center"/>
    </xf>
    <xf numFmtId="170" fontId="57" fillId="0" borderId="25" xfId="9" applyNumberFormat="1" applyFont="1" applyBorder="1" applyAlignment="1">
      <alignment horizontal="left" vertical="center" wrapText="1"/>
    </xf>
    <xf numFmtId="175" fontId="59" fillId="0" borderId="26" xfId="9" applyNumberFormat="1" applyFont="1" applyBorder="1" applyAlignment="1">
      <alignment horizontal="center" vertical="center"/>
    </xf>
    <xf numFmtId="0" fontId="57" fillId="0" borderId="27" xfId="9" applyFont="1" applyBorder="1" applyAlignment="1">
      <alignment horizontal="center" vertical="center"/>
    </xf>
    <xf numFmtId="0" fontId="57" fillId="0" borderId="56" xfId="9" applyFont="1" applyBorder="1" applyAlignment="1">
      <alignment horizontal="center" vertical="center"/>
    </xf>
    <xf numFmtId="0" fontId="57" fillId="0" borderId="38" xfId="9" applyFont="1" applyBorder="1" applyAlignment="1">
      <alignment horizontal="center" vertical="center"/>
    </xf>
    <xf numFmtId="170" fontId="57" fillId="0" borderId="38" xfId="9" applyNumberFormat="1" applyFont="1" applyBorder="1" applyAlignment="1">
      <alignment horizontal="left" vertical="center" wrapText="1"/>
    </xf>
    <xf numFmtId="3" fontId="59" fillId="0" borderId="38" xfId="9" applyNumberFormat="1" applyFont="1" applyBorder="1" applyAlignment="1">
      <alignment horizontal="center" vertical="center"/>
    </xf>
    <xf numFmtId="3" fontId="59" fillId="0" borderId="45" xfId="9" applyNumberFormat="1" applyFont="1" applyBorder="1" applyAlignment="1">
      <alignment horizontal="center" vertical="center"/>
    </xf>
    <xf numFmtId="170" fontId="59" fillId="0" borderId="28" xfId="9" applyNumberFormat="1" applyFont="1" applyBorder="1" applyAlignment="1">
      <alignment horizontal="center" vertical="center"/>
    </xf>
    <xf numFmtId="4" fontId="59" fillId="0" borderId="54" xfId="9" applyNumberFormat="1" applyFont="1" applyBorder="1" applyAlignment="1">
      <alignment horizontal="center" vertical="center"/>
    </xf>
    <xf numFmtId="4" fontId="59" fillId="0" borderId="37" xfId="16" applyNumberFormat="1" applyFont="1" applyBorder="1" applyAlignment="1">
      <alignment horizontal="center" vertical="center"/>
    </xf>
    <xf numFmtId="4" fontId="69" fillId="0" borderId="0" xfId="0" applyNumberFormat="1" applyFont="1"/>
    <xf numFmtId="170" fontId="59" fillId="5" borderId="25" xfId="9" applyNumberFormat="1" applyFont="1" applyFill="1" applyBorder="1" applyAlignment="1">
      <alignment horizontal="center" vertical="center"/>
    </xf>
    <xf numFmtId="170" fontId="62" fillId="0" borderId="0" xfId="0" applyNumberFormat="1" applyFont="1" applyAlignment="1">
      <alignment horizontal="center" vertical="center"/>
    </xf>
    <xf numFmtId="0" fontId="39" fillId="0" borderId="25" xfId="0" applyFont="1" applyBorder="1" applyAlignment="1">
      <alignment vertical="center"/>
    </xf>
    <xf numFmtId="164" fontId="39" fillId="0" borderId="3" xfId="1" applyNumberFormat="1" applyFont="1" applyFill="1" applyBorder="1" applyAlignment="1" applyProtection="1">
      <alignment horizontal="center" vertical="center"/>
      <protection locked="0"/>
    </xf>
    <xf numFmtId="0" fontId="39" fillId="0" borderId="27" xfId="2" applyFont="1" applyBorder="1" applyAlignment="1" applyProtection="1">
      <alignment horizontal="center" vertical="center"/>
      <protection locked="0"/>
    </xf>
    <xf numFmtId="164" fontId="39" fillId="0" borderId="38" xfId="1" applyNumberFormat="1" applyFont="1" applyFill="1" applyBorder="1" applyAlignment="1" applyProtection="1">
      <alignment vertical="center"/>
      <protection locked="0"/>
    </xf>
    <xf numFmtId="0" fontId="39" fillId="0" borderId="25" xfId="0" quotePrefix="1" applyFont="1" applyBorder="1" applyAlignment="1">
      <alignment vertical="center"/>
    </xf>
    <xf numFmtId="17" fontId="39" fillId="0" borderId="25" xfId="2" applyNumberFormat="1" applyFont="1" applyBorder="1" applyAlignment="1" applyProtection="1">
      <alignment horizontal="center" vertical="center"/>
      <protection locked="0"/>
    </xf>
    <xf numFmtId="0" fontId="39" fillId="0" borderId="3" xfId="0" applyFont="1" applyBorder="1" applyAlignment="1">
      <alignment vertical="center"/>
    </xf>
    <xf numFmtId="17" fontId="39" fillId="0" borderId="3" xfId="2" quotePrefix="1" applyNumberFormat="1" applyFont="1" applyBorder="1" applyAlignment="1" applyProtection="1">
      <alignment horizontal="center" vertical="center"/>
      <protection locked="0"/>
    </xf>
    <xf numFmtId="0" fontId="39" fillId="0" borderId="3" xfId="0" applyFont="1" applyBorder="1" applyAlignment="1">
      <alignment vertical="center" wrapText="1"/>
    </xf>
    <xf numFmtId="170" fontId="59" fillId="0" borderId="57" xfId="16" applyNumberFormat="1" applyFont="1" applyBorder="1" applyAlignment="1">
      <alignment horizontal="center" vertical="center"/>
    </xf>
    <xf numFmtId="0" fontId="59" fillId="5" borderId="31" xfId="9" applyFont="1" applyFill="1" applyBorder="1" applyAlignment="1">
      <alignment horizontal="center" vertical="center"/>
    </xf>
    <xf numFmtId="4" fontId="59" fillId="5" borderId="31" xfId="9" applyNumberFormat="1" applyFont="1" applyFill="1" applyBorder="1" applyAlignment="1">
      <alignment horizontal="center" vertical="center"/>
    </xf>
    <xf numFmtId="166" fontId="67" fillId="9" borderId="7" xfId="1" applyFont="1" applyFill="1" applyBorder="1" applyAlignment="1" applyProtection="1">
      <alignment horizontal="center" vertical="center"/>
    </xf>
    <xf numFmtId="0" fontId="39" fillId="0" borderId="7" xfId="2" applyFont="1" applyBorder="1" applyAlignment="1" applyProtection="1">
      <alignment horizontal="center" vertical="center"/>
      <protection locked="0"/>
    </xf>
    <xf numFmtId="166" fontId="65" fillId="9" borderId="48" xfId="1" applyFont="1" applyFill="1" applyBorder="1" applyAlignment="1" applyProtection="1">
      <alignment horizontal="center" vertical="center"/>
      <protection locked="0"/>
    </xf>
    <xf numFmtId="166" fontId="65" fillId="9" borderId="7" xfId="1" applyFont="1" applyFill="1" applyBorder="1" applyAlignment="1" applyProtection="1">
      <alignment horizontal="center" vertical="center"/>
      <protection locked="0"/>
    </xf>
    <xf numFmtId="175" fontId="59" fillId="0" borderId="28" xfId="9" applyNumberFormat="1" applyFont="1" applyBorder="1" applyAlignment="1">
      <alignment horizontal="center" vertical="center"/>
    </xf>
    <xf numFmtId="0" fontId="65" fillId="0" borderId="7" xfId="0" applyFont="1" applyBorder="1" applyAlignment="1">
      <alignment horizontal="center" vertical="center"/>
    </xf>
    <xf numFmtId="166" fontId="39" fillId="0" borderId="7" xfId="1" applyFont="1" applyFill="1" applyBorder="1" applyAlignment="1" applyProtection="1">
      <alignment horizontal="center" vertical="center"/>
      <protection locked="0"/>
    </xf>
    <xf numFmtId="164" fontId="39" fillId="0" borderId="7" xfId="1" applyNumberFormat="1" applyFont="1" applyFill="1" applyBorder="1" applyAlignment="1" applyProtection="1">
      <alignment vertical="center"/>
      <protection locked="0"/>
    </xf>
    <xf numFmtId="166" fontId="39" fillId="0" borderId="7" xfId="1" applyFont="1" applyFill="1" applyBorder="1" applyAlignment="1">
      <alignment vertical="center"/>
    </xf>
    <xf numFmtId="166" fontId="65" fillId="9" borderId="7" xfId="1" applyFont="1" applyFill="1" applyBorder="1" applyAlignment="1">
      <alignment horizontal="center" vertical="center"/>
    </xf>
    <xf numFmtId="166" fontId="66" fillId="0" borderId="7" xfId="1" applyFont="1" applyFill="1" applyBorder="1" applyAlignment="1" applyProtection="1">
      <alignment horizontal="center" vertical="center"/>
      <protection locked="0"/>
    </xf>
    <xf numFmtId="166" fontId="68" fillId="0" borderId="7" xfId="1" applyFont="1" applyFill="1" applyBorder="1" applyAlignment="1" applyProtection="1">
      <alignment horizontal="center" vertical="center"/>
      <protection locked="0"/>
    </xf>
    <xf numFmtId="0" fontId="39" fillId="0" borderId="42" xfId="0" applyFont="1" applyBorder="1" applyAlignment="1">
      <alignment horizontal="center" vertical="center"/>
    </xf>
    <xf numFmtId="166" fontId="65" fillId="9" borderId="25" xfId="1" applyFont="1" applyFill="1" applyBorder="1" applyAlignment="1" applyProtection="1">
      <alignment horizontal="center" vertical="center"/>
      <protection locked="0"/>
    </xf>
    <xf numFmtId="0" fontId="39" fillId="12" borderId="49" xfId="2" applyFont="1" applyFill="1" applyBorder="1" applyAlignment="1" applyProtection="1">
      <alignment horizontal="center" vertical="center"/>
      <protection locked="0"/>
    </xf>
    <xf numFmtId="17" fontId="39" fillId="12" borderId="48" xfId="2" quotePrefix="1" applyNumberFormat="1" applyFont="1" applyFill="1" applyBorder="1" applyAlignment="1" applyProtection="1">
      <alignment horizontal="center" vertical="center" wrapText="1"/>
      <protection locked="0"/>
    </xf>
    <xf numFmtId="0" fontId="39" fillId="12" borderId="48" xfId="2" applyFont="1" applyFill="1" applyBorder="1" applyAlignment="1" applyProtection="1">
      <alignment horizontal="center" vertical="center"/>
      <protection locked="0"/>
    </xf>
    <xf numFmtId="0" fontId="65" fillId="12" borderId="48" xfId="0" applyFont="1" applyFill="1" applyBorder="1" applyAlignment="1">
      <alignment horizontal="center" vertical="center"/>
    </xf>
    <xf numFmtId="166" fontId="64" fillId="12" borderId="59" xfId="1" applyFont="1" applyFill="1" applyBorder="1" applyAlignment="1" applyProtection="1">
      <alignment horizontal="center" vertical="center"/>
      <protection locked="0"/>
    </xf>
    <xf numFmtId="166" fontId="64" fillId="12" borderId="49" xfId="1" applyFont="1" applyFill="1" applyBorder="1" applyAlignment="1" applyProtection="1">
      <alignment horizontal="center" vertical="center"/>
      <protection locked="0"/>
    </xf>
    <xf numFmtId="166" fontId="64" fillId="12" borderId="50" xfId="1" applyFont="1" applyFill="1" applyBorder="1" applyAlignment="1" applyProtection="1">
      <alignment horizontal="center" vertical="center"/>
      <protection locked="0"/>
    </xf>
    <xf numFmtId="166" fontId="64" fillId="12" borderId="58" xfId="1" applyFont="1" applyFill="1" applyBorder="1" applyAlignment="1" applyProtection="1">
      <alignment horizontal="center" vertical="center"/>
      <protection locked="0"/>
    </xf>
    <xf numFmtId="0" fontId="39" fillId="12" borderId="50" xfId="0" applyFont="1" applyFill="1" applyBorder="1" applyAlignment="1">
      <alignment horizontal="center" vertical="center"/>
    </xf>
    <xf numFmtId="0" fontId="40" fillId="10" borderId="51" xfId="0" applyFont="1" applyFill="1" applyBorder="1" applyAlignment="1">
      <alignment horizontal="center" vertical="center" wrapText="1"/>
    </xf>
    <xf numFmtId="49" fontId="40" fillId="10" borderId="58" xfId="0" applyNumberFormat="1" applyFont="1" applyFill="1" applyBorder="1" applyAlignment="1">
      <alignment horizontal="center" vertical="center" wrapText="1"/>
    </xf>
    <xf numFmtId="0" fontId="40" fillId="11" borderId="48" xfId="0" applyFont="1" applyFill="1" applyBorder="1" applyAlignment="1">
      <alignment horizontal="center" vertical="center" wrapText="1"/>
    </xf>
    <xf numFmtId="0" fontId="40" fillId="10" borderId="59" xfId="0" applyFont="1" applyFill="1" applyBorder="1" applyAlignment="1">
      <alignment horizontal="center" vertical="center" wrapText="1"/>
    </xf>
    <xf numFmtId="0" fontId="40" fillId="10" borderId="49" xfId="0" applyFont="1" applyFill="1" applyBorder="1" applyAlignment="1">
      <alignment horizontal="center" vertical="center" wrapText="1"/>
    </xf>
    <xf numFmtId="0" fontId="40" fillId="10" borderId="48" xfId="0" applyFont="1" applyFill="1" applyBorder="1" applyAlignment="1">
      <alignment horizontal="center" vertical="center" wrapText="1"/>
    </xf>
    <xf numFmtId="0" fontId="40" fillId="10" borderId="58" xfId="0" applyFont="1" applyFill="1" applyBorder="1" applyAlignment="1">
      <alignment horizontal="center" vertical="center" wrapText="1"/>
    </xf>
    <xf numFmtId="2" fontId="40" fillId="10" borderId="48" xfId="0" applyNumberFormat="1" applyFont="1" applyFill="1" applyBorder="1" applyAlignment="1">
      <alignment horizontal="center" vertical="center" wrapText="1"/>
    </xf>
    <xf numFmtId="1" fontId="40" fillId="10" borderId="48" xfId="0" applyNumberFormat="1" applyFont="1" applyFill="1" applyBorder="1" applyAlignment="1">
      <alignment horizontal="center" vertical="center" wrapText="1"/>
    </xf>
    <xf numFmtId="0" fontId="40" fillId="11" borderId="50" xfId="0" applyFont="1" applyFill="1" applyBorder="1" applyAlignment="1">
      <alignment horizontal="center" vertical="center" wrapText="1"/>
    </xf>
    <xf numFmtId="0" fontId="41" fillId="0" borderId="24" xfId="0" applyFont="1" applyBorder="1" applyAlignment="1">
      <alignment horizontal="center" vertical="center" wrapText="1"/>
    </xf>
    <xf numFmtId="0" fontId="68" fillId="5" borderId="25" xfId="6" applyFont="1" applyFill="1" applyBorder="1" applyAlignment="1">
      <alignment horizontal="center" vertical="center" wrapText="1"/>
    </xf>
    <xf numFmtId="1" fontId="68" fillId="5" borderId="25" xfId="6" applyNumberFormat="1" applyFont="1" applyFill="1" applyBorder="1" applyAlignment="1">
      <alignment horizontal="center" vertical="center" wrapText="1"/>
    </xf>
    <xf numFmtId="0" fontId="68" fillId="5" borderId="25" xfId="6" applyFont="1" applyFill="1" applyBorder="1" applyAlignment="1">
      <alignment horizontal="left" vertical="center" wrapText="1"/>
    </xf>
    <xf numFmtId="0" fontId="41" fillId="0" borderId="27" xfId="0" applyFont="1" applyBorder="1" applyAlignment="1">
      <alignment horizontal="center" vertical="center" wrapText="1"/>
    </xf>
    <xf numFmtId="0" fontId="41" fillId="0" borderId="56" xfId="0" applyFont="1" applyBorder="1" applyAlignment="1">
      <alignment horizontal="center" vertical="center" wrapText="1"/>
    </xf>
    <xf numFmtId="169" fontId="45" fillId="5" borderId="38" xfId="0" applyNumberFormat="1" applyFont="1" applyFill="1" applyBorder="1" applyAlignment="1" applyProtection="1">
      <alignment horizontal="center" vertical="center"/>
      <protection locked="0"/>
    </xf>
    <xf numFmtId="0" fontId="41" fillId="0" borderId="38" xfId="0" applyFont="1" applyBorder="1" applyAlignment="1">
      <alignment horizontal="center" vertical="center" wrapText="1"/>
    </xf>
    <xf numFmtId="0" fontId="71" fillId="0" borderId="45" xfId="0" applyFont="1" applyBorder="1" applyAlignment="1">
      <alignment horizontal="center" vertical="center" wrapText="1"/>
    </xf>
    <xf numFmtId="0" fontId="77" fillId="9" borderId="36" xfId="0" applyFont="1" applyFill="1" applyBorder="1" applyAlignment="1">
      <alignment horizontal="center" vertical="center"/>
    </xf>
    <xf numFmtId="0" fontId="78" fillId="9" borderId="37" xfId="0" applyFont="1" applyFill="1" applyBorder="1" applyAlignment="1">
      <alignment horizontal="center" vertical="center"/>
    </xf>
    <xf numFmtId="170" fontId="79" fillId="0" borderId="54" xfId="0" applyNumberFormat="1" applyFont="1" applyBorder="1" applyAlignment="1">
      <alignment horizontal="center" vertical="center"/>
    </xf>
    <xf numFmtId="0" fontId="66" fillId="0" borderId="3" xfId="0" applyFont="1" applyBorder="1" applyAlignment="1">
      <alignment vertical="center" wrapText="1"/>
    </xf>
    <xf numFmtId="0" fontId="68" fillId="0" borderId="38" xfId="6" applyFont="1" applyBorder="1" applyAlignment="1">
      <alignment vertical="center" wrapText="1"/>
    </xf>
    <xf numFmtId="17" fontId="68" fillId="0" borderId="38" xfId="6" applyNumberFormat="1" applyFont="1" applyBorder="1" applyAlignment="1">
      <alignment horizontal="center" vertical="center" wrapText="1"/>
    </xf>
    <xf numFmtId="0" fontId="68" fillId="0" borderId="38" xfId="6" applyFont="1" applyBorder="1" applyAlignment="1">
      <alignment horizontal="center" vertical="center" wrapText="1"/>
    </xf>
    <xf numFmtId="1" fontId="68" fillId="0" borderId="38" xfId="6" quotePrefix="1" applyNumberFormat="1" applyFont="1" applyBorder="1" applyAlignment="1">
      <alignment horizontal="center" vertical="center" wrapText="1"/>
    </xf>
    <xf numFmtId="0" fontId="68" fillId="0" borderId="38" xfId="6" applyFont="1" applyBorder="1" applyAlignment="1">
      <alignment horizontal="left" vertical="center" wrapText="1"/>
    </xf>
    <xf numFmtId="170" fontId="59" fillId="0" borderId="42" xfId="9" applyNumberFormat="1" applyFont="1" applyBorder="1" applyAlignment="1">
      <alignment horizontal="center" vertical="center"/>
    </xf>
    <xf numFmtId="170" fontId="59" fillId="5" borderId="7" xfId="9" applyNumberFormat="1" applyFont="1" applyFill="1" applyBorder="1" applyAlignment="1">
      <alignment horizontal="center" vertical="center"/>
    </xf>
    <xf numFmtId="170" fontId="59" fillId="0" borderId="7" xfId="9" applyNumberFormat="1" applyFont="1" applyBorder="1" applyAlignment="1">
      <alignment horizontal="right" vertical="center"/>
    </xf>
    <xf numFmtId="170" fontId="59" fillId="0" borderId="42" xfId="9" applyNumberFormat="1" applyFont="1" applyBorder="1" applyAlignment="1">
      <alignment horizontal="right" vertical="center"/>
    </xf>
    <xf numFmtId="170" fontId="59" fillId="0" borderId="19" xfId="9" applyNumberFormat="1" applyFont="1" applyBorder="1" applyAlignment="1">
      <alignment horizontal="center" vertical="center"/>
    </xf>
    <xf numFmtId="170" fontId="59" fillId="0" borderId="34" xfId="9" applyNumberFormat="1" applyFont="1" applyBorder="1" applyAlignment="1">
      <alignment horizontal="center" vertical="center"/>
    </xf>
    <xf numFmtId="170" fontId="59" fillId="0" borderId="31" xfId="9" applyNumberFormat="1" applyFont="1" applyBorder="1" applyAlignment="1">
      <alignment horizontal="center" vertical="center"/>
    </xf>
    <xf numFmtId="170" fontId="59" fillId="0" borderId="22" xfId="16" applyNumberFormat="1" applyFont="1" applyBorder="1" applyAlignment="1">
      <alignment horizontal="center" vertical="center"/>
    </xf>
    <xf numFmtId="170" fontId="69" fillId="0" borderId="0" xfId="0" applyNumberFormat="1" applyFont="1"/>
    <xf numFmtId="170" fontId="59" fillId="5" borderId="44" xfId="9" applyNumberFormat="1" applyFont="1" applyFill="1" applyBorder="1" applyAlignment="1">
      <alignment horizontal="center" vertical="center"/>
    </xf>
    <xf numFmtId="175" fontId="59" fillId="5" borderId="7" xfId="9" applyNumberFormat="1" applyFont="1" applyFill="1" applyBorder="1" applyAlignment="1">
      <alignment horizontal="center" vertical="center"/>
    </xf>
    <xf numFmtId="0" fontId="39" fillId="0" borderId="7" xfId="0" applyFont="1" applyBorder="1" applyAlignment="1">
      <alignment vertical="center"/>
    </xf>
    <xf numFmtId="166" fontId="39" fillId="0" borderId="7" xfId="1" applyFont="1" applyFill="1" applyBorder="1" applyAlignment="1">
      <alignment horizontal="center" vertical="center"/>
    </xf>
    <xf numFmtId="0" fontId="39" fillId="0" borderId="32" xfId="2" applyFont="1" applyBorder="1" applyAlignment="1" applyProtection="1">
      <alignment horizontal="center" vertical="center"/>
      <protection locked="0"/>
    </xf>
    <xf numFmtId="17" fontId="39" fillId="0" borderId="7" xfId="2" applyNumberFormat="1" applyFont="1" applyBorder="1" applyAlignment="1" applyProtection="1">
      <alignment horizontal="center" vertical="center"/>
      <protection locked="0"/>
    </xf>
    <xf numFmtId="0" fontId="39" fillId="0" borderId="23" xfId="0" applyFont="1" applyBorder="1" applyAlignment="1">
      <alignment vertical="center"/>
    </xf>
    <xf numFmtId="0" fontId="39" fillId="0" borderId="47" xfId="0" applyFont="1" applyBorder="1" applyAlignment="1">
      <alignment horizontal="center" vertical="center"/>
    </xf>
    <xf numFmtId="17" fontId="64" fillId="12" borderId="40" xfId="2" applyNumberFormat="1" applyFont="1" applyFill="1" applyBorder="1" applyAlignment="1" applyProtection="1">
      <alignment horizontal="left" vertical="center"/>
      <protection locked="0"/>
    </xf>
    <xf numFmtId="0" fontId="64" fillId="12" borderId="40" xfId="2" applyFont="1" applyFill="1" applyBorder="1" applyAlignment="1">
      <alignment horizontal="center" vertical="center"/>
    </xf>
    <xf numFmtId="166" fontId="64" fillId="12" borderId="40" xfId="1" applyFont="1" applyFill="1" applyBorder="1" applyAlignment="1" applyProtection="1">
      <alignment horizontal="right" vertical="center"/>
      <protection locked="0"/>
    </xf>
    <xf numFmtId="0" fontId="39" fillId="12" borderId="41" xfId="0" applyFont="1" applyFill="1" applyBorder="1" applyAlignment="1">
      <alignment vertical="center"/>
    </xf>
    <xf numFmtId="2" fontId="0" fillId="0" borderId="0" xfId="0" applyNumberFormat="1"/>
    <xf numFmtId="49" fontId="68" fillId="0" borderId="3" xfId="6" quotePrefix="1" applyNumberFormat="1" applyFont="1" applyBorder="1" applyAlignment="1">
      <alignment horizontal="center" vertical="center" wrapText="1"/>
    </xf>
    <xf numFmtId="0" fontId="68" fillId="0" borderId="3" xfId="6" quotePrefix="1" applyFont="1" applyBorder="1" applyAlignment="1">
      <alignment horizontal="center" vertical="center" wrapText="1"/>
    </xf>
    <xf numFmtId="0" fontId="39" fillId="0" borderId="56" xfId="2" applyFont="1" applyBorder="1" applyAlignment="1" applyProtection="1">
      <alignment horizontal="center" vertical="center"/>
      <protection locked="0"/>
    </xf>
    <xf numFmtId="0" fontId="39" fillId="0" borderId="38" xfId="0" applyFont="1" applyBorder="1" applyAlignment="1">
      <alignment vertical="center" wrapText="1"/>
    </xf>
    <xf numFmtId="17" fontId="39" fillId="0" borderId="38" xfId="2" quotePrefix="1" applyNumberFormat="1" applyFont="1" applyBorder="1" applyAlignment="1" applyProtection="1">
      <alignment horizontal="center" vertical="center" wrapText="1"/>
      <protection locked="0"/>
    </xf>
    <xf numFmtId="0" fontId="39" fillId="0" borderId="45" xfId="0" applyFont="1" applyBorder="1" applyAlignment="1">
      <alignment horizontal="center" vertical="center"/>
    </xf>
    <xf numFmtId="166" fontId="39" fillId="0" borderId="28" xfId="0" applyNumberFormat="1" applyFont="1" applyBorder="1" applyAlignment="1">
      <alignment horizontal="center" vertical="center"/>
    </xf>
    <xf numFmtId="169" fontId="45" fillId="0" borderId="3" xfId="0" applyNumberFormat="1" applyFont="1" applyBorder="1" applyAlignment="1" applyProtection="1">
      <alignment horizontal="center" vertical="center"/>
      <protection locked="0"/>
    </xf>
    <xf numFmtId="0" fontId="57" fillId="0" borderId="24" xfId="9" applyFont="1" applyBorder="1" applyAlignment="1">
      <alignment horizontal="center" vertical="center"/>
    </xf>
    <xf numFmtId="0" fontId="57" fillId="5" borderId="27" xfId="9" applyFont="1" applyFill="1" applyBorder="1" applyAlignment="1">
      <alignment horizontal="center" vertical="center"/>
    </xf>
    <xf numFmtId="0" fontId="41" fillId="7" borderId="3" xfId="0" applyFont="1" applyFill="1" applyBorder="1" applyAlignment="1">
      <alignment horizontal="center" vertical="center" wrapText="1"/>
    </xf>
    <xf numFmtId="0" fontId="41" fillId="0" borderId="32" xfId="0" applyFont="1" applyBorder="1" applyAlignment="1">
      <alignment horizontal="center" vertical="center" wrapText="1"/>
    </xf>
    <xf numFmtId="0" fontId="68" fillId="0" borderId="7" xfId="6" applyFont="1" applyBorder="1" applyAlignment="1">
      <alignment vertical="center" wrapText="1"/>
    </xf>
    <xf numFmtId="17" fontId="68" fillId="0" borderId="7" xfId="6" applyNumberFormat="1" applyFont="1" applyBorder="1" applyAlignment="1">
      <alignment horizontal="center" vertical="center" wrapText="1"/>
    </xf>
    <xf numFmtId="169" fontId="45" fillId="5" borderId="7" xfId="0" applyNumberFormat="1" applyFont="1" applyFill="1" applyBorder="1" applyAlignment="1" applyProtection="1">
      <alignment horizontal="center" vertical="center"/>
      <protection locked="0"/>
    </xf>
    <xf numFmtId="0" fontId="41" fillId="0" borderId="7" xfId="0" applyFont="1" applyBorder="1" applyAlignment="1">
      <alignment horizontal="center" vertical="center" wrapText="1"/>
    </xf>
    <xf numFmtId="0" fontId="71" fillId="0" borderId="42" xfId="0" applyFont="1" applyBorder="1" applyAlignment="1">
      <alignment horizontal="center" vertical="center" wrapText="1"/>
    </xf>
    <xf numFmtId="0" fontId="68" fillId="0" borderId="25" xfId="6" applyFont="1" applyBorder="1" applyAlignment="1">
      <alignment vertical="center" wrapText="1"/>
    </xf>
    <xf numFmtId="17" fontId="68" fillId="0" borderId="25" xfId="6" applyNumberFormat="1" applyFont="1" applyBorder="1" applyAlignment="1">
      <alignment horizontal="center" vertical="center" wrapText="1"/>
    </xf>
    <xf numFmtId="0" fontId="68" fillId="0" borderId="25" xfId="6" applyFont="1" applyBorder="1" applyAlignment="1">
      <alignment horizontal="center" vertical="center" wrapText="1"/>
    </xf>
    <xf numFmtId="1" fontId="68" fillId="0" borderId="25" xfId="6" applyNumberFormat="1" applyFont="1" applyBorder="1" applyAlignment="1">
      <alignment horizontal="center" vertical="center" wrapText="1"/>
    </xf>
    <xf numFmtId="0" fontId="68" fillId="0" borderId="25" xfId="6" applyFont="1" applyBorder="1" applyAlignment="1">
      <alignment horizontal="left" vertical="center" wrapText="1"/>
    </xf>
    <xf numFmtId="169" fontId="45" fillId="0" borderId="25" xfId="0" applyNumberFormat="1" applyFont="1" applyBorder="1" applyAlignment="1" applyProtection="1">
      <alignment horizontal="center" vertical="center"/>
      <protection locked="0"/>
    </xf>
    <xf numFmtId="0" fontId="41" fillId="0" borderId="25" xfId="0" applyFont="1" applyBorder="1" applyAlignment="1">
      <alignment horizontal="center" vertical="center" wrapText="1"/>
    </xf>
    <xf numFmtId="17" fontId="41" fillId="0" borderId="25" xfId="0" applyNumberFormat="1" applyFont="1" applyBorder="1" applyAlignment="1">
      <alignment horizontal="center" vertical="center" wrapText="1"/>
    </xf>
    <xf numFmtId="0" fontId="41" fillId="0" borderId="26" xfId="0" applyFont="1" applyBorder="1" applyAlignment="1">
      <alignment horizontal="center" vertical="center" wrapText="1"/>
    </xf>
    <xf numFmtId="17" fontId="41" fillId="0" borderId="3" xfId="0" applyNumberFormat="1" applyFont="1" applyBorder="1" applyAlignment="1">
      <alignment horizontal="center" vertical="center" wrapText="1"/>
    </xf>
    <xf numFmtId="0" fontId="39" fillId="7" borderId="3" xfId="0" applyFont="1" applyFill="1" applyBorder="1" applyAlignment="1">
      <alignment vertical="center"/>
    </xf>
    <xf numFmtId="0" fontId="0" fillId="3" borderId="4" xfId="0" applyFill="1" applyBorder="1" applyAlignment="1">
      <alignment horizontal="center"/>
    </xf>
    <xf numFmtId="0" fontId="0" fillId="3" borderId="2" xfId="0" applyFill="1" applyBorder="1" applyAlignment="1">
      <alignment horizontal="center"/>
    </xf>
    <xf numFmtId="0" fontId="0" fillId="3" borderId="37" xfId="0" applyFill="1" applyBorder="1" applyAlignment="1">
      <alignment horizontal="center"/>
    </xf>
    <xf numFmtId="166" fontId="4" fillId="2" borderId="25" xfId="1" applyFont="1" applyFill="1" applyBorder="1" applyAlignment="1" applyProtection="1">
      <alignment horizontal="center" vertical="center" wrapText="1"/>
      <protection locked="0"/>
    </xf>
    <xf numFmtId="166" fontId="4" fillId="2" borderId="23" xfId="1" applyFont="1" applyFill="1" applyBorder="1" applyAlignment="1" applyProtection="1">
      <alignment horizontal="center" vertical="center" wrapText="1"/>
      <protection locked="0"/>
    </xf>
    <xf numFmtId="166" fontId="4" fillId="3" borderId="5" xfId="1" applyFont="1" applyFill="1" applyBorder="1" applyAlignment="1" applyProtection="1">
      <alignment horizontal="center"/>
      <protection locked="0"/>
    </xf>
    <xf numFmtId="166" fontId="4" fillId="3" borderId="6" xfId="1" applyFont="1" applyFill="1" applyBorder="1" applyAlignment="1" applyProtection="1">
      <alignment horizontal="center"/>
      <protection locked="0"/>
    </xf>
    <xf numFmtId="0" fontId="43" fillId="3" borderId="36" xfId="2" applyFont="1" applyFill="1" applyBorder="1" applyAlignment="1" applyProtection="1">
      <alignment horizontal="center" vertical="center"/>
      <protection locked="0"/>
    </xf>
    <xf numFmtId="0" fontId="43" fillId="3" borderId="33" xfId="2" applyFont="1" applyFill="1" applyBorder="1" applyAlignment="1" applyProtection="1">
      <alignment horizontal="center" vertical="center"/>
      <protection locked="0"/>
    </xf>
    <xf numFmtId="166" fontId="61" fillId="3" borderId="36" xfId="1" applyFont="1" applyFill="1" applyBorder="1" applyAlignment="1" applyProtection="1">
      <alignment horizontal="center" vertical="center"/>
      <protection locked="0"/>
    </xf>
    <xf numFmtId="166" fontId="61" fillId="3" borderId="33" xfId="1" applyFont="1" applyFill="1" applyBorder="1" applyAlignment="1" applyProtection="1">
      <alignment horizontal="center" vertical="center"/>
      <protection locked="0"/>
    </xf>
    <xf numFmtId="0" fontId="4" fillId="2" borderId="24" xfId="2" applyFont="1" applyFill="1" applyBorder="1" applyAlignment="1" applyProtection="1">
      <alignment horizontal="center" vertical="center" wrapText="1"/>
      <protection locked="0"/>
    </xf>
    <xf numFmtId="0" fontId="4" fillId="2" borderId="46" xfId="2" applyFont="1" applyFill="1" applyBorder="1" applyAlignment="1" applyProtection="1">
      <alignment horizontal="center" vertical="center" wrapText="1"/>
      <protection locked="0"/>
    </xf>
    <xf numFmtId="0" fontId="4" fillId="2" borderId="25" xfId="2" applyFont="1" applyFill="1" applyBorder="1" applyAlignment="1" applyProtection="1">
      <alignment horizontal="center" vertical="center"/>
      <protection locked="0"/>
    </xf>
    <xf numFmtId="0" fontId="4" fillId="2" borderId="23" xfId="2" applyFont="1" applyFill="1" applyBorder="1" applyAlignment="1" applyProtection="1">
      <alignment horizontal="center" vertical="center"/>
      <protection locked="0"/>
    </xf>
    <xf numFmtId="0" fontId="4" fillId="2" borderId="25" xfId="2" applyFont="1" applyFill="1" applyBorder="1" applyAlignment="1" applyProtection="1">
      <alignment horizontal="center" vertical="center" wrapText="1"/>
      <protection locked="0"/>
    </xf>
    <xf numFmtId="0" fontId="4" fillId="2" borderId="23" xfId="2" applyFont="1" applyFill="1" applyBorder="1" applyAlignment="1" applyProtection="1">
      <alignment horizontal="center" vertical="center" wrapText="1"/>
      <protection locked="0"/>
    </xf>
    <xf numFmtId="166" fontId="4" fillId="2" borderId="23" xfId="1" applyFont="1" applyFill="1" applyBorder="1" applyAlignment="1" applyProtection="1">
      <alignment horizontal="center" vertical="center"/>
      <protection locked="0"/>
    </xf>
    <xf numFmtId="0" fontId="43" fillId="3" borderId="5" xfId="2" quotePrefix="1" applyFont="1" applyFill="1" applyBorder="1" applyAlignment="1" applyProtection="1">
      <alignment horizontal="center"/>
      <protection locked="0"/>
    </xf>
    <xf numFmtId="0" fontId="43" fillId="3" borderId="6" xfId="2" applyFont="1" applyFill="1" applyBorder="1" applyAlignment="1" applyProtection="1">
      <alignment horizontal="center"/>
      <protection locked="0"/>
    </xf>
    <xf numFmtId="166" fontId="4" fillId="3" borderId="1" xfId="1" applyFont="1" applyFill="1" applyBorder="1" applyAlignment="1" applyProtection="1">
      <alignment horizontal="center"/>
      <protection locked="0"/>
    </xf>
    <xf numFmtId="166" fontId="4" fillId="3" borderId="0" xfId="1" applyFont="1" applyFill="1" applyBorder="1" applyAlignment="1" applyProtection="1">
      <alignment horizontal="center"/>
      <protection locked="0"/>
    </xf>
    <xf numFmtId="0" fontId="43" fillId="3" borderId="1" xfId="2" applyFont="1" applyFill="1" applyBorder="1" applyAlignment="1" applyProtection="1">
      <alignment horizontal="right"/>
      <protection locked="0"/>
    </xf>
    <xf numFmtId="0" fontId="43" fillId="3" borderId="0" xfId="2" applyFont="1" applyFill="1" applyAlignment="1" applyProtection="1">
      <alignment horizontal="right"/>
      <protection locked="0"/>
    </xf>
    <xf numFmtId="173" fontId="43" fillId="3" borderId="0" xfId="2" applyNumberFormat="1" applyFont="1" applyFill="1" applyAlignment="1" applyProtection="1">
      <alignment horizontal="left"/>
      <protection locked="0"/>
    </xf>
    <xf numFmtId="166" fontId="4" fillId="2" borderId="26" xfId="1" applyFont="1" applyFill="1" applyBorder="1" applyAlignment="1" applyProtection="1">
      <alignment horizontal="center" vertical="center" wrapText="1"/>
      <protection locked="0"/>
    </xf>
    <xf numFmtId="166" fontId="4" fillId="2" borderId="47" xfId="1" applyFont="1" applyFill="1" applyBorder="1" applyAlignment="1" applyProtection="1">
      <alignment horizontal="center" vertical="center" wrapText="1"/>
      <protection locked="0"/>
    </xf>
    <xf numFmtId="0" fontId="64" fillId="7" borderId="39" xfId="2" applyFont="1" applyFill="1" applyBorder="1" applyAlignment="1" applyProtection="1">
      <alignment horizontal="center" vertical="center"/>
      <protection locked="0"/>
    </xf>
    <xf numFmtId="0" fontId="64" fillId="7" borderId="40" xfId="2" applyFont="1" applyFill="1" applyBorder="1" applyAlignment="1" applyProtection="1">
      <alignment horizontal="center" vertical="center"/>
      <protection locked="0"/>
    </xf>
    <xf numFmtId="0" fontId="64" fillId="7" borderId="41" xfId="2" applyFont="1" applyFill="1" applyBorder="1" applyAlignment="1" applyProtection="1">
      <alignment horizontal="center" vertical="center"/>
      <protection locked="0"/>
    </xf>
    <xf numFmtId="49" fontId="75" fillId="2" borderId="48" xfId="1" applyNumberFormat="1" applyFont="1" applyFill="1" applyBorder="1" applyAlignment="1" applyProtection="1">
      <alignment horizontal="center" vertical="center" wrapText="1"/>
      <protection locked="0"/>
    </xf>
    <xf numFmtId="49" fontId="75" fillId="2" borderId="19" xfId="1" applyNumberFormat="1" applyFont="1" applyFill="1" applyBorder="1" applyAlignment="1" applyProtection="1">
      <alignment horizontal="center" vertical="center" wrapText="1"/>
      <protection locked="0"/>
    </xf>
    <xf numFmtId="166" fontId="4" fillId="2" borderId="48" xfId="1" applyFont="1" applyFill="1" applyBorder="1" applyAlignment="1" applyProtection="1">
      <alignment horizontal="center" vertical="center" wrapText="1"/>
      <protection locked="0"/>
    </xf>
    <xf numFmtId="166" fontId="4" fillId="2" borderId="19" xfId="1" applyFont="1" applyFill="1" applyBorder="1" applyAlignment="1" applyProtection="1">
      <alignment horizontal="center" vertical="center" wrapText="1"/>
      <protection locked="0"/>
    </xf>
    <xf numFmtId="0" fontId="64" fillId="0" borderId="49" xfId="2" applyFont="1" applyBorder="1" applyAlignment="1" applyProtection="1">
      <alignment horizontal="center" vertical="center"/>
      <protection locked="0"/>
    </xf>
    <xf numFmtId="0" fontId="64" fillId="0" borderId="48" xfId="2" applyFont="1" applyBorder="1" applyAlignment="1" applyProtection="1">
      <alignment horizontal="center" vertical="center"/>
      <protection locked="0"/>
    </xf>
    <xf numFmtId="49" fontId="4" fillId="2" borderId="48" xfId="1" applyNumberFormat="1" applyFont="1" applyFill="1" applyBorder="1" applyAlignment="1" applyProtection="1">
      <alignment horizontal="center" vertical="center" wrapText="1"/>
      <protection locked="0"/>
    </xf>
    <xf numFmtId="49" fontId="4" fillId="2" borderId="19" xfId="1" applyNumberFormat="1" applyFont="1" applyFill="1" applyBorder="1" applyAlignment="1" applyProtection="1">
      <alignment horizontal="center" vertical="center" wrapText="1"/>
      <protection locked="0"/>
    </xf>
    <xf numFmtId="49" fontId="4" fillId="2" borderId="25" xfId="1" applyNumberFormat="1" applyFont="1" applyFill="1" applyBorder="1" applyAlignment="1" applyProtection="1">
      <alignment horizontal="center" vertical="center" wrapText="1"/>
      <protection locked="0"/>
    </xf>
    <xf numFmtId="49" fontId="4" fillId="2" borderId="23" xfId="1" applyNumberFormat="1" applyFont="1" applyFill="1" applyBorder="1" applyAlignment="1" applyProtection="1">
      <alignment horizontal="center" vertical="center" wrapText="1"/>
      <protection locked="0"/>
    </xf>
    <xf numFmtId="166" fontId="39" fillId="7" borderId="20" xfId="1" applyFont="1" applyFill="1" applyBorder="1" applyAlignment="1" applyProtection="1">
      <alignment horizontal="center" vertical="center"/>
      <protection locked="0"/>
    </xf>
    <xf numFmtId="166" fontId="39" fillId="7" borderId="21" xfId="1" applyFont="1" applyFill="1" applyBorder="1" applyAlignment="1" applyProtection="1">
      <alignment horizontal="center" vertical="center"/>
      <protection locked="0"/>
    </xf>
    <xf numFmtId="166" fontId="39" fillId="7" borderId="22" xfId="1" applyFont="1" applyFill="1" applyBorder="1" applyAlignment="1" applyProtection="1">
      <alignment horizontal="center" vertical="center"/>
      <protection locked="0"/>
    </xf>
    <xf numFmtId="0" fontId="64" fillId="2" borderId="51" xfId="0" applyFont="1" applyFill="1" applyBorder="1" applyAlignment="1">
      <alignment horizontal="center" vertical="center"/>
    </xf>
    <xf numFmtId="0" fontId="64" fillId="2" borderId="52" xfId="0" applyFont="1" applyFill="1" applyBorder="1" applyAlignment="1">
      <alignment horizontal="center" vertical="center"/>
    </xf>
    <xf numFmtId="166" fontId="4" fillId="2" borderId="24" xfId="1" applyFont="1" applyFill="1" applyBorder="1" applyAlignment="1" applyProtection="1">
      <alignment horizontal="center" vertical="center" wrapText="1"/>
      <protection locked="0"/>
    </xf>
    <xf numFmtId="166" fontId="4" fillId="2" borderId="46" xfId="1" applyFont="1" applyFill="1" applyBorder="1" applyAlignment="1" applyProtection="1">
      <alignment horizontal="center" vertical="center" wrapText="1"/>
      <protection locked="0"/>
    </xf>
    <xf numFmtId="0" fontId="36" fillId="5" borderId="29" xfId="0" applyFont="1" applyFill="1" applyBorder="1" applyAlignment="1">
      <alignment horizontal="left"/>
    </xf>
    <xf numFmtId="0" fontId="36" fillId="5" borderId="10" xfId="0" applyFont="1" applyFill="1" applyBorder="1" applyAlignment="1">
      <alignment horizontal="left"/>
    </xf>
    <xf numFmtId="0" fontId="36" fillId="5" borderId="11" xfId="0" applyFont="1" applyFill="1" applyBorder="1" applyAlignment="1">
      <alignment horizontal="left"/>
    </xf>
    <xf numFmtId="0" fontId="36" fillId="5" borderId="27" xfId="0" applyFont="1" applyFill="1" applyBorder="1" applyAlignment="1">
      <alignment horizontal="left"/>
    </xf>
    <xf numFmtId="0" fontId="36" fillId="5" borderId="3" xfId="0" applyFont="1" applyFill="1" applyBorder="1" applyAlignment="1">
      <alignment horizontal="left"/>
    </xf>
    <xf numFmtId="0" fontId="36" fillId="5" borderId="29" xfId="0" applyFont="1" applyFill="1" applyBorder="1" applyAlignment="1">
      <alignment horizontal="left" shrinkToFit="1"/>
    </xf>
    <xf numFmtId="0" fontId="36" fillId="5" borderId="11" xfId="0" applyFont="1" applyFill="1" applyBorder="1" applyAlignment="1">
      <alignment horizontal="left" shrinkToFit="1"/>
    </xf>
    <xf numFmtId="49" fontId="36" fillId="5" borderId="27" xfId="0" applyNumberFormat="1" applyFont="1" applyFill="1" applyBorder="1" applyAlignment="1">
      <alignment horizontal="left"/>
    </xf>
    <xf numFmtId="0" fontId="36" fillId="5" borderId="13" xfId="0" applyFont="1" applyFill="1" applyBorder="1" applyAlignment="1">
      <alignment horizontal="right"/>
    </xf>
    <xf numFmtId="0" fontId="36" fillId="5" borderId="14" xfId="0" applyFont="1" applyFill="1" applyBorder="1" applyAlignment="1">
      <alignment horizontal="right"/>
    </xf>
    <xf numFmtId="0" fontId="36" fillId="5" borderId="35" xfId="0" applyFont="1" applyFill="1" applyBorder="1" applyAlignment="1">
      <alignment horizontal="left"/>
    </xf>
    <xf numFmtId="0" fontId="36" fillId="5" borderId="8" xfId="0" applyFont="1" applyFill="1" applyBorder="1" applyAlignment="1">
      <alignment horizontal="left"/>
    </xf>
    <xf numFmtId="0" fontId="36" fillId="5" borderId="1" xfId="0" applyFont="1" applyFill="1" applyBorder="1" applyAlignment="1">
      <alignment horizontal="left"/>
    </xf>
    <xf numFmtId="0" fontId="36" fillId="5" borderId="0" xfId="0" applyFont="1" applyFill="1" applyAlignment="1">
      <alignment horizontal="left"/>
    </xf>
    <xf numFmtId="0" fontId="35" fillId="5" borderId="0" xfId="0" applyFont="1" applyFill="1" applyAlignment="1">
      <alignment horizontal="left"/>
    </xf>
    <xf numFmtId="0" fontId="35" fillId="5" borderId="2" xfId="0" applyFont="1" applyFill="1" applyBorder="1" applyAlignment="1">
      <alignment horizontal="left"/>
    </xf>
    <xf numFmtId="0" fontId="36" fillId="5" borderId="9" xfId="0" applyFont="1" applyFill="1" applyBorder="1" applyAlignment="1">
      <alignment horizontal="right"/>
    </xf>
    <xf numFmtId="0" fontId="36" fillId="5" borderId="10" xfId="0" applyFont="1" applyFill="1" applyBorder="1" applyAlignment="1">
      <alignment horizontal="right"/>
    </xf>
    <xf numFmtId="0" fontId="36" fillId="5" borderId="11" xfId="0" applyFont="1" applyFill="1" applyBorder="1" applyAlignment="1">
      <alignment horizontal="right"/>
    </xf>
    <xf numFmtId="0" fontId="37" fillId="5" borderId="1" xfId="0" applyFont="1" applyFill="1" applyBorder="1" applyAlignment="1">
      <alignment horizontal="center" vertical="center"/>
    </xf>
    <xf numFmtId="0" fontId="37" fillId="5" borderId="0" xfId="0" applyFont="1" applyFill="1" applyAlignment="1">
      <alignment horizontal="center" vertical="center"/>
    </xf>
    <xf numFmtId="0" fontId="37" fillId="5" borderId="2" xfId="0" applyFont="1" applyFill="1" applyBorder="1" applyAlignment="1">
      <alignment horizontal="center" vertical="center"/>
    </xf>
    <xf numFmtId="0" fontId="35" fillId="5" borderId="9" xfId="0" applyFont="1" applyFill="1" applyBorder="1" applyAlignment="1">
      <alignment horizontal="center"/>
    </xf>
    <xf numFmtId="0" fontId="35" fillId="5" borderId="11" xfId="0" applyFont="1" applyFill="1" applyBorder="1" applyAlignment="1">
      <alignment horizontal="center"/>
    </xf>
    <xf numFmtId="0" fontId="36" fillId="5" borderId="9" xfId="0" applyFont="1" applyFill="1" applyBorder="1" applyAlignment="1">
      <alignment horizontal="left"/>
    </xf>
    <xf numFmtId="15" fontId="36" fillId="5" borderId="0" xfId="0" applyNumberFormat="1" applyFont="1" applyFill="1" applyAlignment="1">
      <alignment horizontal="left"/>
    </xf>
    <xf numFmtId="15" fontId="36" fillId="5" borderId="2" xfId="0" applyNumberFormat="1" applyFont="1" applyFill="1" applyBorder="1" applyAlignment="1">
      <alignment horizontal="left"/>
    </xf>
    <xf numFmtId="0" fontId="35" fillId="5" borderId="5" xfId="0" quotePrefix="1" applyFont="1" applyFill="1" applyBorder="1" applyAlignment="1">
      <alignment horizontal="center"/>
    </xf>
    <xf numFmtId="0" fontId="35" fillId="5" borderId="6" xfId="0" applyFont="1" applyFill="1" applyBorder="1" applyAlignment="1">
      <alignment horizontal="center"/>
    </xf>
    <xf numFmtId="0" fontId="35" fillId="5" borderId="4" xfId="0" applyFont="1" applyFill="1" applyBorder="1" applyAlignment="1">
      <alignment horizontal="center"/>
    </xf>
    <xf numFmtId="0" fontId="36" fillId="5" borderId="1" xfId="0" applyFont="1" applyFill="1" applyBorder="1" applyAlignment="1">
      <alignment horizontal="center"/>
    </xf>
    <xf numFmtId="0" fontId="36" fillId="5" borderId="0" xfId="0" quotePrefix="1" applyFont="1" applyFill="1" applyAlignment="1">
      <alignment horizontal="center"/>
    </xf>
    <xf numFmtId="0" fontId="36" fillId="5" borderId="2" xfId="0" quotePrefix="1" applyFont="1" applyFill="1" applyBorder="1" applyAlignment="1">
      <alignment horizontal="center"/>
    </xf>
    <xf numFmtId="0" fontId="36" fillId="5" borderId="27" xfId="0" applyFont="1" applyFill="1" applyBorder="1" applyAlignment="1">
      <alignment horizontal="center"/>
    </xf>
    <xf numFmtId="0" fontId="36" fillId="5" borderId="3" xfId="0" applyFont="1" applyFill="1" applyBorder="1" applyAlignment="1">
      <alignment horizontal="center"/>
    </xf>
    <xf numFmtId="0" fontId="36" fillId="5" borderId="9" xfId="0" applyFont="1" applyFill="1" applyBorder="1" applyAlignment="1">
      <alignment horizontal="center"/>
    </xf>
    <xf numFmtId="0" fontId="36" fillId="5" borderId="11" xfId="0" applyFont="1" applyFill="1" applyBorder="1" applyAlignment="1">
      <alignment horizontal="center"/>
    </xf>
    <xf numFmtId="49" fontId="76" fillId="5" borderId="27" xfId="0" applyNumberFormat="1" applyFont="1" applyFill="1" applyBorder="1" applyAlignment="1">
      <alignment horizontal="left"/>
    </xf>
    <xf numFmtId="0" fontId="76" fillId="5" borderId="3" xfId="0" applyFont="1" applyFill="1" applyBorder="1" applyAlignment="1">
      <alignment horizontal="left"/>
    </xf>
    <xf numFmtId="0" fontId="36" fillId="5" borderId="53" xfId="0" applyFont="1" applyFill="1" applyBorder="1" applyAlignment="1">
      <alignment horizontal="left"/>
    </xf>
    <xf numFmtId="0" fontId="36" fillId="5" borderId="13" xfId="0" applyFont="1" applyFill="1" applyBorder="1" applyAlignment="1">
      <alignment horizontal="left"/>
    </xf>
    <xf numFmtId="0" fontId="36" fillId="5" borderId="0" xfId="0" applyFont="1" applyFill="1" applyAlignment="1">
      <alignment horizontal="center"/>
    </xf>
    <xf numFmtId="0" fontId="36" fillId="5" borderId="2" xfId="0" applyFont="1" applyFill="1" applyBorder="1" applyAlignment="1">
      <alignment horizontal="center"/>
    </xf>
    <xf numFmtId="0" fontId="35" fillId="5" borderId="6" xfId="0" quotePrefix="1" applyFont="1" applyFill="1" applyBorder="1" applyAlignment="1">
      <alignment horizontal="center"/>
    </xf>
    <xf numFmtId="0" fontId="35" fillId="5" borderId="4" xfId="0" quotePrefix="1" applyFont="1" applyFill="1" applyBorder="1" applyAlignment="1">
      <alignment horizontal="center"/>
    </xf>
    <xf numFmtId="0" fontId="36" fillId="5" borderId="0" xfId="0" applyFont="1" applyFill="1" applyAlignment="1">
      <alignment horizontal="left" wrapText="1"/>
    </xf>
    <xf numFmtId="17" fontId="36" fillId="5" borderId="0" xfId="0" applyNumberFormat="1" applyFont="1" applyFill="1" applyAlignment="1">
      <alignment horizontal="left"/>
    </xf>
    <xf numFmtId="0" fontId="81" fillId="7" borderId="0" xfId="0" applyFont="1" applyFill="1" applyAlignment="1">
      <alignment horizontal="center" wrapText="1"/>
    </xf>
    <xf numFmtId="166" fontId="36" fillId="5" borderId="0" xfId="0" applyNumberFormat="1" applyFont="1" applyFill="1" applyAlignment="1">
      <alignment horizontal="left"/>
    </xf>
    <xf numFmtId="0" fontId="80" fillId="0" borderId="1" xfId="0" applyFont="1" applyBorder="1" applyAlignment="1">
      <alignment horizontal="center" vertical="center"/>
    </xf>
    <xf numFmtId="0" fontId="80" fillId="0" borderId="0" xfId="0" applyFont="1" applyAlignment="1">
      <alignment horizontal="center" vertical="center"/>
    </xf>
    <xf numFmtId="0" fontId="80" fillId="0" borderId="2" xfId="0" applyFont="1" applyBorder="1" applyAlignment="1">
      <alignment horizontal="center" vertical="center"/>
    </xf>
    <xf numFmtId="0" fontId="37" fillId="5" borderId="1" xfId="0" applyFont="1" applyFill="1" applyBorder="1" applyAlignment="1">
      <alignment horizontal="center"/>
    </xf>
    <xf numFmtId="0" fontId="37" fillId="5" borderId="0" xfId="0" applyFont="1" applyFill="1" applyAlignment="1">
      <alignment horizontal="center"/>
    </xf>
    <xf numFmtId="0" fontId="37" fillId="5" borderId="2" xfId="0" applyFont="1" applyFill="1" applyBorder="1" applyAlignment="1">
      <alignment horizontal="center"/>
    </xf>
    <xf numFmtId="49" fontId="36" fillId="5" borderId="29" xfId="0" applyNumberFormat="1" applyFont="1" applyFill="1" applyBorder="1" applyAlignment="1">
      <alignment horizontal="left"/>
    </xf>
    <xf numFmtId="0" fontId="80" fillId="0" borderId="1" xfId="0" applyFont="1" applyBorder="1" applyAlignment="1">
      <alignment horizontal="center"/>
    </xf>
    <xf numFmtId="0" fontId="80" fillId="0" borderId="0" xfId="0" applyFont="1" applyAlignment="1">
      <alignment horizontal="center"/>
    </xf>
    <xf numFmtId="0" fontId="80" fillId="0" borderId="2" xfId="0" applyFont="1" applyBorder="1" applyAlignment="1">
      <alignment horizontal="center"/>
    </xf>
    <xf numFmtId="0" fontId="36" fillId="5" borderId="29" xfId="0" applyFont="1" applyFill="1" applyBorder="1" applyAlignment="1">
      <alignment horizontal="center"/>
    </xf>
    <xf numFmtId="0" fontId="50" fillId="5" borderId="1" xfId="10" applyFont="1" applyFill="1" applyBorder="1" applyAlignment="1">
      <alignment horizontal="center" vertical="center"/>
    </xf>
    <xf numFmtId="0" fontId="50" fillId="5" borderId="0" xfId="10" applyFont="1" applyFill="1" applyAlignment="1">
      <alignment horizontal="center" vertical="center"/>
    </xf>
    <xf numFmtId="0" fontId="50" fillId="5" borderId="2" xfId="10" applyFont="1" applyFill="1" applyBorder="1" applyAlignment="1">
      <alignment horizontal="center" vertical="center"/>
    </xf>
    <xf numFmtId="0" fontId="50" fillId="5" borderId="1" xfId="10" applyFont="1" applyFill="1" applyBorder="1" applyAlignment="1">
      <alignment horizontal="left"/>
    </xf>
    <xf numFmtId="0" fontId="50" fillId="5" borderId="0" xfId="10" applyFont="1" applyFill="1" applyAlignment="1">
      <alignment horizontal="left"/>
    </xf>
    <xf numFmtId="0" fontId="50" fillId="5" borderId="2" xfId="10" applyFont="1" applyFill="1" applyBorder="1" applyAlignment="1">
      <alignment horizontal="left"/>
    </xf>
    <xf numFmtId="0" fontId="49" fillId="5" borderId="35" xfId="10" applyFont="1" applyFill="1" applyBorder="1" applyAlignment="1">
      <alignment horizontal="left"/>
    </xf>
    <xf numFmtId="0" fontId="49" fillId="5" borderId="8" xfId="10" applyFont="1" applyFill="1" applyBorder="1" applyAlignment="1">
      <alignment horizontal="left"/>
    </xf>
    <xf numFmtId="0" fontId="49" fillId="5" borderId="1" xfId="10" applyFont="1" applyFill="1" applyBorder="1" applyAlignment="1">
      <alignment horizontal="left"/>
    </xf>
    <xf numFmtId="0" fontId="49" fillId="5" borderId="0" xfId="10" applyFont="1" applyFill="1" applyAlignment="1">
      <alignment horizontal="left"/>
    </xf>
    <xf numFmtId="0" fontId="49" fillId="5" borderId="27" xfId="10" applyFont="1" applyFill="1" applyBorder="1" applyAlignment="1">
      <alignment horizontal="left"/>
    </xf>
    <xf numFmtId="0" fontId="49" fillId="5" borderId="3" xfId="10" applyFont="1" applyFill="1" applyBorder="1" applyAlignment="1">
      <alignment horizontal="left"/>
    </xf>
    <xf numFmtId="0" fontId="49" fillId="5" borderId="29" xfId="10" applyFont="1" applyFill="1" applyBorder="1" applyAlignment="1">
      <alignment horizontal="left"/>
    </xf>
    <xf numFmtId="0" fontId="49" fillId="5" borderId="10" xfId="10" applyFont="1" applyFill="1" applyBorder="1" applyAlignment="1">
      <alignment horizontal="left"/>
    </xf>
    <xf numFmtId="0" fontId="49" fillId="5" borderId="11" xfId="10" applyFont="1" applyFill="1" applyBorder="1" applyAlignment="1">
      <alignment horizontal="left"/>
    </xf>
    <xf numFmtId="0" fontId="49" fillId="5" borderId="9" xfId="10" applyFont="1" applyFill="1" applyBorder="1" applyAlignment="1">
      <alignment horizontal="right"/>
    </xf>
    <xf numFmtId="0" fontId="49" fillId="5" borderId="10" xfId="10" applyFont="1" applyFill="1" applyBorder="1" applyAlignment="1">
      <alignment horizontal="right"/>
    </xf>
    <xf numFmtId="0" fontId="49" fillId="5" borderId="11" xfId="10" applyFont="1" applyFill="1" applyBorder="1" applyAlignment="1">
      <alignment horizontal="right"/>
    </xf>
    <xf numFmtId="0" fontId="49" fillId="5" borderId="32" xfId="10" applyFont="1" applyFill="1" applyBorder="1" applyAlignment="1">
      <alignment horizontal="left"/>
    </xf>
    <xf numFmtId="0" fontId="49" fillId="5" borderId="7" xfId="10" applyFont="1" applyFill="1" applyBorder="1" applyAlignment="1">
      <alignment horizontal="left"/>
    </xf>
    <xf numFmtId="0" fontId="49" fillId="5" borderId="29" xfId="10" applyFont="1" applyFill="1" applyBorder="1" applyAlignment="1">
      <alignment horizontal="left" shrinkToFit="1"/>
    </xf>
    <xf numFmtId="0" fontId="49" fillId="5" borderId="11" xfId="10" applyFont="1" applyFill="1" applyBorder="1" applyAlignment="1">
      <alignment horizontal="left" shrinkToFit="1"/>
    </xf>
    <xf numFmtId="0" fontId="49" fillId="5" borderId="13" xfId="10" applyFont="1" applyFill="1" applyBorder="1" applyAlignment="1">
      <alignment horizontal="right"/>
    </xf>
    <xf numFmtId="0" fontId="49" fillId="5" borderId="14" xfId="10" applyFont="1" applyFill="1" applyBorder="1" applyAlignment="1">
      <alignment horizontal="right"/>
    </xf>
    <xf numFmtId="0" fontId="49" fillId="8" borderId="0" xfId="10" applyFont="1" applyFill="1" applyAlignment="1" applyProtection="1">
      <alignment horizontal="center"/>
      <protection locked="0"/>
    </xf>
    <xf numFmtId="0" fontId="49" fillId="8" borderId="0" xfId="10" applyFont="1" applyFill="1" applyAlignment="1" applyProtection="1">
      <alignment wrapText="1"/>
      <protection locked="0"/>
    </xf>
    <xf numFmtId="0" fontId="49" fillId="5" borderId="0" xfId="10" applyFont="1" applyFill="1" applyAlignment="1">
      <alignment horizontal="center" wrapText="1"/>
    </xf>
    <xf numFmtId="0" fontId="49" fillId="5" borderId="27" xfId="10" applyFont="1" applyFill="1" applyBorder="1" applyAlignment="1">
      <alignment horizontal="center"/>
    </xf>
    <xf numFmtId="0" fontId="49" fillId="5" borderId="3" xfId="10" applyFont="1" applyFill="1" applyBorder="1" applyAlignment="1">
      <alignment horizontal="center"/>
    </xf>
    <xf numFmtId="0" fontId="48" fillId="5" borderId="3" xfId="10" applyFont="1" applyFill="1" applyBorder="1" applyAlignment="1">
      <alignment horizontal="center"/>
    </xf>
    <xf numFmtId="0" fontId="51" fillId="5" borderId="5" xfId="10" applyFont="1" applyFill="1" applyBorder="1" applyAlignment="1">
      <alignment horizontal="center"/>
    </xf>
    <xf numFmtId="0" fontId="51" fillId="5" borderId="6" xfId="10" applyFont="1" applyFill="1" applyBorder="1" applyAlignment="1">
      <alignment horizontal="center"/>
    </xf>
    <xf numFmtId="0" fontId="51" fillId="5" borderId="4" xfId="10" applyFont="1" applyFill="1" applyBorder="1" applyAlignment="1">
      <alignment horizontal="center"/>
    </xf>
    <xf numFmtId="0" fontId="47" fillId="5" borderId="1" xfId="10" applyFont="1" applyFill="1" applyBorder="1" applyAlignment="1">
      <alignment horizontal="center" vertical="center"/>
    </xf>
    <xf numFmtId="0" fontId="47" fillId="5" borderId="0" xfId="10" quotePrefix="1" applyFont="1" applyFill="1" applyAlignment="1">
      <alignment horizontal="center" vertical="center"/>
    </xf>
    <xf numFmtId="0" fontId="47" fillId="5" borderId="2" xfId="10" quotePrefix="1" applyFont="1" applyFill="1" applyBorder="1" applyAlignment="1">
      <alignment horizontal="center" vertical="center"/>
    </xf>
    <xf numFmtId="0" fontId="49" fillId="8" borderId="0" xfId="10" applyFont="1" applyFill="1" applyAlignment="1" applyProtection="1">
      <alignment horizontal="left"/>
      <protection locked="0"/>
    </xf>
    <xf numFmtId="0" fontId="49" fillId="8" borderId="0" xfId="10" applyFont="1" applyFill="1" applyAlignment="1" applyProtection="1">
      <alignment horizontal="left" wrapText="1"/>
      <protection locked="0"/>
    </xf>
    <xf numFmtId="166" fontId="49" fillId="8" borderId="0" xfId="10" applyNumberFormat="1" applyFont="1" applyFill="1" applyAlignment="1" applyProtection="1">
      <alignment horizontal="left"/>
      <protection locked="0"/>
    </xf>
    <xf numFmtId="17" fontId="49" fillId="5" borderId="0" xfId="10" applyNumberFormat="1" applyFont="1" applyFill="1" applyAlignment="1">
      <alignment horizontal="left" vertical="center"/>
    </xf>
    <xf numFmtId="0" fontId="51" fillId="5" borderId="5" xfId="10" quotePrefix="1" applyFont="1" applyFill="1" applyBorder="1" applyAlignment="1">
      <alignment horizontal="center"/>
    </xf>
    <xf numFmtId="49" fontId="49" fillId="5" borderId="27" xfId="10" applyNumberFormat="1" applyFont="1" applyFill="1" applyBorder="1" applyAlignment="1">
      <alignment horizontal="left"/>
    </xf>
    <xf numFmtId="49" fontId="49" fillId="5" borderId="3" xfId="10" applyNumberFormat="1" applyFont="1" applyFill="1" applyBorder="1" applyAlignment="1">
      <alignment horizontal="left"/>
    </xf>
    <xf numFmtId="0" fontId="81" fillId="0" borderId="0" xfId="0" applyFont="1" applyAlignment="1">
      <alignment horizontal="center" wrapText="1"/>
    </xf>
    <xf numFmtId="49" fontId="36" fillId="5" borderId="11" xfId="0" applyNumberFormat="1" applyFont="1" applyFill="1" applyBorder="1" applyAlignment="1">
      <alignment horizontal="left"/>
    </xf>
    <xf numFmtId="0" fontId="6" fillId="4" borderId="0" xfId="0" applyFont="1" applyFill="1" applyAlignment="1">
      <alignment horizontal="center"/>
    </xf>
    <xf numFmtId="0" fontId="6" fillId="4" borderId="16" xfId="0" applyFont="1" applyFill="1" applyBorder="1" applyAlignment="1">
      <alignment horizontal="center"/>
    </xf>
    <xf numFmtId="0" fontId="6" fillId="4" borderId="0" xfId="0" quotePrefix="1" applyFont="1" applyFill="1" applyAlignment="1">
      <alignment horizontal="center"/>
    </xf>
    <xf numFmtId="0" fontId="6" fillId="4" borderId="16" xfId="0" quotePrefix="1" applyFont="1" applyFill="1" applyBorder="1" applyAlignment="1">
      <alignment horizontal="center"/>
    </xf>
    <xf numFmtId="0" fontId="5" fillId="4" borderId="0" xfId="0" applyFont="1" applyFill="1" applyAlignment="1">
      <alignment horizontal="center"/>
    </xf>
    <xf numFmtId="0" fontId="53" fillId="4" borderId="0" xfId="0" applyFont="1" applyFill="1" applyAlignment="1">
      <alignment horizontal="center"/>
    </xf>
    <xf numFmtId="17" fontId="5" fillId="4" borderId="8" xfId="0" applyNumberFormat="1" applyFont="1" applyFill="1" applyBorder="1" applyAlignment="1">
      <alignment horizontal="center"/>
    </xf>
    <xf numFmtId="0" fontId="5" fillId="4" borderId="8" xfId="0" applyFont="1" applyFill="1" applyBorder="1" applyAlignment="1">
      <alignment horizontal="center"/>
    </xf>
    <xf numFmtId="0" fontId="6" fillId="6" borderId="9"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3" fillId="0" borderId="20" xfId="0" quotePrefix="1" applyFont="1" applyBorder="1" applyAlignment="1">
      <alignment horizontal="center" vertical="center"/>
    </xf>
    <xf numFmtId="0" fontId="63" fillId="0" borderId="21" xfId="0" applyFont="1" applyBorder="1" applyAlignment="1">
      <alignment horizontal="center" vertical="center"/>
    </xf>
    <xf numFmtId="0" fontId="63" fillId="0" borderId="22" xfId="0" applyFont="1" applyBorder="1" applyAlignment="1">
      <alignment horizontal="center" vertical="center"/>
    </xf>
    <xf numFmtId="0" fontId="72" fillId="13" borderId="1" xfId="0" applyFont="1" applyFill="1" applyBorder="1" applyAlignment="1">
      <alignment horizontal="center" vertical="center" wrapText="1"/>
    </xf>
    <xf numFmtId="0" fontId="72" fillId="13" borderId="0" xfId="0" applyFont="1" applyFill="1" applyAlignment="1">
      <alignment horizontal="center" vertical="center" wrapText="1"/>
    </xf>
    <xf numFmtId="0" fontId="72" fillId="13" borderId="2" xfId="0" applyFont="1" applyFill="1" applyBorder="1" applyAlignment="1">
      <alignment horizontal="center" vertical="center" wrapText="1"/>
    </xf>
    <xf numFmtId="0" fontId="15" fillId="0" borderId="3" xfId="0" applyFont="1" applyBorder="1" applyAlignment="1">
      <alignment horizontal="left" vertical="center" wrapText="1"/>
    </xf>
    <xf numFmtId="0" fontId="18" fillId="0" borderId="0" xfId="0" quotePrefix="1" applyFont="1" applyAlignment="1">
      <alignment horizontal="center" vertical="center"/>
    </xf>
    <xf numFmtId="0" fontId="18" fillId="0" borderId="0" xfId="0" applyFont="1" applyAlignment="1">
      <alignment horizontal="center" vertical="center"/>
    </xf>
    <xf numFmtId="0" fontId="15" fillId="0" borderId="0" xfId="0" quotePrefix="1"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left" vertical="center"/>
    </xf>
    <xf numFmtId="0" fontId="60" fillId="5" borderId="0" xfId="10" applyFont="1" applyFill="1" applyAlignment="1">
      <alignment horizontal="center"/>
    </xf>
    <xf numFmtId="0" fontId="59" fillId="5" borderId="20" xfId="9" applyFont="1" applyFill="1" applyBorder="1" applyAlignment="1">
      <alignment horizontal="center" vertical="center"/>
    </xf>
    <xf numFmtId="0" fontId="59" fillId="5" borderId="21" xfId="9" applyFont="1" applyFill="1" applyBorder="1" applyAlignment="1">
      <alignment horizontal="center" vertical="center"/>
    </xf>
    <xf numFmtId="0" fontId="59" fillId="5" borderId="22" xfId="9" applyFont="1" applyFill="1" applyBorder="1" applyAlignment="1">
      <alignment horizontal="center" vertical="center"/>
    </xf>
    <xf numFmtId="0" fontId="57" fillId="0" borderId="0" xfId="8" applyFont="1" applyAlignment="1">
      <alignment horizontal="center"/>
    </xf>
    <xf numFmtId="0" fontId="57" fillId="0" borderId="0" xfId="8" applyFont="1" applyAlignment="1">
      <alignment horizontal="center" wrapText="1"/>
    </xf>
    <xf numFmtId="0" fontId="52" fillId="0" borderId="0" xfId="2" applyFont="1" applyAlignment="1">
      <alignment horizontal="center" vertical="center"/>
    </xf>
    <xf numFmtId="0" fontId="29" fillId="0" borderId="23" xfId="2" applyFont="1" applyBorder="1" applyAlignment="1">
      <alignment horizontal="center" vertical="center" wrapText="1"/>
    </xf>
    <xf numFmtId="0" fontId="29" fillId="0" borderId="19" xfId="2" applyFont="1" applyBorder="1" applyAlignment="1">
      <alignment horizontal="center" vertical="center" wrapText="1"/>
    </xf>
    <xf numFmtId="0" fontId="29" fillId="0" borderId="7" xfId="2" applyFont="1" applyBorder="1" applyAlignment="1">
      <alignment horizontal="center" vertical="center" wrapText="1"/>
    </xf>
    <xf numFmtId="0" fontId="23" fillId="0" borderId="3" xfId="2" applyFont="1" applyBorder="1" applyAlignment="1">
      <alignment horizontal="left" vertical="center" wrapText="1"/>
    </xf>
    <xf numFmtId="0" fontId="23" fillId="0" borderId="3" xfId="2" applyFont="1" applyBorder="1" applyAlignment="1">
      <alignment vertical="center" wrapText="1"/>
    </xf>
    <xf numFmtId="0" fontId="25" fillId="0" borderId="3" xfId="2" applyFont="1" applyBorder="1" applyAlignment="1">
      <alignment vertical="center" wrapText="1"/>
    </xf>
    <xf numFmtId="0" fontId="9" fillId="0" borderId="3" xfId="2" applyFont="1" applyBorder="1" applyAlignment="1">
      <alignment horizontal="center" vertical="center" wrapText="1"/>
    </xf>
    <xf numFmtId="0" fontId="26" fillId="0" borderId="3" xfId="2" applyFont="1" applyBorder="1" applyAlignment="1">
      <alignment vertical="center" wrapText="1"/>
    </xf>
    <xf numFmtId="2" fontId="28" fillId="0" borderId="3" xfId="7" applyNumberFormat="1" applyFont="1" applyFill="1" applyBorder="1" applyAlignment="1">
      <alignment horizontal="center" vertical="center" wrapText="1"/>
    </xf>
    <xf numFmtId="0" fontId="0" fillId="0" borderId="3" xfId="2" applyFont="1" applyBorder="1" applyAlignment="1">
      <alignment horizontal="center" vertical="center" wrapText="1"/>
    </xf>
    <xf numFmtId="0" fontId="0" fillId="0" borderId="3" xfId="2" applyFont="1" applyBorder="1" applyAlignment="1">
      <alignment vertical="center" wrapText="1"/>
    </xf>
    <xf numFmtId="166" fontId="4" fillId="7" borderId="25" xfId="1" applyFont="1" applyFill="1" applyBorder="1" applyAlignment="1" applyProtection="1">
      <alignment horizontal="center" vertical="center"/>
      <protection locked="0"/>
    </xf>
    <xf numFmtId="166" fontId="4" fillId="7" borderId="25" xfId="1" applyFont="1" applyFill="1" applyBorder="1" applyAlignment="1" applyProtection="1">
      <alignment horizontal="center" vertical="center" wrapText="1"/>
      <protection locked="0"/>
    </xf>
    <xf numFmtId="166" fontId="4" fillId="7" borderId="23" xfId="1" applyFont="1" applyFill="1" applyBorder="1" applyAlignment="1" applyProtection="1">
      <alignment horizontal="center" vertical="center"/>
      <protection locked="0"/>
    </xf>
    <xf numFmtId="166" fontId="4" fillId="7" borderId="23" xfId="1" applyFont="1" applyFill="1" applyBorder="1" applyAlignment="1" applyProtection="1">
      <alignment horizontal="center" vertical="center" wrapText="1"/>
      <protection locked="0"/>
    </xf>
  </cellXfs>
  <cellStyles count="17">
    <cellStyle name="Comma" xfId="1" builtinId="3"/>
    <cellStyle name="Comma 2" xfId="3" xr:uid="{00000000-0005-0000-0000-000001000000}"/>
    <cellStyle name="Comma 2 2" xfId="13" xr:uid="{00000000-0005-0000-0000-000002000000}"/>
    <cellStyle name="Comma 3" xfId="12" xr:uid="{00000000-0005-0000-0000-000003000000}"/>
    <cellStyle name="Comma 3 2" xfId="16" xr:uid="{00000000-0005-0000-0000-000004000000}"/>
    <cellStyle name="Currency" xfId="5" builtinId="4"/>
    <cellStyle name="Currency 2" xfId="7" xr:uid="{00000000-0005-0000-0000-000006000000}"/>
    <cellStyle name="Currency 2 2" xfId="15" xr:uid="{00000000-0005-0000-0000-000007000000}"/>
    <cellStyle name="Currency 3" xfId="14" xr:uid="{00000000-0005-0000-0000-000008000000}"/>
    <cellStyle name="Normal" xfId="0" builtinId="0"/>
    <cellStyle name="Normal 2" xfId="2" xr:uid="{00000000-0005-0000-0000-00000A000000}"/>
    <cellStyle name="Normal 2 2" xfId="9" xr:uid="{00000000-0005-0000-0000-00000B000000}"/>
    <cellStyle name="Normal 2 3" xfId="6" xr:uid="{00000000-0005-0000-0000-00000C000000}"/>
    <cellStyle name="Normal 3" xfId="10" xr:uid="{00000000-0005-0000-0000-00000D000000}"/>
    <cellStyle name="Normal 3 2" xfId="11" xr:uid="{00000000-0005-0000-0000-00000E000000}"/>
    <cellStyle name="Normal 4" xfId="8" xr:uid="{00000000-0005-0000-0000-00000F000000}"/>
    <cellStyle name="Normal 5" xfId="4" xr:uid="{00000000-0005-0000-0000-000010000000}"/>
  </cellStyles>
  <dxfs count="0"/>
  <tableStyles count="0" defaultTableStyle="TableStyleMedium9" defaultPivotStyle="PivotStyleLight16"/>
  <colors>
    <mruColors>
      <color rgb="FF360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view="pageBreakPreview" zoomScale="63" zoomScaleNormal="63" zoomScaleSheetLayoutView="63" workbookViewId="0">
      <selection activeCell="H5" sqref="H5:K6"/>
    </sheetView>
  </sheetViews>
  <sheetFormatPr defaultColWidth="9.42578125" defaultRowHeight="15" x14ac:dyDescent="0.25"/>
  <cols>
    <col min="1" max="1" width="3.42578125" customWidth="1"/>
    <col min="2" max="2" width="10.5703125" customWidth="1"/>
    <col min="3" max="3" width="51.42578125" customWidth="1"/>
    <col min="4" max="4" width="23.42578125" style="223" customWidth="1"/>
    <col min="5" max="5" width="5.5703125" customWidth="1"/>
    <col min="6" max="6" width="6" customWidth="1"/>
    <col min="7" max="7" width="8.5703125" customWidth="1"/>
    <col min="8" max="8" width="16" style="4" bestFit="1" customWidth="1"/>
    <col min="9" max="9" width="15.5703125" style="4" customWidth="1"/>
    <col min="10" max="10" width="16.5703125" style="4" customWidth="1"/>
    <col min="11" max="11" width="19.5703125" style="4" customWidth="1"/>
    <col min="12" max="12" width="14.140625" style="4" customWidth="1"/>
    <col min="13" max="13" width="14.42578125" style="4" customWidth="1"/>
    <col min="14" max="14" width="15.42578125" style="4" customWidth="1"/>
    <col min="15" max="15" width="17.5703125" style="4" customWidth="1"/>
    <col min="16" max="16" width="23.42578125" style="4" bestFit="1" customWidth="1"/>
    <col min="17" max="17" width="15.5703125" style="4" customWidth="1"/>
    <col min="18" max="18" width="21.42578125" style="4" customWidth="1"/>
    <col min="19" max="19" width="12.42578125" style="4" customWidth="1"/>
    <col min="20" max="20" width="16.42578125" style="4" customWidth="1"/>
    <col min="21" max="21" width="18.85546875" style="4" customWidth="1"/>
    <col min="22" max="23" width="17.5703125" style="4" customWidth="1"/>
    <col min="24" max="24" width="20.42578125" bestFit="1" customWidth="1"/>
    <col min="25" max="25" width="21.42578125" customWidth="1"/>
    <col min="26" max="26" width="16.140625" customWidth="1"/>
  </cols>
  <sheetData>
    <row r="1" spans="2:26" ht="29.25" customHeight="1" thickBot="1" x14ac:dyDescent="0.55000000000000004">
      <c r="B1" s="327"/>
      <c r="C1" s="363"/>
      <c r="D1" s="362" t="s">
        <v>209</v>
      </c>
      <c r="E1" s="1"/>
      <c r="F1" s="1"/>
      <c r="G1" s="1"/>
      <c r="H1" s="2"/>
      <c r="I1" s="2"/>
      <c r="J1" s="2"/>
      <c r="K1" s="2"/>
      <c r="L1" s="2"/>
      <c r="M1" s="2"/>
      <c r="N1" s="2"/>
      <c r="O1" s="2"/>
      <c r="P1" s="2"/>
      <c r="Q1" s="2"/>
      <c r="R1" s="2"/>
      <c r="S1" s="2"/>
      <c r="T1" s="2"/>
      <c r="U1" s="2"/>
      <c r="V1" s="2"/>
      <c r="W1" s="2"/>
    </row>
    <row r="2" spans="2:26" ht="16.5" customHeight="1" x14ac:dyDescent="0.35">
      <c r="B2" s="528" t="s">
        <v>208</v>
      </c>
      <c r="C2" s="529"/>
      <c r="D2" s="529"/>
      <c r="E2" s="529"/>
      <c r="F2" s="529"/>
      <c r="G2" s="529"/>
      <c r="H2" s="529"/>
      <c r="I2" s="529"/>
      <c r="J2" s="529"/>
      <c r="K2" s="529"/>
      <c r="L2" s="529"/>
      <c r="M2" s="529"/>
      <c r="N2" s="529"/>
      <c r="O2" s="529"/>
      <c r="P2" s="529"/>
      <c r="Q2" s="515"/>
      <c r="R2" s="516"/>
      <c r="S2" s="516"/>
      <c r="T2" s="516"/>
      <c r="U2" s="516"/>
      <c r="V2" s="516"/>
      <c r="W2" s="516"/>
      <c r="X2" s="510"/>
    </row>
    <row r="3" spans="2:26" ht="21.75" customHeight="1" x14ac:dyDescent="0.35">
      <c r="B3" s="532" t="s">
        <v>124</v>
      </c>
      <c r="C3" s="533"/>
      <c r="D3" s="533"/>
      <c r="E3" s="533"/>
      <c r="F3" s="533"/>
      <c r="G3" s="533"/>
      <c r="H3" s="533"/>
      <c r="I3" s="533"/>
      <c r="J3" s="534">
        <v>46023</v>
      </c>
      <c r="K3" s="534"/>
      <c r="L3" s="534"/>
      <c r="M3" s="534"/>
      <c r="N3" s="534"/>
      <c r="O3" s="534"/>
      <c r="P3" s="534"/>
      <c r="Q3" s="530"/>
      <c r="R3" s="531"/>
      <c r="S3" s="531"/>
      <c r="T3" s="531"/>
      <c r="U3" s="531"/>
      <c r="V3" s="531"/>
      <c r="W3" s="531"/>
      <c r="X3" s="511"/>
    </row>
    <row r="4" spans="2:26" ht="23.25" customHeight="1" thickBot="1" x14ac:dyDescent="0.3">
      <c r="B4" s="517" t="s">
        <v>0</v>
      </c>
      <c r="C4" s="518"/>
      <c r="D4" s="518"/>
      <c r="E4" s="518"/>
      <c r="F4" s="518"/>
      <c r="G4" s="518"/>
      <c r="H4" s="518"/>
      <c r="I4" s="518"/>
      <c r="J4" s="518"/>
      <c r="K4" s="518"/>
      <c r="L4" s="518"/>
      <c r="M4" s="518"/>
      <c r="N4" s="518"/>
      <c r="O4" s="518"/>
      <c r="P4" s="518"/>
      <c r="Q4" s="519" t="s">
        <v>77</v>
      </c>
      <c r="R4" s="520"/>
      <c r="S4" s="520"/>
      <c r="T4" s="520"/>
      <c r="U4" s="520"/>
      <c r="V4" s="520"/>
      <c r="W4" s="520"/>
      <c r="X4" s="512"/>
    </row>
    <row r="5" spans="2:26" x14ac:dyDescent="0.25">
      <c r="B5" s="521" t="s">
        <v>1</v>
      </c>
      <c r="C5" s="523" t="s">
        <v>2</v>
      </c>
      <c r="D5" s="525" t="s">
        <v>3</v>
      </c>
      <c r="E5" s="523" t="s">
        <v>4</v>
      </c>
      <c r="F5" s="523" t="s">
        <v>5</v>
      </c>
      <c r="G5" s="523" t="s">
        <v>6</v>
      </c>
      <c r="H5" s="703" t="s">
        <v>7</v>
      </c>
      <c r="I5" s="704" t="s">
        <v>8</v>
      </c>
      <c r="J5" s="704" t="s">
        <v>9</v>
      </c>
      <c r="K5" s="704" t="s">
        <v>10</v>
      </c>
      <c r="L5" s="513" t="s">
        <v>132</v>
      </c>
      <c r="M5" s="548" t="s">
        <v>152</v>
      </c>
      <c r="N5" s="546" t="s">
        <v>153</v>
      </c>
      <c r="O5" s="540" t="s">
        <v>170</v>
      </c>
      <c r="P5" s="535" t="s">
        <v>11</v>
      </c>
      <c r="Q5" s="555" t="s">
        <v>12</v>
      </c>
      <c r="R5" s="513" t="s">
        <v>13</v>
      </c>
      <c r="S5" s="513" t="s">
        <v>14</v>
      </c>
      <c r="T5" s="542" t="s">
        <v>159</v>
      </c>
      <c r="U5" s="513" t="s">
        <v>15</v>
      </c>
      <c r="V5" s="513" t="s">
        <v>175</v>
      </c>
      <c r="W5" s="535" t="s">
        <v>16</v>
      </c>
      <c r="X5" s="553" t="s">
        <v>34</v>
      </c>
    </row>
    <row r="6" spans="2:26" ht="36" customHeight="1" thickBot="1" x14ac:dyDescent="0.3">
      <c r="B6" s="522"/>
      <c r="C6" s="524"/>
      <c r="D6" s="526"/>
      <c r="E6" s="524"/>
      <c r="F6" s="524"/>
      <c r="G6" s="524"/>
      <c r="H6" s="705"/>
      <c r="I6" s="706"/>
      <c r="J6" s="706"/>
      <c r="K6" s="706"/>
      <c r="L6" s="514"/>
      <c r="M6" s="549"/>
      <c r="N6" s="547"/>
      <c r="O6" s="541"/>
      <c r="P6" s="536"/>
      <c r="Q6" s="556"/>
      <c r="R6" s="514"/>
      <c r="S6" s="514"/>
      <c r="T6" s="543"/>
      <c r="U6" s="527"/>
      <c r="V6" s="514"/>
      <c r="W6" s="536"/>
      <c r="X6" s="554"/>
    </row>
    <row r="7" spans="2:26" s="158" customFormat="1" ht="38.1" customHeight="1" x14ac:dyDescent="0.25">
      <c r="B7" s="263">
        <v>1</v>
      </c>
      <c r="C7" s="401"/>
      <c r="D7" s="402" t="s">
        <v>45</v>
      </c>
      <c r="E7" s="264">
        <v>28</v>
      </c>
      <c r="F7" s="304">
        <v>31</v>
      </c>
      <c r="G7" s="269">
        <f>IF(E7=1,IF(F7&gt;=29,(F7-E7)+1),(F7-E7)+1)</f>
        <v>4</v>
      </c>
      <c r="H7" s="266">
        <f>2267*G7/30</f>
        <v>302.26666666666665</v>
      </c>
      <c r="I7" s="266">
        <f>1417*G7/30</f>
        <v>188.93333333333334</v>
      </c>
      <c r="J7" s="266">
        <f>188.94*G7/30</f>
        <v>25.192</v>
      </c>
      <c r="K7" s="266">
        <f>10127.06*G7/30</f>
        <v>1350.2746666666667</v>
      </c>
      <c r="L7" s="367">
        <f>2267/30*1</f>
        <v>75.566666666666663</v>
      </c>
      <c r="M7" s="368">
        <v>0</v>
      </c>
      <c r="N7" s="368">
        <v>75.239999999999995</v>
      </c>
      <c r="O7" s="368">
        <v>0</v>
      </c>
      <c r="P7" s="369">
        <f>SUM(H7:O7)</f>
        <v>2017.4733333333331</v>
      </c>
      <c r="Q7" s="370">
        <v>0</v>
      </c>
      <c r="R7" s="411">
        <v>7000</v>
      </c>
      <c r="S7" s="286">
        <v>0</v>
      </c>
      <c r="T7" s="286"/>
      <c r="U7" s="288">
        <f>SUM(Q7:T7)</f>
        <v>7000</v>
      </c>
      <c r="V7" s="285">
        <v>0</v>
      </c>
      <c r="W7" s="288">
        <f t="shared" ref="W7:W16" si="0">P7+V7-U7</f>
        <v>-4982.5266666666666</v>
      </c>
      <c r="X7" s="303"/>
      <c r="Y7" s="248"/>
      <c r="Z7" s="248"/>
    </row>
    <row r="8" spans="2:26" s="158" customFormat="1" ht="38.1" customHeight="1" x14ac:dyDescent="0.25">
      <c r="B8" s="399">
        <v>2</v>
      </c>
      <c r="C8" s="403"/>
      <c r="D8" s="404" t="s">
        <v>126</v>
      </c>
      <c r="E8" s="268">
        <v>1</v>
      </c>
      <c r="F8" s="268">
        <v>31</v>
      </c>
      <c r="G8" s="269">
        <f>IF(E8=1,IF(F8&gt;=29,30,(F8-E8)+1),(F8-E8)+1)</f>
        <v>30</v>
      </c>
      <c r="H8" s="270">
        <f>1464*G8/30</f>
        <v>1464</v>
      </c>
      <c r="I8" s="270">
        <f>915*G8/30</f>
        <v>915</v>
      </c>
      <c r="J8" s="270">
        <f>192.35*G8/30</f>
        <v>192.35</v>
      </c>
      <c r="K8" s="270">
        <f>8428.65*G8/30</f>
        <v>8428.65</v>
      </c>
      <c r="L8" s="337">
        <v>0</v>
      </c>
      <c r="M8" s="338">
        <v>0</v>
      </c>
      <c r="N8" s="338">
        <v>0</v>
      </c>
      <c r="O8" s="338">
        <v>0</v>
      </c>
      <c r="P8" s="291">
        <f t="shared" ref="P8:P17" si="1">SUM(H8:O8)</f>
        <v>11000</v>
      </c>
      <c r="Q8" s="292">
        <v>0</v>
      </c>
      <c r="R8" s="293">
        <f t="shared" ref="R8:R17" si="2">P8+V8-(Q8+S8+T8)</f>
        <v>11000</v>
      </c>
      <c r="S8" s="294">
        <v>0</v>
      </c>
      <c r="T8" s="292">
        <v>0</v>
      </c>
      <c r="U8" s="295">
        <f t="shared" ref="U8:U29" si="3">SUM(Q8:T8)</f>
        <v>11000</v>
      </c>
      <c r="V8" s="290">
        <v>0</v>
      </c>
      <c r="W8" s="409">
        <f t="shared" si="0"/>
        <v>0</v>
      </c>
      <c r="X8" s="296"/>
      <c r="Y8" s="248"/>
      <c r="Z8" s="248"/>
    </row>
    <row r="9" spans="2:26" s="158" customFormat="1" ht="38.1" customHeight="1" x14ac:dyDescent="0.25">
      <c r="B9" s="399">
        <v>3</v>
      </c>
      <c r="C9" s="403"/>
      <c r="D9" s="271" t="s">
        <v>183</v>
      </c>
      <c r="E9" s="268">
        <v>1</v>
      </c>
      <c r="F9" s="268">
        <v>31</v>
      </c>
      <c r="G9" s="269">
        <f t="shared" ref="G9:G10" si="4">IF(E9=1,IF(F9&gt;=29,30,(F9-E9)+1),(F9-E9)+1)</f>
        <v>30</v>
      </c>
      <c r="H9" s="270">
        <f>1464*G9/30</f>
        <v>1464</v>
      </c>
      <c r="I9" s="270">
        <f>915*G9/30</f>
        <v>915</v>
      </c>
      <c r="J9" s="270">
        <f>121.98*G9/30</f>
        <v>121.98</v>
      </c>
      <c r="K9" s="270">
        <f>2549.02*G9/30</f>
        <v>2549.02</v>
      </c>
      <c r="L9" s="337">
        <v>0</v>
      </c>
      <c r="M9" s="338">
        <v>0</v>
      </c>
      <c r="N9" s="338">
        <v>0</v>
      </c>
      <c r="O9" s="338">
        <v>0</v>
      </c>
      <c r="P9" s="291">
        <f>SUM(H9:O9)</f>
        <v>5050</v>
      </c>
      <c r="Q9" s="292">
        <v>0</v>
      </c>
      <c r="R9" s="293">
        <f t="shared" si="2"/>
        <v>5050</v>
      </c>
      <c r="S9" s="294">
        <v>0</v>
      </c>
      <c r="T9" s="292">
        <v>0</v>
      </c>
      <c r="U9" s="295">
        <f t="shared" si="3"/>
        <v>5050</v>
      </c>
      <c r="V9" s="290">
        <v>0</v>
      </c>
      <c r="W9" s="409">
        <f t="shared" si="0"/>
        <v>0</v>
      </c>
      <c r="X9" s="296"/>
      <c r="Y9" s="248"/>
      <c r="Z9" s="248"/>
    </row>
    <row r="10" spans="2:26" s="158" customFormat="1" ht="38.1" customHeight="1" x14ac:dyDescent="0.25">
      <c r="B10" s="399">
        <v>4</v>
      </c>
      <c r="C10" s="403"/>
      <c r="D10" s="270" t="s">
        <v>184</v>
      </c>
      <c r="E10" s="268">
        <v>1</v>
      </c>
      <c r="F10" s="268">
        <v>31</v>
      </c>
      <c r="G10" s="269">
        <f t="shared" si="4"/>
        <v>30</v>
      </c>
      <c r="H10" s="270">
        <f>1172*G10/30</f>
        <v>1172</v>
      </c>
      <c r="I10" s="270">
        <f>733*G10/30</f>
        <v>733</v>
      </c>
      <c r="J10" s="270">
        <f>97.7*G10/30</f>
        <v>97.7</v>
      </c>
      <c r="K10" s="270">
        <f>2197.3*G10/30</f>
        <v>2197.3000000000002</v>
      </c>
      <c r="L10" s="337">
        <v>0</v>
      </c>
      <c r="M10" s="338">
        <v>0</v>
      </c>
      <c r="N10" s="338">
        <v>0</v>
      </c>
      <c r="O10" s="338">
        <v>0</v>
      </c>
      <c r="P10" s="291">
        <f t="shared" si="1"/>
        <v>4200</v>
      </c>
      <c r="Q10" s="292">
        <v>0</v>
      </c>
      <c r="R10" s="293">
        <f t="shared" si="2"/>
        <v>4193.08</v>
      </c>
      <c r="S10" s="294">
        <v>6.92</v>
      </c>
      <c r="T10" s="292">
        <v>0</v>
      </c>
      <c r="U10" s="295">
        <f t="shared" ref="U10:U12" si="5">SUM(Q10:T10)</f>
        <v>4200</v>
      </c>
      <c r="V10" s="290">
        <v>0</v>
      </c>
      <c r="W10" s="409">
        <f t="shared" si="0"/>
        <v>0</v>
      </c>
      <c r="X10" s="488"/>
      <c r="Y10" s="248"/>
      <c r="Z10" s="248"/>
    </row>
    <row r="11" spans="2:26" s="158" customFormat="1" ht="38.1" customHeight="1" x14ac:dyDescent="0.25">
      <c r="B11" s="399">
        <v>5</v>
      </c>
      <c r="C11" s="405"/>
      <c r="D11" s="270" t="s">
        <v>139</v>
      </c>
      <c r="E11" s="268">
        <v>28</v>
      </c>
      <c r="F11" s="268">
        <v>31</v>
      </c>
      <c r="G11" s="269">
        <f>IF(E11=1,IF(F11&gt;=29,(F11-E11)+1),(F11-E11)+1)</f>
        <v>4</v>
      </c>
      <c r="H11" s="270">
        <f>199/30*G11</f>
        <v>26.533333333333335</v>
      </c>
      <c r="I11" s="270">
        <f>125/30*G11</f>
        <v>16.666666666666668</v>
      </c>
      <c r="J11" s="270">
        <f>26/30*G11</f>
        <v>3.4666666666666668</v>
      </c>
      <c r="K11" s="270">
        <v>0</v>
      </c>
      <c r="L11" s="337">
        <f>199/30*1</f>
        <v>6.6333333333333337</v>
      </c>
      <c r="M11" s="338">
        <v>0</v>
      </c>
      <c r="N11" s="338">
        <v>32.729999999999997</v>
      </c>
      <c r="O11" s="338">
        <v>0</v>
      </c>
      <c r="P11" s="291">
        <f t="shared" si="1"/>
        <v>86.03</v>
      </c>
      <c r="Q11" s="292">
        <v>0</v>
      </c>
      <c r="R11" s="293">
        <f t="shared" si="2"/>
        <v>86.03</v>
      </c>
      <c r="S11" s="294">
        <v>0</v>
      </c>
      <c r="T11" s="292">
        <v>0</v>
      </c>
      <c r="U11" s="295">
        <f t="shared" si="5"/>
        <v>86.03</v>
      </c>
      <c r="V11" s="270">
        <v>0</v>
      </c>
      <c r="W11" s="409">
        <f t="shared" si="0"/>
        <v>0</v>
      </c>
      <c r="X11" s="296"/>
      <c r="Y11" s="248"/>
      <c r="Z11" s="248"/>
    </row>
    <row r="12" spans="2:26" s="158" customFormat="1" ht="38.1" customHeight="1" x14ac:dyDescent="0.25">
      <c r="B12" s="399">
        <v>6</v>
      </c>
      <c r="C12" s="405"/>
      <c r="D12" s="270" t="s">
        <v>133</v>
      </c>
      <c r="E12" s="268">
        <v>28</v>
      </c>
      <c r="F12" s="268">
        <v>31</v>
      </c>
      <c r="G12" s="269">
        <f>IF(E12=1,IF(F12&gt;=29,(F12-E12)+1),(F12-E12)+1)</f>
        <v>4</v>
      </c>
      <c r="H12" s="270">
        <f>2061*G12/30</f>
        <v>274.8</v>
      </c>
      <c r="I12" s="270">
        <f>1288*G12/30</f>
        <v>171.73333333333332</v>
      </c>
      <c r="J12" s="270">
        <f>297.01*G12/30</f>
        <v>39.601333333333329</v>
      </c>
      <c r="K12" s="270">
        <f>11553.99*G12/30</f>
        <v>1540.5319999999999</v>
      </c>
      <c r="L12" s="337">
        <f>2061/30*1</f>
        <v>68.7</v>
      </c>
      <c r="M12" s="338">
        <v>0</v>
      </c>
      <c r="N12" s="338">
        <v>67.650000000000006</v>
      </c>
      <c r="O12" s="338">
        <v>0</v>
      </c>
      <c r="P12" s="291">
        <f>SUM(H12:O12)</f>
        <v>2163.0166666666664</v>
      </c>
      <c r="Q12" s="292">
        <v>0</v>
      </c>
      <c r="R12" s="293">
        <f t="shared" si="2"/>
        <v>2163.0166666666664</v>
      </c>
      <c r="S12" s="294">
        <v>0</v>
      </c>
      <c r="T12" s="292">
        <v>0</v>
      </c>
      <c r="U12" s="295">
        <f t="shared" si="5"/>
        <v>2163.0166666666664</v>
      </c>
      <c r="V12" s="270">
        <v>0</v>
      </c>
      <c r="W12" s="409">
        <f t="shared" si="0"/>
        <v>0</v>
      </c>
      <c r="X12" s="296"/>
      <c r="Y12" s="248"/>
      <c r="Z12" s="248"/>
    </row>
    <row r="13" spans="2:26" s="158" customFormat="1" ht="38.1" customHeight="1" x14ac:dyDescent="0.25">
      <c r="B13" s="399">
        <v>7</v>
      </c>
      <c r="C13" s="405"/>
      <c r="D13" s="270" t="s">
        <v>127</v>
      </c>
      <c r="E13" s="268">
        <v>1</v>
      </c>
      <c r="F13" s="268">
        <v>31</v>
      </c>
      <c r="G13" s="269">
        <f t="shared" ref="G13:G17" si="6">IF(E13=1,IF(F13&gt;=29,30,(F13-E13)+1),(F13-E13)+1)</f>
        <v>30</v>
      </c>
      <c r="H13" s="270">
        <f>1464*G13/30</f>
        <v>1464</v>
      </c>
      <c r="I13" s="270">
        <f>915*G13/30</f>
        <v>915</v>
      </c>
      <c r="J13" s="270">
        <f>192.35*G13/30</f>
        <v>192.35</v>
      </c>
      <c r="K13" s="270">
        <f>9928.65*G13/30</f>
        <v>9928.65</v>
      </c>
      <c r="L13" s="337">
        <v>0</v>
      </c>
      <c r="M13" s="338">
        <v>0</v>
      </c>
      <c r="N13" s="338">
        <v>0</v>
      </c>
      <c r="O13" s="338">
        <v>0</v>
      </c>
      <c r="P13" s="291">
        <f t="shared" si="1"/>
        <v>12500</v>
      </c>
      <c r="Q13" s="292">
        <v>0</v>
      </c>
      <c r="R13" s="293">
        <f t="shared" si="2"/>
        <v>12500</v>
      </c>
      <c r="S13" s="294">
        <v>0</v>
      </c>
      <c r="T13" s="292">
        <v>0</v>
      </c>
      <c r="U13" s="295">
        <f t="shared" si="3"/>
        <v>12500</v>
      </c>
      <c r="V13" s="270">
        <v>0</v>
      </c>
      <c r="W13" s="409">
        <f t="shared" si="0"/>
        <v>0</v>
      </c>
      <c r="X13" s="296"/>
      <c r="Y13" s="248"/>
      <c r="Z13" s="248"/>
    </row>
    <row r="14" spans="2:26" s="335" customFormat="1" ht="38.1" customHeight="1" x14ac:dyDescent="0.25">
      <c r="B14" s="399">
        <v>8</v>
      </c>
      <c r="C14" s="509"/>
      <c r="D14" s="270" t="s">
        <v>134</v>
      </c>
      <c r="E14" s="268">
        <v>29</v>
      </c>
      <c r="F14" s="268">
        <v>31</v>
      </c>
      <c r="G14" s="269">
        <f>IF(E14=1,IF(F14&gt;=29,(F14-E14)+1),(F14-E14)+1)</f>
        <v>3</v>
      </c>
      <c r="H14" s="329">
        <f>1172*G14/30</f>
        <v>117.2</v>
      </c>
      <c r="I14" s="329">
        <f>733*G14/30</f>
        <v>73.3</v>
      </c>
      <c r="J14" s="329">
        <f>97.7*G14/30</f>
        <v>9.7700000000000014</v>
      </c>
      <c r="K14" s="329">
        <f>997.3*G14/30</f>
        <v>99.72999999999999</v>
      </c>
      <c r="L14" s="337">
        <v>0</v>
      </c>
      <c r="M14" s="338">
        <v>0</v>
      </c>
      <c r="N14" s="338">
        <v>0</v>
      </c>
      <c r="O14" s="338">
        <v>0</v>
      </c>
      <c r="P14" s="291">
        <f t="shared" si="1"/>
        <v>300</v>
      </c>
      <c r="Q14" s="292">
        <v>0</v>
      </c>
      <c r="R14" s="293">
        <f t="shared" si="2"/>
        <v>300</v>
      </c>
      <c r="S14" s="294">
        <v>0</v>
      </c>
      <c r="T14" s="331">
        <v>0</v>
      </c>
      <c r="U14" s="295">
        <f t="shared" si="3"/>
        <v>300</v>
      </c>
      <c r="V14" s="329">
        <v>0</v>
      </c>
      <c r="W14" s="409">
        <f t="shared" si="0"/>
        <v>0</v>
      </c>
      <c r="X14" s="333"/>
      <c r="Y14" s="334"/>
      <c r="Z14" s="334"/>
    </row>
    <row r="15" spans="2:26" s="335" customFormat="1" ht="38.1" customHeight="1" x14ac:dyDescent="0.25">
      <c r="B15" s="399">
        <v>9</v>
      </c>
      <c r="C15" s="403"/>
      <c r="D15" s="404" t="s">
        <v>128</v>
      </c>
      <c r="E15" s="268">
        <v>28</v>
      </c>
      <c r="F15" s="268">
        <v>31</v>
      </c>
      <c r="G15" s="269">
        <f t="shared" si="6"/>
        <v>4</v>
      </c>
      <c r="H15" s="329">
        <f>854*G15/30</f>
        <v>113.86666666666666</v>
      </c>
      <c r="I15" s="329">
        <f>534*G15/30</f>
        <v>71.2</v>
      </c>
      <c r="J15" s="329">
        <f>71.17*G15/30</f>
        <v>9.4893333333333327</v>
      </c>
      <c r="K15" s="329">
        <f>1140.83*G15/30</f>
        <v>152.11066666666665</v>
      </c>
      <c r="L15" s="337">
        <f>854/30*1</f>
        <v>28.466666666666665</v>
      </c>
      <c r="M15" s="339">
        <v>0</v>
      </c>
      <c r="N15" s="338">
        <v>0</v>
      </c>
      <c r="O15" s="338">
        <v>0</v>
      </c>
      <c r="P15" s="291">
        <f t="shared" si="1"/>
        <v>375.13333333333327</v>
      </c>
      <c r="Q15" s="292">
        <v>0</v>
      </c>
      <c r="R15" s="293">
        <f t="shared" si="2"/>
        <v>375.13333333333327</v>
      </c>
      <c r="S15" s="294">
        <v>0</v>
      </c>
      <c r="T15" s="331">
        <v>0</v>
      </c>
      <c r="U15" s="295">
        <f t="shared" si="3"/>
        <v>375.13333333333327</v>
      </c>
      <c r="V15" s="329">
        <v>0</v>
      </c>
      <c r="W15" s="409">
        <f t="shared" si="0"/>
        <v>0</v>
      </c>
      <c r="X15" s="333"/>
      <c r="Y15" s="334"/>
      <c r="Z15" s="334"/>
    </row>
    <row r="16" spans="2:26" s="158" customFormat="1" ht="38.1" customHeight="1" x14ac:dyDescent="0.25">
      <c r="B16" s="399">
        <v>10</v>
      </c>
      <c r="C16" s="403"/>
      <c r="D16" s="272" t="s">
        <v>144</v>
      </c>
      <c r="E16" s="268">
        <v>1</v>
      </c>
      <c r="F16" s="268">
        <v>31</v>
      </c>
      <c r="G16" s="269">
        <f t="shared" si="6"/>
        <v>30</v>
      </c>
      <c r="H16" s="270">
        <f>199/30*G16</f>
        <v>199</v>
      </c>
      <c r="I16" s="270">
        <f>125/30*G16</f>
        <v>125.00000000000001</v>
      </c>
      <c r="J16" s="270">
        <f>26/30*G16</f>
        <v>26</v>
      </c>
      <c r="K16" s="270">
        <v>0</v>
      </c>
      <c r="L16" s="337">
        <v>0</v>
      </c>
      <c r="M16" s="338">
        <v>0</v>
      </c>
      <c r="N16" s="338">
        <v>0</v>
      </c>
      <c r="O16" s="338">
        <v>0</v>
      </c>
      <c r="P16" s="291">
        <f t="shared" si="1"/>
        <v>350</v>
      </c>
      <c r="Q16" s="292">
        <v>0</v>
      </c>
      <c r="R16" s="293">
        <f t="shared" si="2"/>
        <v>350</v>
      </c>
      <c r="S16" s="294">
        <v>0</v>
      </c>
      <c r="T16" s="292">
        <v>0</v>
      </c>
      <c r="U16" s="295">
        <f t="shared" si="3"/>
        <v>350</v>
      </c>
      <c r="V16" s="270">
        <v>0</v>
      </c>
      <c r="W16" s="409">
        <f t="shared" si="0"/>
        <v>0</v>
      </c>
      <c r="X16" s="296"/>
      <c r="Y16" s="248"/>
      <c r="Z16" s="248"/>
    </row>
    <row r="17" spans="2:26" s="158" customFormat="1" ht="44.25" customHeight="1" thickBot="1" x14ac:dyDescent="0.3">
      <c r="B17" s="484">
        <v>11</v>
      </c>
      <c r="C17" s="485"/>
      <c r="D17" s="486" t="s">
        <v>145</v>
      </c>
      <c r="E17" s="268">
        <v>1</v>
      </c>
      <c r="F17" s="268">
        <v>31</v>
      </c>
      <c r="G17" s="269">
        <f t="shared" si="6"/>
        <v>30</v>
      </c>
      <c r="H17" s="318">
        <f>1172*G17/30</f>
        <v>1172</v>
      </c>
      <c r="I17" s="318">
        <f>733*G17/30</f>
        <v>733</v>
      </c>
      <c r="J17" s="318">
        <f>97.7*G17/30</f>
        <v>97.7</v>
      </c>
      <c r="K17" s="318">
        <f>4997.3*G17/30</f>
        <v>4997.3</v>
      </c>
      <c r="L17" s="400"/>
      <c r="M17" s="371">
        <v>0</v>
      </c>
      <c r="N17" s="371">
        <v>0</v>
      </c>
      <c r="O17" s="338">
        <v>0</v>
      </c>
      <c r="P17" s="372">
        <f t="shared" si="1"/>
        <v>7000</v>
      </c>
      <c r="Q17" s="373">
        <v>500</v>
      </c>
      <c r="R17" s="412">
        <f t="shared" si="2"/>
        <v>6472.32</v>
      </c>
      <c r="S17" s="374">
        <v>27.68</v>
      </c>
      <c r="T17" s="373">
        <v>0</v>
      </c>
      <c r="U17" s="319">
        <f t="shared" si="3"/>
        <v>7000</v>
      </c>
      <c r="V17" s="318">
        <v>0</v>
      </c>
      <c r="W17" s="319">
        <f>P17+V17-U17</f>
        <v>0</v>
      </c>
      <c r="X17" s="487"/>
      <c r="Y17" s="248"/>
      <c r="Z17" s="248"/>
    </row>
    <row r="18" spans="2:26" s="158" customFormat="1" ht="30" customHeight="1" thickBot="1" x14ac:dyDescent="0.3">
      <c r="B18" s="423"/>
      <c r="C18" s="281" t="s">
        <v>17</v>
      </c>
      <c r="D18" s="424"/>
      <c r="E18" s="425"/>
      <c r="F18" s="425"/>
      <c r="G18" s="426"/>
      <c r="H18" s="308">
        <f t="shared" ref="H18:W18" si="7">SUM(H7:H17)</f>
        <v>7769.666666666667</v>
      </c>
      <c r="I18" s="308">
        <f t="shared" si="7"/>
        <v>4857.833333333333</v>
      </c>
      <c r="J18" s="308">
        <f t="shared" si="7"/>
        <v>815.59933333333333</v>
      </c>
      <c r="K18" s="308">
        <f t="shared" si="7"/>
        <v>31243.567333333332</v>
      </c>
      <c r="L18" s="308">
        <f t="shared" si="7"/>
        <v>179.36666666666667</v>
      </c>
      <c r="M18" s="308">
        <f t="shared" si="7"/>
        <v>0</v>
      </c>
      <c r="N18" s="308">
        <f t="shared" si="7"/>
        <v>175.62</v>
      </c>
      <c r="O18" s="427">
        <f t="shared" si="7"/>
        <v>0</v>
      </c>
      <c r="P18" s="428">
        <f>SUM(P7:P17)</f>
        <v>45041.653333333335</v>
      </c>
      <c r="Q18" s="308">
        <f t="shared" si="7"/>
        <v>500</v>
      </c>
      <c r="R18" s="429">
        <f>SUM(R7:R17)</f>
        <v>49489.579999999994</v>
      </c>
      <c r="S18" s="430">
        <f t="shared" si="7"/>
        <v>34.6</v>
      </c>
      <c r="T18" s="308">
        <f t="shared" si="7"/>
        <v>0</v>
      </c>
      <c r="U18" s="308">
        <f t="shared" si="7"/>
        <v>50024.179999999993</v>
      </c>
      <c r="V18" s="308">
        <f t="shared" si="7"/>
        <v>0</v>
      </c>
      <c r="W18" s="308">
        <f t="shared" si="7"/>
        <v>-4982.5266666666666</v>
      </c>
      <c r="X18" s="431"/>
      <c r="Y18" s="248"/>
    </row>
    <row r="19" spans="2:26" s="158" customFormat="1" ht="38.1" customHeight="1" x14ac:dyDescent="0.25">
      <c r="B19" s="263">
        <v>12</v>
      </c>
      <c r="C19" s="397"/>
      <c r="D19" s="273" t="s">
        <v>140</v>
      </c>
      <c r="E19" s="268">
        <v>1</v>
      </c>
      <c r="F19" s="268">
        <v>31</v>
      </c>
      <c r="G19" s="265">
        <f>IF(E19=1,IF(F19&gt;=29,30,(F19-E19)+1),(F19-E19)+1)</f>
        <v>30</v>
      </c>
      <c r="H19" s="266">
        <f>752*G19/30</f>
        <v>752</v>
      </c>
      <c r="I19" s="266">
        <f>470*G19/30</f>
        <v>470</v>
      </c>
      <c r="J19" s="266">
        <f>62.65*G19/30</f>
        <v>62.65</v>
      </c>
      <c r="K19" s="266">
        <f>1515.35*G19/30</f>
        <v>1515.35</v>
      </c>
      <c r="L19" s="266">
        <v>0</v>
      </c>
      <c r="M19" s="285">
        <v>0</v>
      </c>
      <c r="N19" s="285">
        <v>0</v>
      </c>
      <c r="O19" s="285">
        <v>0</v>
      </c>
      <c r="P19" s="369">
        <f>SUM(H19:O19)</f>
        <v>2800</v>
      </c>
      <c r="Q19" s="286">
        <v>0</v>
      </c>
      <c r="R19" s="422">
        <f>P19+V19-(Q19+S19+T19)</f>
        <v>2800</v>
      </c>
      <c r="S19" s="287">
        <v>0</v>
      </c>
      <c r="T19" s="286">
        <v>0</v>
      </c>
      <c r="U19" s="288">
        <f t="shared" si="3"/>
        <v>2800</v>
      </c>
      <c r="V19" s="266">
        <v>0</v>
      </c>
      <c r="W19" s="288">
        <f t="shared" ref="W19:W30" si="8">P19+V19-U19</f>
        <v>0</v>
      </c>
      <c r="X19" s="289"/>
      <c r="Y19" s="248"/>
      <c r="Z19" s="248"/>
    </row>
    <row r="20" spans="2:26" s="335" customFormat="1" ht="38.1" customHeight="1" x14ac:dyDescent="0.25">
      <c r="B20" s="399">
        <v>13</v>
      </c>
      <c r="C20" s="403"/>
      <c r="D20" s="271" t="s">
        <v>141</v>
      </c>
      <c r="E20" s="268">
        <v>1</v>
      </c>
      <c r="F20" s="268">
        <v>31</v>
      </c>
      <c r="G20" s="269">
        <f>IF(E20=1,IF(F20&gt;=29,30,(F20-E20)+1),(F20-E20)+1)</f>
        <v>30</v>
      </c>
      <c r="H20" s="270">
        <f>752*G20/30</f>
        <v>752</v>
      </c>
      <c r="I20" s="270">
        <f>470*G20/30</f>
        <v>470</v>
      </c>
      <c r="J20" s="270">
        <f>62.65*G20/30</f>
        <v>62.65</v>
      </c>
      <c r="K20" s="270">
        <f>715.35*G20/30</f>
        <v>715.35</v>
      </c>
      <c r="L20" s="270">
        <v>0</v>
      </c>
      <c r="M20" s="290">
        <v>0</v>
      </c>
      <c r="N20" s="290">
        <v>0</v>
      </c>
      <c r="O20" s="290">
        <v>16.600000000000001</v>
      </c>
      <c r="P20" s="291">
        <f t="shared" ref="P20:P31" si="9">SUM(H20:O20)</f>
        <v>2016.6</v>
      </c>
      <c r="Q20" s="292">
        <v>0</v>
      </c>
      <c r="R20" s="293">
        <f t="shared" ref="R20:R31" si="10">P20+V20-(Q20+S20+T20)</f>
        <v>2016.6</v>
      </c>
      <c r="S20" s="294">
        <v>0</v>
      </c>
      <c r="T20" s="292">
        <v>0</v>
      </c>
      <c r="U20" s="295">
        <f t="shared" si="3"/>
        <v>2016.6</v>
      </c>
      <c r="V20" s="270">
        <v>0</v>
      </c>
      <c r="W20" s="295">
        <f t="shared" si="8"/>
        <v>0</v>
      </c>
      <c r="X20" s="296"/>
      <c r="Y20" s="334"/>
      <c r="Z20" s="334"/>
    </row>
    <row r="21" spans="2:26" s="158" customFormat="1" ht="38.1" customHeight="1" x14ac:dyDescent="0.25">
      <c r="B21" s="399">
        <v>14</v>
      </c>
      <c r="C21" s="403"/>
      <c r="D21" s="271" t="s">
        <v>164</v>
      </c>
      <c r="E21" s="268">
        <v>1</v>
      </c>
      <c r="F21" s="268">
        <v>31</v>
      </c>
      <c r="G21" s="269">
        <f t="shared" ref="G21:G31" si="11">IF(E21=1,IF(F21&gt;=29,30,(F21-E21)+1),(F21-E21)+1)</f>
        <v>30</v>
      </c>
      <c r="H21" s="270">
        <f>673*G21/30</f>
        <v>673</v>
      </c>
      <c r="I21" s="270">
        <f>421*G21/30</f>
        <v>421</v>
      </c>
      <c r="J21" s="270">
        <f>88.44*G21/30</f>
        <v>88.44</v>
      </c>
      <c r="K21" s="270">
        <f>367.56*G21/30</f>
        <v>367.56</v>
      </c>
      <c r="L21" s="270">
        <v>0</v>
      </c>
      <c r="M21" s="290">
        <v>0</v>
      </c>
      <c r="N21" s="290">
        <v>0</v>
      </c>
      <c r="O21" s="290">
        <v>16.600000000000001</v>
      </c>
      <c r="P21" s="291">
        <f>SUM(H21:O21)</f>
        <v>1566.6</v>
      </c>
      <c r="Q21" s="292">
        <v>0</v>
      </c>
      <c r="R21" s="293">
        <f t="shared" si="10"/>
        <v>1566.6</v>
      </c>
      <c r="S21" s="294">
        <v>0</v>
      </c>
      <c r="T21" s="292">
        <v>0</v>
      </c>
      <c r="U21" s="295">
        <f t="shared" si="3"/>
        <v>1566.6</v>
      </c>
      <c r="V21" s="270">
        <v>0</v>
      </c>
      <c r="W21" s="295">
        <f t="shared" si="8"/>
        <v>0</v>
      </c>
      <c r="X21" s="296"/>
      <c r="Y21" s="248"/>
      <c r="Z21" s="248"/>
    </row>
    <row r="22" spans="2:26" s="158" customFormat="1" ht="38.1" customHeight="1" x14ac:dyDescent="0.25">
      <c r="B22" s="399">
        <v>15</v>
      </c>
      <c r="C22" s="403"/>
      <c r="D22" s="271" t="s">
        <v>165</v>
      </c>
      <c r="E22" s="268">
        <v>1</v>
      </c>
      <c r="F22" s="268">
        <v>31</v>
      </c>
      <c r="G22" s="269">
        <f t="shared" si="11"/>
        <v>30</v>
      </c>
      <c r="H22" s="270">
        <f>673*G22/30</f>
        <v>673</v>
      </c>
      <c r="I22" s="270">
        <f>421*G22/30</f>
        <v>421</v>
      </c>
      <c r="J22" s="270">
        <f>88.44*G22/30</f>
        <v>88.44</v>
      </c>
      <c r="K22" s="270">
        <f>267.56*G22/30</f>
        <v>267.56</v>
      </c>
      <c r="L22" s="270">
        <v>0</v>
      </c>
      <c r="M22" s="290">
        <v>0</v>
      </c>
      <c r="N22" s="290">
        <v>0</v>
      </c>
      <c r="O22" s="290">
        <v>16.600000000000001</v>
      </c>
      <c r="P22" s="291">
        <f t="shared" si="9"/>
        <v>1466.6</v>
      </c>
      <c r="Q22" s="292">
        <v>0</v>
      </c>
      <c r="R22" s="293">
        <f t="shared" si="10"/>
        <v>1466.6</v>
      </c>
      <c r="S22" s="294">
        <v>0</v>
      </c>
      <c r="T22" s="292">
        <v>0</v>
      </c>
      <c r="U22" s="295">
        <f t="shared" si="3"/>
        <v>1466.6</v>
      </c>
      <c r="V22" s="270">
        <v>0</v>
      </c>
      <c r="W22" s="295">
        <f t="shared" si="8"/>
        <v>0</v>
      </c>
      <c r="X22" s="296"/>
      <c r="Y22" s="248"/>
      <c r="Z22" s="248"/>
    </row>
    <row r="23" spans="2:26" s="335" customFormat="1" ht="38.1" customHeight="1" x14ac:dyDescent="0.25">
      <c r="B23" s="399">
        <v>16</v>
      </c>
      <c r="C23" s="403"/>
      <c r="D23" s="271" t="s">
        <v>166</v>
      </c>
      <c r="E23" s="268">
        <v>1</v>
      </c>
      <c r="F23" s="268">
        <v>31</v>
      </c>
      <c r="G23" s="269">
        <f t="shared" si="11"/>
        <v>30</v>
      </c>
      <c r="H23" s="329">
        <f>673*G23/30</f>
        <v>673</v>
      </c>
      <c r="I23" s="329">
        <f>421*G23/30</f>
        <v>421</v>
      </c>
      <c r="J23" s="329">
        <f>88.44*G23/30</f>
        <v>88.44</v>
      </c>
      <c r="K23" s="329">
        <f>217.56*G23/30</f>
        <v>217.56</v>
      </c>
      <c r="L23" s="270">
        <v>0</v>
      </c>
      <c r="M23" s="330">
        <v>0</v>
      </c>
      <c r="N23" s="330">
        <v>0</v>
      </c>
      <c r="O23" s="290">
        <v>16.600000000000001</v>
      </c>
      <c r="P23" s="291">
        <f t="shared" si="9"/>
        <v>1416.6</v>
      </c>
      <c r="Q23" s="292">
        <v>100</v>
      </c>
      <c r="R23" s="293">
        <f t="shared" si="10"/>
        <v>1316.6</v>
      </c>
      <c r="S23" s="332">
        <v>0</v>
      </c>
      <c r="T23" s="331">
        <v>0</v>
      </c>
      <c r="U23" s="295">
        <f t="shared" ref="U23:U24" si="12">SUM(Q23:T23)</f>
        <v>1416.6</v>
      </c>
      <c r="V23" s="329">
        <v>0</v>
      </c>
      <c r="W23" s="295">
        <f t="shared" si="8"/>
        <v>0</v>
      </c>
      <c r="X23" s="333"/>
      <c r="Y23" s="334"/>
      <c r="Z23" s="334"/>
    </row>
    <row r="24" spans="2:26" s="335" customFormat="1" ht="38.1" customHeight="1" x14ac:dyDescent="0.25">
      <c r="B24" s="399">
        <v>17</v>
      </c>
      <c r="C24" s="403"/>
      <c r="D24" s="271" t="s">
        <v>167</v>
      </c>
      <c r="E24" s="268">
        <v>1</v>
      </c>
      <c r="F24" s="268">
        <v>31</v>
      </c>
      <c r="G24" s="269">
        <f t="shared" si="11"/>
        <v>30</v>
      </c>
      <c r="H24" s="270">
        <f>285*G24/30</f>
        <v>285</v>
      </c>
      <c r="I24" s="270">
        <f>178*G24/30</f>
        <v>178</v>
      </c>
      <c r="J24" s="270">
        <f>24*G24/30</f>
        <v>24</v>
      </c>
      <c r="K24" s="270">
        <f>14*G24/30</f>
        <v>14</v>
      </c>
      <c r="L24" s="398">
        <v>0</v>
      </c>
      <c r="M24" s="338">
        <v>0</v>
      </c>
      <c r="N24" s="338">
        <v>0</v>
      </c>
      <c r="O24" s="290">
        <v>16.8</v>
      </c>
      <c r="P24" s="291">
        <f t="shared" si="9"/>
        <v>517.79999999999995</v>
      </c>
      <c r="Q24" s="292">
        <v>0</v>
      </c>
      <c r="R24" s="293">
        <f t="shared" si="10"/>
        <v>517.79999999999995</v>
      </c>
      <c r="S24" s="294">
        <v>0</v>
      </c>
      <c r="T24" s="292">
        <v>0</v>
      </c>
      <c r="U24" s="295">
        <f t="shared" si="12"/>
        <v>517.79999999999995</v>
      </c>
      <c r="V24" s="270">
        <v>0</v>
      </c>
      <c r="W24" s="295">
        <f t="shared" si="8"/>
        <v>0</v>
      </c>
      <c r="X24" s="296"/>
      <c r="Y24" s="334"/>
      <c r="Z24" s="334"/>
    </row>
    <row r="25" spans="2:26" s="158" customFormat="1" ht="38.1" customHeight="1" x14ac:dyDescent="0.25">
      <c r="B25" s="399">
        <v>18</v>
      </c>
      <c r="C25" s="403"/>
      <c r="D25" s="271" t="s">
        <v>168</v>
      </c>
      <c r="E25" s="268">
        <v>1</v>
      </c>
      <c r="F25" s="268">
        <v>31</v>
      </c>
      <c r="G25" s="269">
        <f t="shared" si="11"/>
        <v>30</v>
      </c>
      <c r="H25" s="270">
        <f>285*G25/30</f>
        <v>285</v>
      </c>
      <c r="I25" s="270">
        <f>178*G25/30</f>
        <v>178</v>
      </c>
      <c r="J25" s="270">
        <f>38*G25/30</f>
        <v>38</v>
      </c>
      <c r="K25" s="270">
        <f>49*G25/30</f>
        <v>49</v>
      </c>
      <c r="L25" s="270">
        <v>0</v>
      </c>
      <c r="M25" s="290">
        <v>0</v>
      </c>
      <c r="N25" s="290">
        <v>0</v>
      </c>
      <c r="O25" s="290">
        <v>16.8</v>
      </c>
      <c r="P25" s="291">
        <f t="shared" ref="P25" si="13">SUM(H25:O25)</f>
        <v>566.79999999999995</v>
      </c>
      <c r="Q25" s="292">
        <v>0</v>
      </c>
      <c r="R25" s="293">
        <f t="shared" si="10"/>
        <v>566.79999999999995</v>
      </c>
      <c r="S25" s="294">
        <v>0</v>
      </c>
      <c r="T25" s="292">
        <v>0</v>
      </c>
      <c r="U25" s="295">
        <f t="shared" ref="U25" si="14">SUM(Q25:T25)</f>
        <v>566.79999999999995</v>
      </c>
      <c r="V25" s="290">
        <v>0</v>
      </c>
      <c r="W25" s="295">
        <f t="shared" ref="W25:W26" si="15">P25+V25-U25</f>
        <v>0</v>
      </c>
      <c r="X25" s="296"/>
      <c r="Y25" s="248"/>
      <c r="Z25" s="248"/>
    </row>
    <row r="26" spans="2:26" s="158" customFormat="1" ht="38.1" customHeight="1" x14ac:dyDescent="0.25">
      <c r="B26" s="399">
        <v>19</v>
      </c>
      <c r="C26" s="403"/>
      <c r="D26" s="336" t="s">
        <v>162</v>
      </c>
      <c r="E26" s="268">
        <v>1</v>
      </c>
      <c r="F26" s="268">
        <v>31</v>
      </c>
      <c r="G26" s="269">
        <f t="shared" si="11"/>
        <v>30</v>
      </c>
      <c r="H26" s="329">
        <f>673*G26/30</f>
        <v>673</v>
      </c>
      <c r="I26" s="329">
        <f>421*G26/30</f>
        <v>421</v>
      </c>
      <c r="J26" s="329">
        <f>88.44*G26/30</f>
        <v>88.44</v>
      </c>
      <c r="K26" s="329">
        <f>267.56*G26/30</f>
        <v>267.56</v>
      </c>
      <c r="L26" s="329">
        <v>0</v>
      </c>
      <c r="M26" s="330">
        <v>0</v>
      </c>
      <c r="N26" s="330">
        <v>0</v>
      </c>
      <c r="O26" s="290">
        <v>37.5</v>
      </c>
      <c r="P26" s="293">
        <f t="shared" si="9"/>
        <v>1487.5</v>
      </c>
      <c r="Q26" s="292">
        <v>0</v>
      </c>
      <c r="R26" s="293">
        <f t="shared" si="10"/>
        <v>1480.58</v>
      </c>
      <c r="S26" s="294">
        <v>6.92</v>
      </c>
      <c r="T26" s="292">
        <v>0</v>
      </c>
      <c r="U26" s="295">
        <f t="shared" si="3"/>
        <v>1487.5</v>
      </c>
      <c r="V26" s="330">
        <v>0</v>
      </c>
      <c r="W26" s="295">
        <f t="shared" si="15"/>
        <v>0</v>
      </c>
      <c r="X26" s="333"/>
      <c r="Y26" s="334"/>
      <c r="Z26" s="248"/>
    </row>
    <row r="27" spans="2:26" s="158" customFormat="1" ht="38.1" customHeight="1" x14ac:dyDescent="0.25">
      <c r="B27" s="399">
        <v>20</v>
      </c>
      <c r="C27" s="403"/>
      <c r="D27" s="271" t="s">
        <v>163</v>
      </c>
      <c r="E27" s="268">
        <v>1</v>
      </c>
      <c r="F27" s="268">
        <v>31</v>
      </c>
      <c r="G27" s="269">
        <f t="shared" si="11"/>
        <v>30</v>
      </c>
      <c r="H27" s="270">
        <f>673*G27/30</f>
        <v>673</v>
      </c>
      <c r="I27" s="270">
        <f>421*G27/30</f>
        <v>421</v>
      </c>
      <c r="J27" s="270">
        <f>88.44*G27/30</f>
        <v>88.44</v>
      </c>
      <c r="K27" s="270">
        <f>217.56*G27/30</f>
        <v>217.56</v>
      </c>
      <c r="L27" s="270">
        <v>0</v>
      </c>
      <c r="M27" s="290">
        <v>0</v>
      </c>
      <c r="N27" s="330">
        <v>0</v>
      </c>
      <c r="O27" s="290">
        <v>37.5</v>
      </c>
      <c r="P27" s="291">
        <f t="shared" si="9"/>
        <v>1437.5</v>
      </c>
      <c r="Q27" s="292">
        <v>200</v>
      </c>
      <c r="R27" s="293">
        <f t="shared" si="10"/>
        <v>1237.5</v>
      </c>
      <c r="S27" s="294">
        <v>0</v>
      </c>
      <c r="T27" s="292">
        <v>0</v>
      </c>
      <c r="U27" s="295">
        <f t="shared" si="3"/>
        <v>1437.5</v>
      </c>
      <c r="V27" s="290">
        <v>0</v>
      </c>
      <c r="W27" s="295">
        <f t="shared" si="8"/>
        <v>0</v>
      </c>
      <c r="X27" s="296"/>
      <c r="Y27" s="334"/>
      <c r="Z27" s="248"/>
    </row>
    <row r="28" spans="2:26" s="158" customFormat="1" ht="38.1" customHeight="1" x14ac:dyDescent="0.25">
      <c r="B28" s="399">
        <v>21</v>
      </c>
      <c r="C28" s="403"/>
      <c r="D28" s="271" t="s">
        <v>169</v>
      </c>
      <c r="E28" s="268">
        <v>28</v>
      </c>
      <c r="F28" s="268">
        <v>31</v>
      </c>
      <c r="G28" s="269">
        <f>IF(E28=1,IF(F28&gt;=29,(F28-E28)+1),(F28-E28)+1)</f>
        <v>4</v>
      </c>
      <c r="H28" s="270">
        <f>673*G28/30</f>
        <v>89.733333333333334</v>
      </c>
      <c r="I28" s="270">
        <f>421*G28/30</f>
        <v>56.133333333333333</v>
      </c>
      <c r="J28" s="270">
        <f>56.08*G28/30</f>
        <v>7.4773333333333332</v>
      </c>
      <c r="K28" s="270">
        <f>399.92*G28/30</f>
        <v>53.32266666666667</v>
      </c>
      <c r="L28" s="270">
        <f>673/30*1</f>
        <v>22.433333333333334</v>
      </c>
      <c r="M28" s="290">
        <v>0</v>
      </c>
      <c r="N28" s="330">
        <v>92.78</v>
      </c>
      <c r="O28" s="290">
        <v>0</v>
      </c>
      <c r="P28" s="291">
        <f t="shared" ref="P28" si="16">SUM(H28:O28)</f>
        <v>321.88</v>
      </c>
      <c r="Q28" s="292">
        <v>0</v>
      </c>
      <c r="R28" s="293">
        <f t="shared" si="10"/>
        <v>321.88</v>
      </c>
      <c r="S28" s="294">
        <v>0</v>
      </c>
      <c r="T28" s="292">
        <v>0</v>
      </c>
      <c r="U28" s="295">
        <f t="shared" ref="U28" si="17">SUM(Q28:T28)</f>
        <v>321.88</v>
      </c>
      <c r="V28" s="290">
        <v>0</v>
      </c>
      <c r="W28" s="295">
        <f t="shared" ref="W28" si="18">P28+V28-U28</f>
        <v>0</v>
      </c>
      <c r="X28" s="296"/>
      <c r="Y28" s="248"/>
      <c r="Z28" s="248"/>
    </row>
    <row r="29" spans="2:26" s="158" customFormat="1" ht="37.5" customHeight="1" x14ac:dyDescent="0.25">
      <c r="B29" s="399">
        <v>22</v>
      </c>
      <c r="C29" s="403"/>
      <c r="D29" s="268" t="s">
        <v>129</v>
      </c>
      <c r="E29" s="268">
        <v>28</v>
      </c>
      <c r="F29" s="268">
        <v>31</v>
      </c>
      <c r="G29" s="269">
        <f>IF(E29=1,IF(F29&gt;=29,(F29-E29)+1),(F29-E29)+1)</f>
        <v>4</v>
      </c>
      <c r="H29" s="270">
        <f>752*G29/30</f>
        <v>100.26666666666667</v>
      </c>
      <c r="I29" s="270">
        <f>470*G29/30</f>
        <v>62.666666666666664</v>
      </c>
      <c r="J29" s="270">
        <f>62.65*G29/30</f>
        <v>8.3533333333333335</v>
      </c>
      <c r="K29" s="270">
        <f>315.35*G29/30</f>
        <v>42.046666666666667</v>
      </c>
      <c r="L29" s="270">
        <f>752/30*1</f>
        <v>25.066666666666666</v>
      </c>
      <c r="M29" s="290">
        <v>0</v>
      </c>
      <c r="N29" s="330">
        <v>0</v>
      </c>
      <c r="O29" s="290">
        <v>0</v>
      </c>
      <c r="P29" s="291">
        <f t="shared" si="9"/>
        <v>238.39999999999998</v>
      </c>
      <c r="Q29" s="292">
        <v>0</v>
      </c>
      <c r="R29" s="293">
        <f t="shared" si="10"/>
        <v>238.39999999999998</v>
      </c>
      <c r="S29" s="294">
        <v>0</v>
      </c>
      <c r="T29" s="292">
        <v>0</v>
      </c>
      <c r="U29" s="295">
        <f t="shared" si="3"/>
        <v>238.39999999999998</v>
      </c>
      <c r="V29" s="290">
        <v>0</v>
      </c>
      <c r="W29" s="295">
        <f t="shared" si="8"/>
        <v>0</v>
      </c>
      <c r="X29" s="296"/>
      <c r="Y29" s="248"/>
      <c r="Z29" s="248"/>
    </row>
    <row r="30" spans="2:26" s="158" customFormat="1" ht="38.1" customHeight="1" x14ac:dyDescent="0.25">
      <c r="B30" s="399">
        <v>23</v>
      </c>
      <c r="C30" s="403"/>
      <c r="D30" s="267" t="s">
        <v>142</v>
      </c>
      <c r="E30" s="268">
        <v>1</v>
      </c>
      <c r="F30" s="268">
        <v>31</v>
      </c>
      <c r="G30" s="269">
        <f t="shared" si="11"/>
        <v>30</v>
      </c>
      <c r="H30" s="270">
        <f>752*G30/30</f>
        <v>752</v>
      </c>
      <c r="I30" s="270">
        <f>470*G30/30</f>
        <v>470</v>
      </c>
      <c r="J30" s="270">
        <f>98.79*G30/30</f>
        <v>98.79</v>
      </c>
      <c r="K30" s="270">
        <f>279.21*G30/30</f>
        <v>279.20999999999998</v>
      </c>
      <c r="L30" s="270">
        <v>0</v>
      </c>
      <c r="M30" s="290">
        <v>0</v>
      </c>
      <c r="N30" s="330">
        <v>0</v>
      </c>
      <c r="O30" s="290">
        <v>0</v>
      </c>
      <c r="P30" s="291">
        <f t="shared" si="9"/>
        <v>1600</v>
      </c>
      <c r="Q30" s="292">
        <v>100</v>
      </c>
      <c r="R30" s="293">
        <f t="shared" si="10"/>
        <v>1500</v>
      </c>
      <c r="S30" s="294">
        <v>0</v>
      </c>
      <c r="T30" s="292">
        <v>0</v>
      </c>
      <c r="U30" s="295">
        <f>SUM(Q30:T30)</f>
        <v>1600</v>
      </c>
      <c r="V30" s="290">
        <v>0</v>
      </c>
      <c r="W30" s="295">
        <f t="shared" si="8"/>
        <v>0</v>
      </c>
      <c r="X30" s="296"/>
      <c r="Y30" s="248"/>
      <c r="Z30" s="248"/>
    </row>
    <row r="31" spans="2:26" s="158" customFormat="1" ht="38.1" customHeight="1" thickBot="1" x14ac:dyDescent="0.3">
      <c r="B31" s="274">
        <v>24</v>
      </c>
      <c r="C31" s="475"/>
      <c r="D31" s="275" t="s">
        <v>143</v>
      </c>
      <c r="E31" s="268">
        <v>1</v>
      </c>
      <c r="F31" s="268">
        <v>31</v>
      </c>
      <c r="G31" s="277">
        <f t="shared" si="11"/>
        <v>30</v>
      </c>
      <c r="H31" s="278">
        <f>199*G31/30</f>
        <v>199</v>
      </c>
      <c r="I31" s="278">
        <f>125*G31/30</f>
        <v>125</v>
      </c>
      <c r="J31" s="278">
        <f>26*G31/30</f>
        <v>26</v>
      </c>
      <c r="K31" s="278">
        <f>100*G31/30</f>
        <v>100</v>
      </c>
      <c r="L31" s="278">
        <v>0</v>
      </c>
      <c r="M31" s="297">
        <v>0</v>
      </c>
      <c r="N31" s="297">
        <v>0</v>
      </c>
      <c r="O31" s="297">
        <v>0</v>
      </c>
      <c r="P31" s="298">
        <f t="shared" si="9"/>
        <v>450</v>
      </c>
      <c r="Q31" s="299">
        <v>0</v>
      </c>
      <c r="R31" s="300">
        <f t="shared" si="10"/>
        <v>450</v>
      </c>
      <c r="S31" s="301">
        <v>0</v>
      </c>
      <c r="T31" s="299">
        <v>0</v>
      </c>
      <c r="U31" s="302">
        <f>SUM(Q31:T31)</f>
        <v>450</v>
      </c>
      <c r="V31" s="297">
        <v>0</v>
      </c>
      <c r="W31" s="302">
        <f>P31+V31-U31</f>
        <v>0</v>
      </c>
      <c r="X31" s="476"/>
      <c r="Y31" s="248"/>
      <c r="Z31" s="248"/>
    </row>
    <row r="32" spans="2:26" s="158" customFormat="1" ht="25.5" customHeight="1" thickBot="1" x14ac:dyDescent="0.3">
      <c r="B32" s="258"/>
      <c r="C32" s="259" t="s">
        <v>18</v>
      </c>
      <c r="D32" s="477"/>
      <c r="E32" s="261"/>
      <c r="F32" s="261"/>
      <c r="G32" s="478"/>
      <c r="H32" s="479">
        <f t="shared" ref="H32:W32" si="19">SUM(H19:H31)</f>
        <v>6580</v>
      </c>
      <c r="I32" s="479">
        <f t="shared" si="19"/>
        <v>4114.7999999999993</v>
      </c>
      <c r="J32" s="479">
        <f t="shared" si="19"/>
        <v>770.12066666666669</v>
      </c>
      <c r="K32" s="479">
        <f t="shared" si="19"/>
        <v>4106.0793333333331</v>
      </c>
      <c r="L32" s="479">
        <f t="shared" si="19"/>
        <v>47.5</v>
      </c>
      <c r="M32" s="479">
        <f t="shared" si="19"/>
        <v>0</v>
      </c>
      <c r="N32" s="479">
        <f t="shared" si="19"/>
        <v>92.78</v>
      </c>
      <c r="O32" s="479">
        <f t="shared" si="19"/>
        <v>175</v>
      </c>
      <c r="P32" s="479">
        <f t="shared" si="19"/>
        <v>15886.279999999999</v>
      </c>
      <c r="Q32" s="479">
        <f t="shared" si="19"/>
        <v>400</v>
      </c>
      <c r="R32" s="479">
        <f t="shared" si="19"/>
        <v>15479.359999999999</v>
      </c>
      <c r="S32" s="479">
        <f t="shared" si="19"/>
        <v>6.92</v>
      </c>
      <c r="T32" s="314">
        <f t="shared" si="19"/>
        <v>0</v>
      </c>
      <c r="U32" s="479">
        <f t="shared" si="19"/>
        <v>15886.279999999999</v>
      </c>
      <c r="V32" s="479">
        <f t="shared" si="19"/>
        <v>0</v>
      </c>
      <c r="W32" s="479">
        <f t="shared" si="19"/>
        <v>0</v>
      </c>
      <c r="X32" s="480"/>
    </row>
    <row r="33" spans="2:26" s="158" customFormat="1" ht="31.5" customHeight="1" thickBot="1" x14ac:dyDescent="0.3">
      <c r="B33" s="537" t="s">
        <v>154</v>
      </c>
      <c r="C33" s="538"/>
      <c r="D33" s="539"/>
      <c r="E33" s="550">
        <v>0</v>
      </c>
      <c r="F33" s="551"/>
      <c r="G33" s="551"/>
      <c r="H33" s="551"/>
      <c r="I33" s="551"/>
      <c r="J33" s="551"/>
      <c r="K33" s="551"/>
      <c r="L33" s="551"/>
      <c r="M33" s="551"/>
      <c r="N33" s="551"/>
      <c r="O33" s="551"/>
      <c r="P33" s="551"/>
      <c r="Q33" s="551"/>
      <c r="R33" s="551"/>
      <c r="S33" s="551"/>
      <c r="T33" s="551"/>
      <c r="U33" s="551"/>
      <c r="V33" s="551"/>
      <c r="W33" s="551"/>
      <c r="X33" s="552"/>
    </row>
    <row r="34" spans="2:26" s="158" customFormat="1" ht="44.25" customHeight="1" x14ac:dyDescent="0.25">
      <c r="B34" s="473">
        <v>1</v>
      </c>
      <c r="C34" s="471"/>
      <c r="D34" s="474" t="s">
        <v>45</v>
      </c>
      <c r="E34" s="410">
        <v>1</v>
      </c>
      <c r="F34" s="410">
        <v>29</v>
      </c>
      <c r="G34" s="414">
        <f t="shared" ref="G34:G39" si="20">IF(E34=1,IF(F34&gt;=29,(F34-E34)+1),(F34-E34)+1)</f>
        <v>29</v>
      </c>
      <c r="H34" s="415">
        <f>2267*G34/30</f>
        <v>2191.4333333333334</v>
      </c>
      <c r="I34" s="415">
        <f>1417*G34/30</f>
        <v>1369.7666666666667</v>
      </c>
      <c r="J34" s="415">
        <f>188.94*G34/30</f>
        <v>182.642</v>
      </c>
      <c r="K34" s="415">
        <f>12127.06*G34/30</f>
        <v>11722.824666666666</v>
      </c>
      <c r="L34" s="416">
        <f>2267/30*1</f>
        <v>75.566666666666663</v>
      </c>
      <c r="M34" s="417">
        <v>0</v>
      </c>
      <c r="N34" s="417">
        <v>92.78</v>
      </c>
      <c r="O34" s="417">
        <v>0</v>
      </c>
      <c r="P34" s="418">
        <f>SUM(H34:O34)</f>
        <v>15635.013333333332</v>
      </c>
      <c r="Q34" s="419">
        <v>253</v>
      </c>
      <c r="R34" s="412">
        <f>P34+V34-(Q34+S34+T34)</f>
        <v>15382.013333333332</v>
      </c>
      <c r="S34" s="420">
        <v>0</v>
      </c>
      <c r="T34" s="419">
        <v>0</v>
      </c>
      <c r="U34" s="409">
        <f>SUM(Q34:T34)</f>
        <v>15635.013333333332</v>
      </c>
      <c r="V34" s="472">
        <v>0</v>
      </c>
      <c r="W34" s="409">
        <f t="shared" ref="W34:W40" si="21">P34+V34-U34</f>
        <v>0</v>
      </c>
      <c r="X34" s="421" t="s">
        <v>198</v>
      </c>
    </row>
    <row r="35" spans="2:26" s="158" customFormat="1" ht="44.25" customHeight="1" x14ac:dyDescent="0.25">
      <c r="B35" s="473">
        <v>2</v>
      </c>
      <c r="C35" s="471"/>
      <c r="D35" s="474" t="s">
        <v>139</v>
      </c>
      <c r="E35" s="410">
        <v>1</v>
      </c>
      <c r="F35" s="410">
        <v>29</v>
      </c>
      <c r="G35" s="414">
        <f t="shared" si="20"/>
        <v>29</v>
      </c>
      <c r="H35" s="415">
        <f>199/30*G35</f>
        <v>192.36666666666667</v>
      </c>
      <c r="I35" s="415">
        <f>125/30*G35</f>
        <v>120.83333333333334</v>
      </c>
      <c r="J35" s="415">
        <f>26/30*G35</f>
        <v>25.133333333333333</v>
      </c>
      <c r="K35" s="415">
        <v>0</v>
      </c>
      <c r="L35" s="416">
        <f>199/30*1</f>
        <v>6.6333333333333337</v>
      </c>
      <c r="M35" s="417">
        <v>0</v>
      </c>
      <c r="N35" s="417">
        <v>0</v>
      </c>
      <c r="O35" s="417">
        <v>0</v>
      </c>
      <c r="P35" s="418">
        <f t="shared" ref="P35" si="22">SUM(H35:O35)</f>
        <v>344.9666666666667</v>
      </c>
      <c r="Q35" s="419">
        <v>0</v>
      </c>
      <c r="R35" s="412">
        <f t="shared" ref="R35" si="23">P35+V35-(Q35+S35+T35)</f>
        <v>344.9666666666667</v>
      </c>
      <c r="S35" s="420">
        <v>0</v>
      </c>
      <c r="T35" s="419">
        <v>0</v>
      </c>
      <c r="U35" s="409">
        <f t="shared" ref="U35:U36" si="24">SUM(Q35:T35)</f>
        <v>344.9666666666667</v>
      </c>
      <c r="V35" s="472">
        <v>0</v>
      </c>
      <c r="W35" s="409">
        <f t="shared" si="21"/>
        <v>0</v>
      </c>
      <c r="X35" s="421" t="s">
        <v>198</v>
      </c>
    </row>
    <row r="36" spans="2:26" s="158" customFormat="1" ht="44.25" customHeight="1" x14ac:dyDescent="0.25">
      <c r="B36" s="473">
        <v>3</v>
      </c>
      <c r="C36" s="471"/>
      <c r="D36" s="474" t="s">
        <v>133</v>
      </c>
      <c r="E36" s="410">
        <v>1</v>
      </c>
      <c r="F36" s="410">
        <v>29</v>
      </c>
      <c r="G36" s="414">
        <f t="shared" si="20"/>
        <v>29</v>
      </c>
      <c r="H36" s="415">
        <f>2061*G36/30</f>
        <v>1992.3</v>
      </c>
      <c r="I36" s="415">
        <f>1288*G36/30</f>
        <v>1245.0666666666666</v>
      </c>
      <c r="J36" s="415">
        <f>297.01*G36/30</f>
        <v>287.10966666666661</v>
      </c>
      <c r="K36" s="415">
        <f>11053.99*G36/30</f>
        <v>10685.523666666668</v>
      </c>
      <c r="L36" s="416">
        <f>2061/30*1</f>
        <v>68.7</v>
      </c>
      <c r="M36" s="417">
        <v>0</v>
      </c>
      <c r="N36" s="417">
        <v>0</v>
      </c>
      <c r="O36" s="417">
        <v>0</v>
      </c>
      <c r="P36" s="418">
        <f>SUM(H36:O36)</f>
        <v>14278.700000000003</v>
      </c>
      <c r="Q36" s="419">
        <v>0</v>
      </c>
      <c r="R36" s="412">
        <v>0</v>
      </c>
      <c r="S36" s="420">
        <v>0</v>
      </c>
      <c r="T36" s="419">
        <v>0</v>
      </c>
      <c r="U36" s="409">
        <f t="shared" si="24"/>
        <v>0</v>
      </c>
      <c r="V36" s="472">
        <v>32418.959999999999</v>
      </c>
      <c r="W36" s="409">
        <f t="shared" si="21"/>
        <v>46697.66</v>
      </c>
      <c r="X36" s="421" t="s">
        <v>198</v>
      </c>
    </row>
    <row r="37" spans="2:26" s="158" customFormat="1" ht="44.25" customHeight="1" x14ac:dyDescent="0.25">
      <c r="B37" s="473">
        <v>4</v>
      </c>
      <c r="C37" s="471"/>
      <c r="D37" s="474" t="s">
        <v>134</v>
      </c>
      <c r="E37" s="410">
        <v>1</v>
      </c>
      <c r="F37" s="410">
        <v>29</v>
      </c>
      <c r="G37" s="414">
        <f t="shared" si="20"/>
        <v>29</v>
      </c>
      <c r="H37" s="415">
        <f>1172*G37/30</f>
        <v>1132.9333333333334</v>
      </c>
      <c r="I37" s="415">
        <f>733*G37/30</f>
        <v>708.56666666666672</v>
      </c>
      <c r="J37" s="415">
        <f>97.7*G37/30</f>
        <v>94.443333333333342</v>
      </c>
      <c r="K37" s="415">
        <f>2797.3*G37/30</f>
        <v>2704.0566666666668</v>
      </c>
      <c r="L37" s="416">
        <f>1172/30*1</f>
        <v>39.06666666666667</v>
      </c>
      <c r="M37" s="417">
        <v>0</v>
      </c>
      <c r="N37" s="417">
        <v>0</v>
      </c>
      <c r="O37" s="417">
        <v>0</v>
      </c>
      <c r="P37" s="418">
        <f t="shared" ref="P37:P40" si="25">SUM(H37:O37)</f>
        <v>4679.0666666666666</v>
      </c>
      <c r="Q37" s="419">
        <v>400</v>
      </c>
      <c r="R37" s="412">
        <f t="shared" ref="R37:R40" si="26">P37+V37-(Q37+S37+T37)</f>
        <v>4263.9266666666663</v>
      </c>
      <c r="S37" s="420">
        <v>15.14</v>
      </c>
      <c r="T37" s="419">
        <v>0</v>
      </c>
      <c r="U37" s="409">
        <f t="shared" ref="U37" si="27">SUM(Q37:T37)</f>
        <v>4679.0666666666666</v>
      </c>
      <c r="V37" s="472">
        <v>0</v>
      </c>
      <c r="W37" s="409">
        <f t="shared" si="21"/>
        <v>0</v>
      </c>
      <c r="X37" s="421" t="s">
        <v>198</v>
      </c>
    </row>
    <row r="38" spans="2:26" s="158" customFormat="1" ht="44.25" customHeight="1" x14ac:dyDescent="0.25">
      <c r="B38" s="473">
        <v>5</v>
      </c>
      <c r="C38" s="471"/>
      <c r="D38" s="474" t="s">
        <v>169</v>
      </c>
      <c r="E38" s="410">
        <v>1</v>
      </c>
      <c r="F38" s="410">
        <v>29</v>
      </c>
      <c r="G38" s="414">
        <f t="shared" si="20"/>
        <v>29</v>
      </c>
      <c r="H38" s="415">
        <f>673*G38/30</f>
        <v>650.56666666666672</v>
      </c>
      <c r="I38" s="415">
        <f>421*G38/30</f>
        <v>406.96666666666664</v>
      </c>
      <c r="J38" s="415">
        <f>56.08*G38/30</f>
        <v>54.210666666666661</v>
      </c>
      <c r="K38" s="415">
        <f>149.92*G38/30</f>
        <v>144.92266666666666</v>
      </c>
      <c r="L38" s="416">
        <f>673/30*1</f>
        <v>22.433333333333334</v>
      </c>
      <c r="M38" s="417">
        <v>0</v>
      </c>
      <c r="N38" s="417">
        <v>0</v>
      </c>
      <c r="O38" s="417">
        <v>37.5</v>
      </c>
      <c r="P38" s="418">
        <f t="shared" si="25"/>
        <v>1316.6</v>
      </c>
      <c r="Q38" s="419">
        <v>400</v>
      </c>
      <c r="R38" s="412">
        <f t="shared" si="26"/>
        <v>916.59999999999991</v>
      </c>
      <c r="S38" s="420">
        <v>0</v>
      </c>
      <c r="T38" s="419">
        <v>0</v>
      </c>
      <c r="U38" s="409">
        <f t="shared" ref="U38" si="28">SUM(Q38:T38)</f>
        <v>1316.6</v>
      </c>
      <c r="V38" s="472">
        <v>0</v>
      </c>
      <c r="W38" s="409">
        <f t="shared" si="21"/>
        <v>0</v>
      </c>
      <c r="X38" s="421" t="s">
        <v>198</v>
      </c>
    </row>
    <row r="39" spans="2:26" s="158" customFormat="1" ht="44.25" customHeight="1" x14ac:dyDescent="0.25">
      <c r="B39" s="399">
        <v>6</v>
      </c>
      <c r="C39" s="403"/>
      <c r="D39" s="270" t="s">
        <v>129</v>
      </c>
      <c r="E39" s="268">
        <v>1</v>
      </c>
      <c r="F39" s="268">
        <v>29</v>
      </c>
      <c r="G39" s="269">
        <f t="shared" si="20"/>
        <v>29</v>
      </c>
      <c r="H39" s="270">
        <f>752*G39/30</f>
        <v>726.93333333333328</v>
      </c>
      <c r="I39" s="270">
        <f>470*G39/30</f>
        <v>454.33333333333331</v>
      </c>
      <c r="J39" s="270">
        <f>62.65*G39/30</f>
        <v>60.56166666666666</v>
      </c>
      <c r="K39" s="270">
        <f>315.35*G39/30</f>
        <v>304.83833333333337</v>
      </c>
      <c r="L39" s="270">
        <f>752/30*1</f>
        <v>25.066666666666666</v>
      </c>
      <c r="M39" s="338">
        <v>0</v>
      </c>
      <c r="N39" s="338">
        <v>0</v>
      </c>
      <c r="O39" s="338">
        <v>37.5</v>
      </c>
      <c r="P39" s="291">
        <f t="shared" si="25"/>
        <v>1609.2333333333333</v>
      </c>
      <c r="Q39" s="292">
        <v>200</v>
      </c>
      <c r="R39" s="293">
        <f t="shared" si="26"/>
        <v>1409.2333333333333</v>
      </c>
      <c r="S39" s="294">
        <v>0</v>
      </c>
      <c r="T39" s="292">
        <v>0</v>
      </c>
      <c r="U39" s="295">
        <f t="shared" ref="U39" si="29">SUM(Q39:T39)</f>
        <v>1609.2333333333333</v>
      </c>
      <c r="V39" s="290">
        <v>0</v>
      </c>
      <c r="W39" s="409">
        <f t="shared" si="21"/>
        <v>0</v>
      </c>
      <c r="X39" s="421" t="s">
        <v>198</v>
      </c>
    </row>
    <row r="40" spans="2:26" s="335" customFormat="1" ht="38.1" customHeight="1" thickBot="1" x14ac:dyDescent="0.3">
      <c r="B40" s="399">
        <v>8</v>
      </c>
      <c r="C40" s="509"/>
      <c r="D40" s="270" t="s">
        <v>206</v>
      </c>
      <c r="E40" s="268">
        <v>1</v>
      </c>
      <c r="F40" s="268">
        <v>28</v>
      </c>
      <c r="G40" s="277">
        <f t="shared" ref="G40" si="30">IF(E40=1,IF(F40&gt;=29,30,(F40-E40)+1),(F40-E40)+1)</f>
        <v>28</v>
      </c>
      <c r="H40" s="329">
        <f>854*G40/30</f>
        <v>797.06666666666672</v>
      </c>
      <c r="I40" s="329">
        <f>534*G40/30</f>
        <v>498.4</v>
      </c>
      <c r="J40" s="329">
        <f>71.17*G40/30</f>
        <v>66.425333333333327</v>
      </c>
      <c r="K40" s="329">
        <f>540.83*G40/30</f>
        <v>504.77466666666675</v>
      </c>
      <c r="L40" s="337">
        <v>0</v>
      </c>
      <c r="M40" s="338">
        <v>0</v>
      </c>
      <c r="N40" s="338">
        <v>0</v>
      </c>
      <c r="O40" s="338">
        <v>0</v>
      </c>
      <c r="P40" s="291">
        <f t="shared" si="25"/>
        <v>1866.6666666666667</v>
      </c>
      <c r="Q40" s="292">
        <v>0</v>
      </c>
      <c r="R40" s="293">
        <f t="shared" si="26"/>
        <v>1866.6666666666667</v>
      </c>
      <c r="S40" s="294">
        <v>0</v>
      </c>
      <c r="T40" s="331">
        <v>0</v>
      </c>
      <c r="U40" s="295">
        <f t="shared" ref="U40" si="31">SUM(Q40:T40)</f>
        <v>1866.6666666666667</v>
      </c>
      <c r="V40" s="329">
        <v>0</v>
      </c>
      <c r="W40" s="409">
        <f t="shared" si="21"/>
        <v>0</v>
      </c>
      <c r="X40" s="333" t="s">
        <v>207</v>
      </c>
      <c r="Y40" s="334"/>
      <c r="Z40" s="334"/>
    </row>
    <row r="41" spans="2:26" s="158" customFormat="1" ht="44.25" customHeight="1" thickBot="1" x14ac:dyDescent="0.3">
      <c r="B41" s="258"/>
      <c r="C41" s="259" t="s">
        <v>149</v>
      </c>
      <c r="D41" s="477"/>
      <c r="E41" s="261"/>
      <c r="F41" s="261"/>
      <c r="G41" s="478"/>
      <c r="H41" s="314">
        <f>SUM(H34:H40)</f>
        <v>7683.6</v>
      </c>
      <c r="I41" s="314">
        <f t="shared" ref="I41:W41" si="32">SUM(I34:I40)</f>
        <v>4803.9333333333325</v>
      </c>
      <c r="J41" s="314">
        <f t="shared" si="32"/>
        <v>770.52599999999984</v>
      </c>
      <c r="K41" s="314">
        <f t="shared" si="32"/>
        <v>26066.940666666669</v>
      </c>
      <c r="L41" s="314">
        <f t="shared" si="32"/>
        <v>237.46666666666667</v>
      </c>
      <c r="M41" s="314">
        <f t="shared" si="32"/>
        <v>0</v>
      </c>
      <c r="N41" s="314">
        <f t="shared" si="32"/>
        <v>92.78</v>
      </c>
      <c r="O41" s="314">
        <f t="shared" si="32"/>
        <v>75</v>
      </c>
      <c r="P41" s="314">
        <f t="shared" si="32"/>
        <v>39730.246666666659</v>
      </c>
      <c r="Q41" s="314">
        <f t="shared" si="32"/>
        <v>1253</v>
      </c>
      <c r="R41" s="314">
        <f t="shared" si="32"/>
        <v>24183.406666666666</v>
      </c>
      <c r="S41" s="314">
        <f t="shared" si="32"/>
        <v>15.14</v>
      </c>
      <c r="T41" s="314">
        <f t="shared" si="32"/>
        <v>0</v>
      </c>
      <c r="U41" s="314">
        <f t="shared" si="32"/>
        <v>25451.546666666665</v>
      </c>
      <c r="V41" s="314">
        <f t="shared" si="32"/>
        <v>32418.959999999999</v>
      </c>
      <c r="W41" s="314">
        <f t="shared" si="32"/>
        <v>46697.66</v>
      </c>
      <c r="X41" s="480"/>
      <c r="Y41" s="248"/>
      <c r="Z41" s="248"/>
    </row>
    <row r="42" spans="2:26" s="158" customFormat="1" ht="43.5" hidden="1" customHeight="1" x14ac:dyDescent="0.25">
      <c r="B42" s="544"/>
      <c r="C42" s="545"/>
      <c r="D42" s="545"/>
      <c r="E42" s="304"/>
      <c r="F42" s="304"/>
      <c r="G42" s="305"/>
      <c r="H42" s="309"/>
      <c r="I42" s="309"/>
      <c r="J42" s="309"/>
      <c r="K42" s="309"/>
      <c r="L42" s="309"/>
      <c r="M42" s="309"/>
      <c r="N42" s="309"/>
      <c r="O42" s="309"/>
      <c r="P42" s="310"/>
      <c r="Q42" s="310"/>
      <c r="R42" s="310"/>
      <c r="S42" s="310"/>
      <c r="T42" s="310"/>
      <c r="U42" s="310"/>
      <c r="V42" s="309"/>
      <c r="W42" s="311"/>
      <c r="X42" s="306"/>
      <c r="Y42" s="248"/>
      <c r="Z42" s="248"/>
    </row>
    <row r="43" spans="2:26" ht="17.25" customHeight="1" thickBot="1" x14ac:dyDescent="0.3">
      <c r="B43" s="274"/>
      <c r="C43" s="275"/>
      <c r="D43" s="307"/>
      <c r="E43" s="276"/>
      <c r="F43" s="276"/>
      <c r="G43" s="277"/>
      <c r="H43" s="278"/>
      <c r="I43" s="278"/>
      <c r="J43" s="278"/>
      <c r="K43" s="278"/>
      <c r="L43" s="278"/>
      <c r="M43" s="297"/>
      <c r="N43" s="297"/>
      <c r="O43" s="297"/>
      <c r="P43" s="298"/>
      <c r="Q43" s="299"/>
      <c r="R43" s="300"/>
      <c r="S43" s="301"/>
      <c r="T43" s="299"/>
      <c r="U43" s="302"/>
      <c r="V43" s="297"/>
      <c r="W43" s="302"/>
      <c r="X43" s="279"/>
    </row>
    <row r="44" spans="2:26" ht="21.75" thickBot="1" x14ac:dyDescent="0.3">
      <c r="B44" s="280"/>
      <c r="C44" s="281" t="s">
        <v>150</v>
      </c>
      <c r="D44" s="282"/>
      <c r="E44" s="283"/>
      <c r="F44" s="283"/>
      <c r="G44" s="284"/>
      <c r="H44" s="308">
        <f t="shared" ref="H44:P44" si="33">SUM(H43:H43)</f>
        <v>0</v>
      </c>
      <c r="I44" s="308">
        <f t="shared" si="33"/>
        <v>0</v>
      </c>
      <c r="J44" s="308">
        <f t="shared" si="33"/>
        <v>0</v>
      </c>
      <c r="K44" s="308">
        <f t="shared" si="33"/>
        <v>0</v>
      </c>
      <c r="L44" s="308">
        <f t="shared" si="33"/>
        <v>0</v>
      </c>
      <c r="M44" s="308">
        <f t="shared" si="33"/>
        <v>0</v>
      </c>
      <c r="N44" s="308">
        <f t="shared" si="33"/>
        <v>0</v>
      </c>
      <c r="O44" s="308">
        <f t="shared" si="33"/>
        <v>0</v>
      </c>
      <c r="P44" s="308">
        <f t="shared" si="33"/>
        <v>0</v>
      </c>
      <c r="Q44" s="308">
        <f t="shared" ref="Q44:V44" si="34">SUM(Q42:Q43)</f>
        <v>0</v>
      </c>
      <c r="R44" s="308">
        <f t="shared" si="34"/>
        <v>0</v>
      </c>
      <c r="S44" s="308">
        <f t="shared" si="34"/>
        <v>0</v>
      </c>
      <c r="T44" s="308">
        <f t="shared" si="34"/>
        <v>0</v>
      </c>
      <c r="U44" s="308">
        <f t="shared" si="34"/>
        <v>0</v>
      </c>
      <c r="V44" s="308">
        <f t="shared" si="34"/>
        <v>0</v>
      </c>
      <c r="W44" s="312">
        <f>P44+V44-U44</f>
        <v>0</v>
      </c>
      <c r="X44" s="306"/>
    </row>
    <row r="45" spans="2:26" ht="18.75" customHeight="1" thickBot="1" x14ac:dyDescent="0.3">
      <c r="B45" s="253"/>
      <c r="C45" s="254"/>
      <c r="D45" s="255"/>
      <c r="E45" s="256"/>
      <c r="F45" s="256"/>
      <c r="G45" s="257"/>
      <c r="H45" s="313"/>
      <c r="I45" s="313"/>
      <c r="J45" s="313"/>
      <c r="K45" s="313"/>
      <c r="L45" s="313"/>
      <c r="M45" s="313"/>
      <c r="N45" s="313"/>
      <c r="O45" s="313"/>
      <c r="P45" s="313"/>
      <c r="Q45" s="313"/>
      <c r="R45" s="313"/>
      <c r="S45" s="313"/>
      <c r="T45" s="313"/>
      <c r="U45" s="313"/>
      <c r="V45" s="313"/>
      <c r="W45" s="313"/>
      <c r="X45" s="252"/>
    </row>
    <row r="46" spans="2:26" ht="30" customHeight="1" thickBot="1" x14ac:dyDescent="0.3">
      <c r="B46" s="258"/>
      <c r="C46" s="259" t="s">
        <v>151</v>
      </c>
      <c r="D46" s="260"/>
      <c r="E46" s="261"/>
      <c r="F46" s="261"/>
      <c r="G46" s="261"/>
      <c r="H46" s="314">
        <f>H18+H32+H41+H44</f>
        <v>22033.26666666667</v>
      </c>
      <c r="I46" s="314">
        <f>I18+I32+I41+I44</f>
        <v>13776.566666666664</v>
      </c>
      <c r="J46" s="314">
        <f>J18+J32+J41+J44</f>
        <v>2356.2460000000001</v>
      </c>
      <c r="K46" s="314">
        <f>K18+K32+K41+K44</f>
        <v>61416.587333333337</v>
      </c>
      <c r="L46" s="314">
        <f>L18+L32+L41+L44</f>
        <v>464.33333333333337</v>
      </c>
      <c r="M46" s="314">
        <f>M18+M32+M41</f>
        <v>0</v>
      </c>
      <c r="N46" s="314">
        <f t="shared" ref="N46:W46" si="35">N18+N32+N41+N44</f>
        <v>361.17999999999995</v>
      </c>
      <c r="O46" s="314">
        <f t="shared" si="35"/>
        <v>250</v>
      </c>
      <c r="P46" s="314">
        <f t="shared" si="35"/>
        <v>100658.18</v>
      </c>
      <c r="Q46" s="314">
        <f t="shared" si="35"/>
        <v>2153</v>
      </c>
      <c r="R46" s="314">
        <f t="shared" si="35"/>
        <v>89152.346666666665</v>
      </c>
      <c r="S46" s="314">
        <f t="shared" si="35"/>
        <v>56.660000000000004</v>
      </c>
      <c r="T46" s="314">
        <f t="shared" si="35"/>
        <v>0</v>
      </c>
      <c r="U46" s="314">
        <f t="shared" si="35"/>
        <v>91362.006666666653</v>
      </c>
      <c r="V46" s="314">
        <f t="shared" si="35"/>
        <v>32418.959999999999</v>
      </c>
      <c r="W46" s="314">
        <f t="shared" si="35"/>
        <v>41715.133333333339</v>
      </c>
      <c r="X46" s="262"/>
    </row>
    <row r="47" spans="2:26" hidden="1" x14ac:dyDescent="0.25">
      <c r="B47" s="3"/>
      <c r="C47" s="1"/>
      <c r="D47" s="222"/>
      <c r="E47" s="3"/>
      <c r="F47" s="3"/>
      <c r="G47" s="3"/>
      <c r="H47" s="315"/>
      <c r="I47" s="315"/>
      <c r="J47" s="315"/>
      <c r="K47" s="315"/>
      <c r="L47" s="315"/>
      <c r="M47" s="315"/>
      <c r="N47" s="315"/>
      <c r="O47" s="315"/>
      <c r="P47" s="315"/>
      <c r="Q47" s="315"/>
      <c r="R47" s="315"/>
      <c r="S47" s="315"/>
      <c r="T47" s="315"/>
      <c r="U47" s="315"/>
      <c r="V47" s="315"/>
      <c r="W47" s="315"/>
    </row>
    <row r="48" spans="2:26" ht="13.5" customHeight="1" x14ac:dyDescent="0.25">
      <c r="E48" s="251"/>
      <c r="F48" s="251"/>
      <c r="G48" s="251"/>
      <c r="H48" s="316"/>
      <c r="I48" s="316"/>
      <c r="J48" s="316"/>
      <c r="K48" s="316"/>
      <c r="L48" s="316"/>
      <c r="M48" s="316"/>
      <c r="N48" s="316"/>
      <c r="O48" s="316"/>
      <c r="P48" s="316"/>
      <c r="Q48" s="316"/>
      <c r="R48" s="316"/>
      <c r="S48" s="316"/>
      <c r="T48" s="316"/>
      <c r="U48" s="316"/>
      <c r="V48" s="316"/>
      <c r="W48" s="316"/>
    </row>
    <row r="49" spans="3:3" ht="23.25" x14ac:dyDescent="0.35">
      <c r="C49" s="167"/>
    </row>
  </sheetData>
  <autoFilter ref="B5:X46" xr:uid="{00000000-0001-0000-0000-000000000000}"/>
  <mergeCells count="34">
    <mergeCell ref="B33:D33"/>
    <mergeCell ref="O5:O6"/>
    <mergeCell ref="T5:T6"/>
    <mergeCell ref="B42:D42"/>
    <mergeCell ref="N5:N6"/>
    <mergeCell ref="M5:M6"/>
    <mergeCell ref="E33:X33"/>
    <mergeCell ref="X5:X6"/>
    <mergeCell ref="P5:P6"/>
    <mergeCell ref="Q5:Q6"/>
    <mergeCell ref="B3:I3"/>
    <mergeCell ref="J3:P3"/>
    <mergeCell ref="W5:W6"/>
    <mergeCell ref="R5:R6"/>
    <mergeCell ref="S5:S6"/>
    <mergeCell ref="U5:U6"/>
    <mergeCell ref="L5:L6"/>
    <mergeCell ref="F5:F6"/>
    <mergeCell ref="X2:X4"/>
    <mergeCell ref="J5:J6"/>
    <mergeCell ref="I5:I6"/>
    <mergeCell ref="Q2:W2"/>
    <mergeCell ref="V5:V6"/>
    <mergeCell ref="B4:P4"/>
    <mergeCell ref="Q4:W4"/>
    <mergeCell ref="B5:B6"/>
    <mergeCell ref="C5:C6"/>
    <mergeCell ref="D5:D6"/>
    <mergeCell ref="E5:E6"/>
    <mergeCell ref="G5:G6"/>
    <mergeCell ref="K5:K6"/>
    <mergeCell ref="H5:H6"/>
    <mergeCell ref="B2:P2"/>
    <mergeCell ref="Q3:W3"/>
  </mergeCells>
  <pageMargins left="0" right="0" top="0.75" bottom="0.5" header="0.3" footer="0.3"/>
  <pageSetup paperSize="9" scale="32" orientation="landscape" r:id="rId1"/>
  <ignoredErrors>
    <ignoredError sqref="S2 Q2:R2 T2:W2 P44:V44 I32:K32 H18:K18 S18:W18 K11 K16 H46:L46 H44:M44 T32 V32:W32 U46:W4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R1116"/>
  <sheetViews>
    <sheetView view="pageBreakPreview" zoomScale="70" zoomScaleNormal="70" zoomScaleSheetLayoutView="70" workbookViewId="0">
      <selection activeCell="J349" sqref="J349"/>
    </sheetView>
  </sheetViews>
  <sheetFormatPr defaultRowHeight="25.35" customHeight="1" x14ac:dyDescent="0.25"/>
  <cols>
    <col min="1" max="1" width="2.42578125" customWidth="1"/>
    <col min="2" max="2" width="18.5703125" customWidth="1"/>
    <col min="3" max="3" width="34" customWidth="1"/>
    <col min="4" max="4" width="9.42578125" customWidth="1"/>
    <col min="5" max="5" width="17" customWidth="1"/>
    <col min="6" max="6" width="13.42578125" customWidth="1"/>
    <col min="7" max="7" width="11.5703125" customWidth="1"/>
    <col min="8" max="8" width="14.5703125" customWidth="1"/>
    <col min="9" max="9" width="16.5703125" customWidth="1"/>
    <col min="10" max="10" width="23.42578125" customWidth="1"/>
    <col min="11" max="11" width="7.42578125" customWidth="1"/>
    <col min="12" max="12" width="13.42578125" customWidth="1"/>
    <col min="13" max="13" width="8.42578125" customWidth="1"/>
    <col min="17" max="17" width="19.140625" customWidth="1"/>
    <col min="18" max="18" width="16.85546875" customWidth="1"/>
  </cols>
  <sheetData>
    <row r="1" spans="2:18" ht="15" customHeight="1" thickBot="1" x14ac:dyDescent="0.3"/>
    <row r="2" spans="2:18" ht="30" customHeight="1" x14ac:dyDescent="0.3">
      <c r="B2" s="584"/>
      <c r="C2" s="585"/>
      <c r="D2" s="585"/>
      <c r="E2" s="585"/>
      <c r="F2" s="585"/>
      <c r="G2" s="585"/>
      <c r="H2" s="585"/>
      <c r="I2" s="585"/>
      <c r="J2" s="585"/>
      <c r="K2" s="585"/>
      <c r="L2" s="585"/>
      <c r="M2" s="586"/>
    </row>
    <row r="3" spans="2:18" ht="30" customHeight="1" x14ac:dyDescent="0.3">
      <c r="B3" s="587" t="s">
        <v>62</v>
      </c>
      <c r="C3" s="588"/>
      <c r="D3" s="588"/>
      <c r="E3" s="588"/>
      <c r="F3" s="588"/>
      <c r="G3" s="588"/>
      <c r="H3" s="588"/>
      <c r="I3" s="588"/>
      <c r="J3" s="588"/>
      <c r="K3" s="588"/>
      <c r="L3" s="588"/>
      <c r="M3" s="589"/>
    </row>
    <row r="4" spans="2:18" ht="30" customHeight="1" x14ac:dyDescent="0.3">
      <c r="B4" s="95" t="s">
        <v>63</v>
      </c>
      <c r="C4" s="570" t="str">
        <f>+'PB '!D1</f>
        <v>Vessel name</v>
      </c>
      <c r="D4" s="570"/>
      <c r="E4" s="570"/>
      <c r="F4" s="96"/>
      <c r="G4" s="570"/>
      <c r="H4" s="570"/>
      <c r="I4" s="570"/>
      <c r="J4" s="96" t="s">
        <v>44</v>
      </c>
      <c r="K4" s="97"/>
      <c r="L4" s="582"/>
      <c r="M4" s="583"/>
      <c r="O4">
        <v>1</v>
      </c>
    </row>
    <row r="5" spans="2:18" ht="30" customHeight="1" x14ac:dyDescent="0.3">
      <c r="B5" s="98"/>
      <c r="C5" s="96"/>
      <c r="D5" s="96"/>
      <c r="E5" s="99"/>
      <c r="F5" s="100"/>
      <c r="G5" s="100"/>
      <c r="H5" s="100"/>
      <c r="I5" s="96"/>
      <c r="J5" s="96"/>
      <c r="K5" s="97"/>
      <c r="L5" s="97"/>
      <c r="M5" s="101"/>
    </row>
    <row r="6" spans="2:18" ht="30" customHeight="1" x14ac:dyDescent="0.3">
      <c r="B6" s="95" t="s">
        <v>64</v>
      </c>
      <c r="C6" s="570">
        <f>+'PB '!C7</f>
        <v>0</v>
      </c>
      <c r="D6" s="570"/>
      <c r="E6" s="570"/>
      <c r="F6" s="570"/>
      <c r="G6" s="102"/>
      <c r="H6" s="96" t="s">
        <v>21</v>
      </c>
      <c r="I6" s="603" t="s">
        <v>45</v>
      </c>
      <c r="J6" s="570"/>
      <c r="K6" s="96"/>
      <c r="L6" s="582"/>
      <c r="M6" s="583"/>
    </row>
    <row r="7" spans="2:18" ht="30" customHeight="1" x14ac:dyDescent="0.3">
      <c r="B7" s="95"/>
      <c r="C7" s="96"/>
      <c r="D7" s="96"/>
      <c r="E7" s="96"/>
      <c r="F7" s="96"/>
      <c r="G7" s="96" t="s">
        <v>65</v>
      </c>
      <c r="H7" s="96"/>
      <c r="I7" s="96"/>
      <c r="J7" s="96"/>
      <c r="K7" s="96"/>
      <c r="L7" s="96"/>
      <c r="M7" s="101"/>
    </row>
    <row r="8" spans="2:18" ht="30" customHeight="1" x14ac:dyDescent="0.3">
      <c r="B8" s="95"/>
      <c r="C8" s="96"/>
      <c r="D8" s="96"/>
      <c r="E8" s="96"/>
      <c r="F8" s="96"/>
      <c r="G8" s="96" t="s">
        <v>44</v>
      </c>
      <c r="H8" s="96"/>
      <c r="I8" s="96"/>
      <c r="J8" s="96"/>
      <c r="K8" s="96"/>
      <c r="L8" s="96"/>
      <c r="M8" s="101"/>
    </row>
    <row r="9" spans="2:18" ht="30" customHeight="1" x14ac:dyDescent="0.3">
      <c r="B9" s="95"/>
      <c r="C9" s="96"/>
      <c r="D9" s="96"/>
      <c r="E9" s="96"/>
      <c r="F9" s="96"/>
      <c r="G9" s="103" t="s">
        <v>66</v>
      </c>
      <c r="H9" s="104"/>
      <c r="I9" s="103"/>
      <c r="J9" s="103"/>
      <c r="K9" s="96" t="s">
        <v>51</v>
      </c>
      <c r="L9" s="105">
        <f>'PB '!V7</f>
        <v>0</v>
      </c>
      <c r="M9" s="101"/>
      <c r="R9">
        <v>31</v>
      </c>
    </row>
    <row r="10" spans="2:18" ht="30" customHeight="1" x14ac:dyDescent="0.3">
      <c r="B10" s="95"/>
      <c r="C10" s="96"/>
      <c r="D10" s="96"/>
      <c r="E10" s="96"/>
      <c r="F10" s="96"/>
      <c r="G10" s="96"/>
      <c r="H10" s="96"/>
      <c r="I10" s="96"/>
      <c r="J10" s="96"/>
      <c r="K10" s="96"/>
      <c r="L10" s="96"/>
      <c r="M10" s="101"/>
    </row>
    <row r="11" spans="2:18" ht="30" customHeight="1" x14ac:dyDescent="0.3">
      <c r="B11" s="590" t="s">
        <v>67</v>
      </c>
      <c r="C11" s="591"/>
      <c r="D11" s="592" t="s">
        <v>60</v>
      </c>
      <c r="E11" s="593"/>
      <c r="F11" s="579" t="s">
        <v>61</v>
      </c>
      <c r="G11" s="580"/>
      <c r="H11" s="106" t="s">
        <v>68</v>
      </c>
      <c r="I11" s="107" t="s">
        <v>69</v>
      </c>
      <c r="J11" s="106" t="s">
        <v>51</v>
      </c>
      <c r="K11" s="108"/>
      <c r="L11" s="108"/>
      <c r="M11" s="109"/>
    </row>
    <row r="12" spans="2:18" ht="30" customHeight="1" x14ac:dyDescent="0.3">
      <c r="B12" s="560" t="s">
        <v>70</v>
      </c>
      <c r="C12" s="581"/>
      <c r="D12" s="110">
        <f>'PB '!E7</f>
        <v>28</v>
      </c>
      <c r="E12" s="111">
        <f>'PB '!C1</f>
        <v>0</v>
      </c>
      <c r="F12" s="112">
        <f>'PB '!F7</f>
        <v>31</v>
      </c>
      <c r="G12" s="111">
        <f>'PB '!C1</f>
        <v>0</v>
      </c>
      <c r="H12" s="113">
        <f>'PB '!G7</f>
        <v>4</v>
      </c>
      <c r="I12" s="114">
        <v>2267</v>
      </c>
      <c r="J12" s="115">
        <f>I12*H12/30</f>
        <v>302.26666666666665</v>
      </c>
      <c r="K12" s="96"/>
      <c r="L12" s="96"/>
      <c r="M12" s="101"/>
      <c r="Q12" s="481">
        <f>J25+J70+J117+J164+J210+J255+J302+J348+J394+J440+J486+J532+J579+J626+J672+J719+J767+J813+J860+J906+J953+J1000+J1047+J1096</f>
        <v>64968.939999999995</v>
      </c>
    </row>
    <row r="13" spans="2:18" ht="30" customHeight="1" x14ac:dyDescent="0.3">
      <c r="B13" s="560" t="s">
        <v>71</v>
      </c>
      <c r="C13" s="581"/>
      <c r="D13" s="110">
        <f>'PB '!E7</f>
        <v>28</v>
      </c>
      <c r="E13" s="111">
        <f>'PB '!C1</f>
        <v>0</v>
      </c>
      <c r="F13" s="112">
        <f>'PB '!F7</f>
        <v>31</v>
      </c>
      <c r="G13" s="111">
        <f>'PB '!C1</f>
        <v>0</v>
      </c>
      <c r="H13" s="113">
        <f>'PB '!G7</f>
        <v>4</v>
      </c>
      <c r="I13" s="114">
        <v>1417</v>
      </c>
      <c r="J13" s="115">
        <f t="shared" ref="J13:J15" si="0">I13*H13/30</f>
        <v>188.93333333333334</v>
      </c>
      <c r="K13" s="96"/>
      <c r="L13" s="96"/>
      <c r="M13" s="101"/>
    </row>
    <row r="14" spans="2:18" ht="30" customHeight="1" x14ac:dyDescent="0.3">
      <c r="B14" s="557" t="s">
        <v>72</v>
      </c>
      <c r="C14" s="558"/>
      <c r="D14" s="110">
        <f>'PB '!E7</f>
        <v>28</v>
      </c>
      <c r="E14" s="111">
        <f>'PB '!C1</f>
        <v>0</v>
      </c>
      <c r="F14" s="112">
        <f>'PB '!F7</f>
        <v>31</v>
      </c>
      <c r="G14" s="111">
        <f>'PB '!C1</f>
        <v>0</v>
      </c>
      <c r="H14" s="113">
        <f>'PB '!G7</f>
        <v>4</v>
      </c>
      <c r="I14" s="114">
        <v>188.94</v>
      </c>
      <c r="J14" s="115">
        <f t="shared" si="0"/>
        <v>25.192</v>
      </c>
      <c r="K14" s="96"/>
      <c r="L14" s="96"/>
      <c r="M14" s="101"/>
    </row>
    <row r="15" spans="2:18" ht="30" customHeight="1" x14ac:dyDescent="0.3">
      <c r="B15" s="557" t="s">
        <v>73</v>
      </c>
      <c r="C15" s="558"/>
      <c r="D15" s="110">
        <f>'PB '!E7</f>
        <v>28</v>
      </c>
      <c r="E15" s="111">
        <f>'PB '!C1</f>
        <v>0</v>
      </c>
      <c r="F15" s="112">
        <f>'PB '!F7</f>
        <v>31</v>
      </c>
      <c r="G15" s="111">
        <f>'PB '!C1</f>
        <v>0</v>
      </c>
      <c r="H15" s="113">
        <f>'PB '!G7</f>
        <v>4</v>
      </c>
      <c r="I15" s="114">
        <v>10127.06</v>
      </c>
      <c r="J15" s="115">
        <f t="shared" si="0"/>
        <v>1350.2746666666667</v>
      </c>
      <c r="K15" s="96"/>
      <c r="L15" s="96"/>
      <c r="M15" s="101"/>
    </row>
    <row r="16" spans="2:18" ht="30" customHeight="1" x14ac:dyDescent="0.3">
      <c r="B16" s="557" t="str">
        <f>'PB '!L5</f>
        <v>Travel Wages</v>
      </c>
      <c r="C16" s="559"/>
      <c r="D16" s="110"/>
      <c r="E16" s="111"/>
      <c r="F16" s="112"/>
      <c r="G16" s="111"/>
      <c r="H16" s="113"/>
      <c r="I16" s="116"/>
      <c r="J16" s="115">
        <f>'PB '!L7</f>
        <v>75.566666666666663</v>
      </c>
      <c r="K16" s="96"/>
      <c r="L16" s="96"/>
      <c r="M16" s="101"/>
    </row>
    <row r="17" spans="2:13" ht="30" customHeight="1" x14ac:dyDescent="0.3">
      <c r="B17" s="557" t="s">
        <v>156</v>
      </c>
      <c r="C17" s="559"/>
      <c r="D17" s="110"/>
      <c r="E17" s="111"/>
      <c r="F17" s="112"/>
      <c r="G17" s="111"/>
      <c r="H17" s="113"/>
      <c r="I17" s="116"/>
      <c r="J17" s="115">
        <f>'PB '!N7</f>
        <v>75.239999999999995</v>
      </c>
      <c r="K17" s="96"/>
      <c r="L17" s="96"/>
      <c r="M17" s="101"/>
    </row>
    <row r="18" spans="2:13" ht="30" customHeight="1" x14ac:dyDescent="0.3">
      <c r="B18" s="560" t="s">
        <v>152</v>
      </c>
      <c r="C18" s="561"/>
      <c r="D18" s="117"/>
      <c r="E18" s="111"/>
      <c r="F18" s="117"/>
      <c r="G18" s="111"/>
      <c r="H18" s="118"/>
      <c r="I18" s="116"/>
      <c r="J18" s="115">
        <f>'PB '!M7</f>
        <v>0</v>
      </c>
      <c r="K18" s="96"/>
      <c r="L18" s="96"/>
      <c r="M18" s="101"/>
    </row>
    <row r="19" spans="2:13" ht="30" customHeight="1" x14ac:dyDescent="0.3">
      <c r="B19" s="95"/>
      <c r="C19" s="96"/>
      <c r="D19" s="96"/>
      <c r="E19" s="96"/>
      <c r="F19" s="565" t="s">
        <v>76</v>
      </c>
      <c r="G19" s="565"/>
      <c r="H19" s="565"/>
      <c r="I19" s="566"/>
      <c r="J19" s="119">
        <f>SUM(J12:J18)</f>
        <v>2017.4733333333331</v>
      </c>
      <c r="K19" s="120" t="s">
        <v>51</v>
      </c>
      <c r="L19" s="121">
        <f>J19</f>
        <v>2017.4733333333331</v>
      </c>
      <c r="M19" s="101"/>
    </row>
    <row r="20" spans="2:13" ht="30" customHeight="1" thickBot="1" x14ac:dyDescent="0.35">
      <c r="B20" s="95"/>
      <c r="C20" s="96"/>
      <c r="D20" s="96"/>
      <c r="E20" s="96"/>
      <c r="F20" s="96"/>
      <c r="G20" s="96"/>
      <c r="H20" s="96"/>
      <c r="I20" s="96"/>
      <c r="J20" s="96"/>
      <c r="K20" s="96"/>
      <c r="L20" s="122">
        <f>L9+L19</f>
        <v>2017.4733333333331</v>
      </c>
      <c r="M20" s="101"/>
    </row>
    <row r="21" spans="2:13" ht="30" customHeight="1" x14ac:dyDescent="0.3">
      <c r="B21" s="95"/>
      <c r="C21" s="96"/>
      <c r="D21" s="96"/>
      <c r="E21" s="96"/>
      <c r="F21" s="96"/>
      <c r="G21" s="96"/>
      <c r="H21" s="96"/>
      <c r="I21" s="96"/>
      <c r="J21" s="96"/>
      <c r="K21" s="96"/>
      <c r="L21" s="123"/>
      <c r="M21" s="101"/>
    </row>
    <row r="22" spans="2:13" ht="30" customHeight="1" x14ac:dyDescent="0.3">
      <c r="B22" s="95"/>
      <c r="C22" s="96"/>
      <c r="D22" s="96"/>
      <c r="E22" s="96"/>
      <c r="F22" s="96"/>
      <c r="G22" s="96"/>
      <c r="H22" s="96"/>
      <c r="I22" s="96"/>
      <c r="J22" s="96"/>
      <c r="K22" s="96"/>
      <c r="L22" s="123"/>
      <c r="M22" s="101"/>
    </row>
    <row r="23" spans="2:13" ht="30" customHeight="1" x14ac:dyDescent="0.3">
      <c r="B23" s="557" t="s">
        <v>77</v>
      </c>
      <c r="C23" s="558"/>
      <c r="D23" s="558"/>
      <c r="E23" s="558"/>
      <c r="F23" s="558"/>
      <c r="G23" s="558"/>
      <c r="H23" s="558"/>
      <c r="I23" s="559"/>
      <c r="J23" s="124"/>
      <c r="K23" s="96"/>
      <c r="L23" s="123"/>
      <c r="M23" s="101"/>
    </row>
    <row r="24" spans="2:13" ht="30" customHeight="1" x14ac:dyDescent="0.3">
      <c r="B24" s="560" t="s">
        <v>78</v>
      </c>
      <c r="C24" s="561"/>
      <c r="D24" s="561"/>
      <c r="E24" s="561"/>
      <c r="F24" s="561"/>
      <c r="G24" s="561"/>
      <c r="H24" s="561"/>
      <c r="I24" s="561"/>
      <c r="J24" s="114">
        <f>'PB '!Q7</f>
        <v>0</v>
      </c>
      <c r="K24" s="96"/>
      <c r="L24" s="123"/>
      <c r="M24" s="101"/>
    </row>
    <row r="25" spans="2:13" ht="30" customHeight="1" x14ac:dyDescent="0.3">
      <c r="B25" s="560" t="s">
        <v>79</v>
      </c>
      <c r="C25" s="561"/>
      <c r="D25" s="561"/>
      <c r="E25" s="561"/>
      <c r="F25" s="561"/>
      <c r="G25" s="561"/>
      <c r="H25" s="561"/>
      <c r="I25" s="561"/>
      <c r="J25" s="114">
        <f>'PB '!R7</f>
        <v>7000</v>
      </c>
      <c r="K25" s="96"/>
      <c r="L25" s="123"/>
      <c r="M25" s="101"/>
    </row>
    <row r="26" spans="2:13" ht="30" customHeight="1" x14ac:dyDescent="0.3">
      <c r="B26" s="560" t="s">
        <v>80</v>
      </c>
      <c r="C26" s="561"/>
      <c r="D26" s="561"/>
      <c r="E26" s="561"/>
      <c r="F26" s="561"/>
      <c r="G26" s="561"/>
      <c r="H26" s="561"/>
      <c r="I26" s="561"/>
      <c r="J26" s="114">
        <f>'PB '!S7</f>
        <v>0</v>
      </c>
      <c r="K26" s="96"/>
      <c r="L26" s="123"/>
      <c r="M26" s="101"/>
    </row>
    <row r="27" spans="2:13" ht="30" customHeight="1" x14ac:dyDescent="0.3">
      <c r="B27" s="560" t="s">
        <v>81</v>
      </c>
      <c r="C27" s="561"/>
      <c r="D27" s="561"/>
      <c r="E27" s="561"/>
      <c r="F27" s="561"/>
      <c r="G27" s="561"/>
      <c r="H27" s="561"/>
      <c r="I27" s="561"/>
      <c r="J27" s="114">
        <v>0</v>
      </c>
      <c r="K27" s="96"/>
      <c r="L27" s="123"/>
      <c r="M27" s="101"/>
    </row>
    <row r="28" spans="2:13" ht="30" customHeight="1" x14ac:dyDescent="0.3">
      <c r="B28" s="557" t="s">
        <v>82</v>
      </c>
      <c r="C28" s="558"/>
      <c r="D28" s="558"/>
      <c r="E28" s="558"/>
      <c r="F28" s="558"/>
      <c r="G28" s="558"/>
      <c r="H28" s="558"/>
      <c r="I28" s="559"/>
      <c r="J28" s="114">
        <f>'PB '!T7</f>
        <v>0</v>
      </c>
      <c r="K28" s="96"/>
      <c r="L28" s="123"/>
      <c r="M28" s="101"/>
    </row>
    <row r="29" spans="2:13" ht="30" customHeight="1" thickBot="1" x14ac:dyDescent="0.35">
      <c r="B29" s="560"/>
      <c r="C29" s="561"/>
      <c r="D29" s="561"/>
      <c r="E29" s="561"/>
      <c r="F29" s="561"/>
      <c r="G29" s="561"/>
      <c r="H29" s="561"/>
      <c r="I29" s="561"/>
      <c r="J29" s="114"/>
      <c r="K29" s="96"/>
      <c r="L29" s="123"/>
      <c r="M29" s="101"/>
    </row>
    <row r="30" spans="2:13" ht="30" customHeight="1" thickBot="1" x14ac:dyDescent="0.35">
      <c r="B30" s="95"/>
      <c r="C30" s="96"/>
      <c r="D30" s="96"/>
      <c r="E30" s="96"/>
      <c r="F30" s="573" t="s">
        <v>83</v>
      </c>
      <c r="G30" s="574"/>
      <c r="H30" s="574"/>
      <c r="I30" s="575"/>
      <c r="J30" s="114">
        <f>SUM(J24:J28)</f>
        <v>7000</v>
      </c>
      <c r="K30" s="96" t="s">
        <v>51</v>
      </c>
      <c r="L30" s="125">
        <f>J30</f>
        <v>7000</v>
      </c>
      <c r="M30" s="101"/>
    </row>
    <row r="31" spans="2:13" ht="30" customHeight="1" x14ac:dyDescent="0.3">
      <c r="B31" s="95"/>
      <c r="C31" s="96"/>
      <c r="D31" s="96"/>
      <c r="E31" s="96"/>
      <c r="F31" s="96"/>
      <c r="G31" s="96"/>
      <c r="H31" s="96"/>
      <c r="I31" s="96"/>
      <c r="J31" s="96"/>
      <c r="K31" s="96"/>
      <c r="L31" s="123"/>
      <c r="M31" s="101"/>
    </row>
    <row r="32" spans="2:13" ht="30" customHeight="1" x14ac:dyDescent="0.3">
      <c r="B32" s="95"/>
      <c r="C32" s="96"/>
      <c r="D32" s="96"/>
      <c r="E32" s="96"/>
      <c r="F32" s="96"/>
      <c r="G32" s="96"/>
      <c r="H32" s="96"/>
      <c r="I32" s="96"/>
      <c r="J32" s="96"/>
      <c r="K32" s="96"/>
      <c r="L32" s="123"/>
      <c r="M32" s="101"/>
    </row>
    <row r="33" spans="2:13" ht="30" customHeight="1" thickBot="1" x14ac:dyDescent="0.35">
      <c r="B33" s="95"/>
      <c r="C33" s="96"/>
      <c r="D33" s="96"/>
      <c r="E33" s="96"/>
      <c r="F33" s="112" t="s">
        <v>84</v>
      </c>
      <c r="G33" s="112"/>
      <c r="H33" s="112"/>
      <c r="I33" s="112"/>
      <c r="J33" s="112"/>
      <c r="K33" s="96" t="s">
        <v>51</v>
      </c>
      <c r="L33" s="126">
        <f>L20-L30</f>
        <v>-4982.5266666666666</v>
      </c>
      <c r="M33" s="101"/>
    </row>
    <row r="34" spans="2:13" ht="30" customHeight="1" x14ac:dyDescent="0.3">
      <c r="B34" s="127"/>
      <c r="C34" s="96"/>
      <c r="D34" s="96"/>
      <c r="E34" s="96"/>
      <c r="F34" s="96"/>
      <c r="G34" s="96"/>
      <c r="H34" s="96"/>
      <c r="I34" s="96" t="s">
        <v>44</v>
      </c>
      <c r="J34" s="96" t="s">
        <v>44</v>
      </c>
      <c r="K34" s="96" t="s">
        <v>44</v>
      </c>
      <c r="L34" s="123" t="s">
        <v>44</v>
      </c>
      <c r="M34" s="101"/>
    </row>
    <row r="35" spans="2:13" ht="30" customHeight="1" x14ac:dyDescent="0.3">
      <c r="B35" s="127"/>
      <c r="C35" s="96"/>
      <c r="D35" s="96"/>
      <c r="E35" s="96"/>
      <c r="F35" s="96"/>
      <c r="G35" s="96"/>
      <c r="H35" s="96"/>
      <c r="I35" s="96"/>
      <c r="J35" s="96"/>
      <c r="K35" s="96"/>
      <c r="L35" s="123"/>
      <c r="M35" s="101"/>
    </row>
    <row r="36" spans="2:13" ht="30" customHeight="1" x14ac:dyDescent="0.3">
      <c r="B36" s="127"/>
      <c r="C36" s="96"/>
      <c r="D36" s="96"/>
      <c r="E36" s="96"/>
      <c r="F36" s="96"/>
      <c r="G36" s="96"/>
      <c r="H36" s="96"/>
      <c r="I36" s="96"/>
      <c r="J36" s="96"/>
      <c r="K36" s="96"/>
      <c r="L36" s="123"/>
      <c r="M36" s="101"/>
    </row>
    <row r="37" spans="2:13" ht="30" customHeight="1" x14ac:dyDescent="0.25">
      <c r="B37" s="576" t="s">
        <v>85</v>
      </c>
      <c r="C37" s="577"/>
      <c r="D37" s="577"/>
      <c r="E37" s="577"/>
      <c r="F37" s="577"/>
      <c r="G37" s="577"/>
      <c r="H37" s="577"/>
      <c r="I37" s="577"/>
      <c r="J37" s="577"/>
      <c r="K37" s="577"/>
      <c r="L37" s="577"/>
      <c r="M37" s="578"/>
    </row>
    <row r="38" spans="2:13" ht="30" customHeight="1" x14ac:dyDescent="0.25">
      <c r="B38" s="576" t="s">
        <v>86</v>
      </c>
      <c r="C38" s="577"/>
      <c r="D38" s="577"/>
      <c r="E38" s="577"/>
      <c r="F38" s="577"/>
      <c r="G38" s="577"/>
      <c r="H38" s="577"/>
      <c r="I38" s="577"/>
      <c r="J38" s="577"/>
      <c r="K38" s="577"/>
      <c r="L38" s="577"/>
      <c r="M38" s="578"/>
    </row>
    <row r="39" spans="2:13" ht="30" customHeight="1" x14ac:dyDescent="0.3">
      <c r="B39" s="95"/>
      <c r="C39" s="604" t="s">
        <v>204</v>
      </c>
      <c r="D39" s="604"/>
      <c r="E39" s="604"/>
      <c r="F39" s="604"/>
      <c r="G39" s="604"/>
      <c r="H39" s="604"/>
      <c r="I39" s="604"/>
      <c r="J39" s="604"/>
      <c r="K39" s="604"/>
      <c r="L39" s="96"/>
      <c r="M39" s="101"/>
    </row>
    <row r="40" spans="2:13" ht="30" customHeight="1" x14ac:dyDescent="0.3">
      <c r="B40" s="95"/>
      <c r="C40" s="604"/>
      <c r="D40" s="604"/>
      <c r="E40" s="604"/>
      <c r="F40" s="604"/>
      <c r="G40" s="604"/>
      <c r="H40" s="604"/>
      <c r="I40" s="604"/>
      <c r="J40" s="604"/>
      <c r="K40" s="604"/>
      <c r="L40" s="96"/>
      <c r="M40" s="101"/>
    </row>
    <row r="41" spans="2:13" ht="30" customHeight="1" x14ac:dyDescent="0.3">
      <c r="B41" s="567"/>
      <c r="C41" s="568"/>
      <c r="D41" s="568"/>
      <c r="E41" s="96"/>
      <c r="F41" s="96"/>
      <c r="G41" s="96"/>
      <c r="H41" s="96"/>
      <c r="I41" s="96"/>
      <c r="J41" s="568"/>
      <c r="K41" s="568"/>
      <c r="L41" s="568"/>
      <c r="M41" s="101"/>
    </row>
    <row r="42" spans="2:13" ht="30" customHeight="1" x14ac:dyDescent="0.3">
      <c r="B42" s="569" t="s">
        <v>87</v>
      </c>
      <c r="C42" s="570"/>
      <c r="D42" s="570"/>
      <c r="E42" s="96"/>
      <c r="F42" s="96"/>
      <c r="G42" s="96"/>
      <c r="H42" s="96"/>
      <c r="I42" s="128" t="s">
        <v>88</v>
      </c>
      <c r="J42" s="128"/>
      <c r="K42" s="128"/>
      <c r="L42" s="102"/>
      <c r="M42" s="101"/>
    </row>
    <row r="43" spans="2:13" ht="30" customHeight="1" x14ac:dyDescent="0.3">
      <c r="B43" s="95" t="s">
        <v>44</v>
      </c>
      <c r="C43" s="96"/>
      <c r="D43" s="96"/>
      <c r="E43" s="96"/>
      <c r="F43" s="96"/>
      <c r="G43" s="96"/>
      <c r="H43" s="96"/>
      <c r="I43" s="96"/>
      <c r="J43" s="570"/>
      <c r="K43" s="570"/>
      <c r="L43" s="570"/>
      <c r="M43" s="101"/>
    </row>
    <row r="44" spans="2:13" ht="30" customHeight="1" x14ac:dyDescent="0.3">
      <c r="B44" s="95" t="s">
        <v>64</v>
      </c>
      <c r="C44" s="570">
        <f>C6</f>
        <v>0</v>
      </c>
      <c r="D44" s="570"/>
      <c r="E44" s="570"/>
      <c r="F44" s="96"/>
      <c r="G44" s="96"/>
      <c r="H44" s="96"/>
      <c r="I44" s="99" t="s">
        <v>104</v>
      </c>
      <c r="J44" s="571">
        <f>+'PB '!C7</f>
        <v>0</v>
      </c>
      <c r="K44" s="571"/>
      <c r="L44" s="571"/>
      <c r="M44" s="572"/>
    </row>
    <row r="45" spans="2:13" ht="30" customHeight="1" thickBot="1" x14ac:dyDescent="0.35">
      <c r="B45" s="129"/>
      <c r="C45" s="130"/>
      <c r="D45" s="130"/>
      <c r="E45" s="130"/>
      <c r="F45" s="130"/>
      <c r="G45" s="130"/>
      <c r="H45" s="130"/>
      <c r="I45" s="130"/>
      <c r="J45" s="131"/>
      <c r="K45" s="132"/>
      <c r="L45" s="132"/>
      <c r="M45" s="133"/>
    </row>
    <row r="47" spans="2:13" ht="25.35" customHeight="1" thickBot="1" x14ac:dyDescent="0.3"/>
    <row r="48" spans="2:13" ht="30" customHeight="1" x14ac:dyDescent="0.3">
      <c r="B48" s="584"/>
      <c r="C48" s="585"/>
      <c r="D48" s="585"/>
      <c r="E48" s="585"/>
      <c r="F48" s="585"/>
      <c r="G48" s="585"/>
      <c r="H48" s="585"/>
      <c r="I48" s="585"/>
      <c r="J48" s="585"/>
      <c r="K48" s="585"/>
      <c r="L48" s="585"/>
      <c r="M48" s="586"/>
    </row>
    <row r="49" spans="2:15" ht="30" customHeight="1" x14ac:dyDescent="0.3">
      <c r="B49" s="587" t="s">
        <v>62</v>
      </c>
      <c r="C49" s="588"/>
      <c r="D49" s="588"/>
      <c r="E49" s="588"/>
      <c r="F49" s="588"/>
      <c r="G49" s="588"/>
      <c r="H49" s="588"/>
      <c r="I49" s="588"/>
      <c r="J49" s="588"/>
      <c r="K49" s="588"/>
      <c r="L49" s="588"/>
      <c r="M49" s="589"/>
      <c r="O49">
        <v>2</v>
      </c>
    </row>
    <row r="50" spans="2:15" ht="30" customHeight="1" x14ac:dyDescent="0.3">
      <c r="B50" s="95" t="s">
        <v>63</v>
      </c>
      <c r="C50" s="570" t="str">
        <f>C4</f>
        <v>Vessel name</v>
      </c>
      <c r="D50" s="570"/>
      <c r="E50" s="570"/>
      <c r="F50" s="96"/>
      <c r="G50" s="570"/>
      <c r="H50" s="570"/>
      <c r="I50" s="570"/>
      <c r="J50" s="96" t="s">
        <v>44</v>
      </c>
      <c r="K50" s="97"/>
      <c r="L50" s="582"/>
      <c r="M50" s="583"/>
    </row>
    <row r="51" spans="2:15" ht="30" customHeight="1" x14ac:dyDescent="0.3">
      <c r="B51" s="98"/>
      <c r="C51" s="96"/>
      <c r="D51" s="96"/>
      <c r="E51" s="99"/>
      <c r="F51" s="100"/>
      <c r="G51" s="100"/>
      <c r="H51" s="100"/>
      <c r="I51" s="96"/>
      <c r="J51" s="96"/>
      <c r="K51" s="97"/>
      <c r="L51" s="97"/>
      <c r="M51" s="101"/>
    </row>
    <row r="52" spans="2:15" ht="30" customHeight="1" x14ac:dyDescent="0.3">
      <c r="B52" s="95" t="s">
        <v>64</v>
      </c>
      <c r="C52" s="570">
        <f>+'PB '!C8</f>
        <v>0</v>
      </c>
      <c r="D52" s="570"/>
      <c r="E52" s="570"/>
      <c r="F52" s="570"/>
      <c r="G52" s="102"/>
      <c r="H52" s="96" t="s">
        <v>21</v>
      </c>
      <c r="I52" s="603" t="s">
        <v>126</v>
      </c>
      <c r="J52" s="603"/>
      <c r="K52" s="96"/>
      <c r="L52" s="582"/>
      <c r="M52" s="583"/>
    </row>
    <row r="53" spans="2:15" ht="30" customHeight="1" x14ac:dyDescent="0.3">
      <c r="B53" s="95"/>
      <c r="C53" s="96"/>
      <c r="D53" s="96"/>
      <c r="E53" s="96"/>
      <c r="F53" s="96"/>
      <c r="G53" s="96" t="s">
        <v>65</v>
      </c>
      <c r="H53" s="96"/>
      <c r="I53" s="96"/>
      <c r="J53" s="96"/>
      <c r="K53" s="96"/>
      <c r="L53" s="96"/>
      <c r="M53" s="101"/>
    </row>
    <row r="54" spans="2:15" ht="30" customHeight="1" x14ac:dyDescent="0.3">
      <c r="B54" s="95"/>
      <c r="C54" s="96"/>
      <c r="D54" s="96"/>
      <c r="E54" s="96"/>
      <c r="F54" s="96"/>
      <c r="G54" s="96" t="s">
        <v>44</v>
      </c>
      <c r="H54" s="96"/>
      <c r="I54" s="96"/>
      <c r="J54" s="96"/>
      <c r="K54" s="96"/>
      <c r="L54" s="96"/>
      <c r="M54" s="101"/>
    </row>
    <row r="55" spans="2:15" ht="30" customHeight="1" x14ac:dyDescent="0.3">
      <c r="B55" s="95"/>
      <c r="C55" s="96"/>
      <c r="D55" s="96"/>
      <c r="E55" s="96"/>
      <c r="F55" s="96"/>
      <c r="G55" s="103" t="s">
        <v>161</v>
      </c>
      <c r="H55" s="104"/>
      <c r="I55" s="103"/>
      <c r="J55" s="103"/>
      <c r="K55" s="96" t="s">
        <v>51</v>
      </c>
      <c r="L55" s="105">
        <f>'PB '!V8</f>
        <v>0</v>
      </c>
      <c r="M55" s="101"/>
    </row>
    <row r="56" spans="2:15" ht="30" customHeight="1" x14ac:dyDescent="0.3">
      <c r="B56" s="95"/>
      <c r="C56" s="96"/>
      <c r="D56" s="96"/>
      <c r="E56" s="96"/>
      <c r="F56" s="96"/>
      <c r="G56" s="96"/>
      <c r="H56" s="96"/>
      <c r="I56" s="96"/>
      <c r="J56" s="96"/>
      <c r="K56" s="96"/>
      <c r="L56" s="96"/>
      <c r="M56" s="101"/>
    </row>
    <row r="57" spans="2:15" ht="30" customHeight="1" x14ac:dyDescent="0.3">
      <c r="B57" s="590" t="s">
        <v>67</v>
      </c>
      <c r="C57" s="591"/>
      <c r="D57" s="592" t="s">
        <v>60</v>
      </c>
      <c r="E57" s="593"/>
      <c r="F57" s="579" t="s">
        <v>61</v>
      </c>
      <c r="G57" s="580"/>
      <c r="H57" s="106" t="s">
        <v>68</v>
      </c>
      <c r="I57" s="107" t="s">
        <v>69</v>
      </c>
      <c r="J57" s="106" t="s">
        <v>51</v>
      </c>
      <c r="K57" s="108"/>
      <c r="L57" s="108"/>
      <c r="M57" s="109"/>
    </row>
    <row r="58" spans="2:15" ht="30" customHeight="1" x14ac:dyDescent="0.3">
      <c r="B58" s="560" t="s">
        <v>70</v>
      </c>
      <c r="C58" s="581"/>
      <c r="D58" s="110">
        <f>'PB '!E8</f>
        <v>1</v>
      </c>
      <c r="E58" s="111">
        <f>'PB '!C1</f>
        <v>0</v>
      </c>
      <c r="F58" s="112">
        <f>'PB '!F8</f>
        <v>31</v>
      </c>
      <c r="G58" s="111">
        <f>'PB '!C1</f>
        <v>0</v>
      </c>
      <c r="H58" s="113">
        <f>+'PB '!G8</f>
        <v>30</v>
      </c>
      <c r="I58" s="114">
        <v>1464</v>
      </c>
      <c r="J58" s="115">
        <f>I58*H58/30</f>
        <v>1464</v>
      </c>
      <c r="K58" s="96"/>
      <c r="L58" s="96"/>
      <c r="M58" s="101"/>
    </row>
    <row r="59" spans="2:15" ht="30" customHeight="1" x14ac:dyDescent="0.3">
      <c r="B59" s="560" t="s">
        <v>71</v>
      </c>
      <c r="C59" s="581"/>
      <c r="D59" s="110">
        <f>'PB '!E8</f>
        <v>1</v>
      </c>
      <c r="E59" s="111">
        <f>'PB '!C1</f>
        <v>0</v>
      </c>
      <c r="F59" s="112">
        <f>'PB '!F8</f>
        <v>31</v>
      </c>
      <c r="G59" s="111">
        <f>'PB '!C1</f>
        <v>0</v>
      </c>
      <c r="H59" s="113">
        <f>+'PB '!G8</f>
        <v>30</v>
      </c>
      <c r="I59" s="114">
        <v>915</v>
      </c>
      <c r="J59" s="115">
        <f t="shared" ref="J59:J61" si="1">I59*H59/30</f>
        <v>915</v>
      </c>
      <c r="K59" s="96"/>
      <c r="L59" s="96"/>
      <c r="M59" s="101"/>
    </row>
    <row r="60" spans="2:15" ht="30" customHeight="1" x14ac:dyDescent="0.3">
      <c r="B60" s="557" t="s">
        <v>72</v>
      </c>
      <c r="C60" s="558"/>
      <c r="D60" s="110">
        <f>'PB '!E8</f>
        <v>1</v>
      </c>
      <c r="E60" s="111">
        <f>'PB '!C1</f>
        <v>0</v>
      </c>
      <c r="F60" s="112">
        <f>'PB '!F8</f>
        <v>31</v>
      </c>
      <c r="G60" s="111">
        <f>'PB '!C1</f>
        <v>0</v>
      </c>
      <c r="H60" s="113">
        <f>+'PB '!G8</f>
        <v>30</v>
      </c>
      <c r="I60" s="114">
        <v>192.35</v>
      </c>
      <c r="J60" s="115">
        <f t="shared" si="1"/>
        <v>192.35</v>
      </c>
      <c r="K60" s="96"/>
      <c r="L60" s="96"/>
      <c r="M60" s="101"/>
    </row>
    <row r="61" spans="2:15" ht="30" customHeight="1" x14ac:dyDescent="0.3">
      <c r="B61" s="557" t="s">
        <v>73</v>
      </c>
      <c r="C61" s="558"/>
      <c r="D61" s="110">
        <f>'PB '!E8</f>
        <v>1</v>
      </c>
      <c r="E61" s="111">
        <f>'PB '!C1</f>
        <v>0</v>
      </c>
      <c r="F61" s="112">
        <f>'PB '!F8</f>
        <v>31</v>
      </c>
      <c r="G61" s="111">
        <f>'PB '!C1</f>
        <v>0</v>
      </c>
      <c r="H61" s="113">
        <f>+'PB '!G8</f>
        <v>30</v>
      </c>
      <c r="I61" s="114">
        <v>8428.65</v>
      </c>
      <c r="J61" s="115">
        <f t="shared" si="1"/>
        <v>8428.65</v>
      </c>
      <c r="K61" s="96"/>
      <c r="L61" s="96"/>
      <c r="M61" s="101"/>
    </row>
    <row r="62" spans="2:15" ht="30" customHeight="1" x14ac:dyDescent="0.3">
      <c r="B62" s="562" t="str">
        <f>'PB '!L5</f>
        <v>Travel Wages</v>
      </c>
      <c r="C62" s="563"/>
      <c r="D62" s="110"/>
      <c r="E62" s="111"/>
      <c r="F62" s="112"/>
      <c r="G62" s="111"/>
      <c r="H62" s="113"/>
      <c r="I62" s="134"/>
      <c r="J62" s="134">
        <f>'PB '!L8</f>
        <v>0</v>
      </c>
      <c r="K62" s="96"/>
      <c r="L62" s="96"/>
      <c r="M62" s="101"/>
    </row>
    <row r="63" spans="2:15" ht="30" customHeight="1" x14ac:dyDescent="0.3">
      <c r="B63" s="564" t="s">
        <v>153</v>
      </c>
      <c r="C63" s="561"/>
      <c r="D63" s="117"/>
      <c r="E63" s="111"/>
      <c r="F63" s="117"/>
      <c r="G63" s="111"/>
      <c r="H63" s="118"/>
      <c r="I63" s="114"/>
      <c r="J63" s="114">
        <f>'PB '!N8</f>
        <v>0</v>
      </c>
      <c r="K63" s="96"/>
      <c r="L63" s="96"/>
      <c r="M63" s="101"/>
    </row>
    <row r="64" spans="2:15" ht="30" customHeight="1" x14ac:dyDescent="0.3">
      <c r="B64" s="95"/>
      <c r="C64" s="96"/>
      <c r="D64" s="96"/>
      <c r="E64" s="96"/>
      <c r="F64" s="565" t="s">
        <v>76</v>
      </c>
      <c r="G64" s="565"/>
      <c r="H64" s="565"/>
      <c r="I64" s="566"/>
      <c r="J64" s="119">
        <f>SUM(J58:J63)</f>
        <v>11000</v>
      </c>
      <c r="K64" s="120" t="s">
        <v>51</v>
      </c>
      <c r="L64" s="121">
        <f>J64</f>
        <v>11000</v>
      </c>
      <c r="M64" s="101"/>
    </row>
    <row r="65" spans="2:13" ht="30" customHeight="1" thickBot="1" x14ac:dyDescent="0.35">
      <c r="B65" s="95"/>
      <c r="C65" s="96"/>
      <c r="D65" s="96"/>
      <c r="E65" s="96"/>
      <c r="F65" s="96"/>
      <c r="G65" s="96"/>
      <c r="H65" s="96"/>
      <c r="I65" s="96"/>
      <c r="J65" s="96"/>
      <c r="K65" s="96"/>
      <c r="L65" s="122">
        <f>L64</f>
        <v>11000</v>
      </c>
      <c r="M65" s="101"/>
    </row>
    <row r="66" spans="2:13" ht="30" customHeight="1" x14ac:dyDescent="0.3">
      <c r="B66" s="95"/>
      <c r="C66" s="96"/>
      <c r="D66" s="96"/>
      <c r="E66" s="96"/>
      <c r="F66" s="96"/>
      <c r="G66" s="96"/>
      <c r="H66" s="96"/>
      <c r="I66" s="96"/>
      <c r="J66" s="96"/>
      <c r="K66" s="96"/>
      <c r="L66" s="123"/>
      <c r="M66" s="101"/>
    </row>
    <row r="67" spans="2:13" ht="30" customHeight="1" x14ac:dyDescent="0.3">
      <c r="B67" s="95"/>
      <c r="C67" s="96"/>
      <c r="D67" s="96"/>
      <c r="E67" s="96"/>
      <c r="F67" s="96"/>
      <c r="G67" s="96"/>
      <c r="H67" s="96"/>
      <c r="I67" s="96"/>
      <c r="J67" s="96"/>
      <c r="K67" s="96"/>
      <c r="L67" s="123"/>
      <c r="M67" s="101"/>
    </row>
    <row r="68" spans="2:13" ht="30" customHeight="1" x14ac:dyDescent="0.3">
      <c r="B68" s="557" t="s">
        <v>77</v>
      </c>
      <c r="C68" s="558"/>
      <c r="D68" s="558"/>
      <c r="E68" s="558"/>
      <c r="F68" s="558"/>
      <c r="G68" s="558"/>
      <c r="H68" s="558"/>
      <c r="I68" s="559"/>
      <c r="J68" s="124"/>
      <c r="K68" s="96"/>
      <c r="L68" s="123"/>
      <c r="M68" s="101"/>
    </row>
    <row r="69" spans="2:13" ht="30" customHeight="1" x14ac:dyDescent="0.3">
      <c r="B69" s="560" t="s">
        <v>78</v>
      </c>
      <c r="C69" s="561"/>
      <c r="D69" s="561"/>
      <c r="E69" s="561"/>
      <c r="F69" s="561"/>
      <c r="G69" s="561"/>
      <c r="H69" s="561"/>
      <c r="I69" s="561"/>
      <c r="J69" s="114">
        <f>'PB '!Q8</f>
        <v>0</v>
      </c>
      <c r="K69" s="96"/>
      <c r="L69" s="123"/>
      <c r="M69" s="101"/>
    </row>
    <row r="70" spans="2:13" ht="30" customHeight="1" x14ac:dyDescent="0.3">
      <c r="B70" s="560" t="s">
        <v>79</v>
      </c>
      <c r="C70" s="561"/>
      <c r="D70" s="561"/>
      <c r="E70" s="561"/>
      <c r="F70" s="561"/>
      <c r="G70" s="561"/>
      <c r="H70" s="561"/>
      <c r="I70" s="561"/>
      <c r="J70" s="114">
        <f>'PB '!R8</f>
        <v>11000</v>
      </c>
      <c r="K70" s="96"/>
      <c r="L70" s="123"/>
      <c r="M70" s="101"/>
    </row>
    <row r="71" spans="2:13" ht="30" customHeight="1" x14ac:dyDescent="0.3">
      <c r="B71" s="560" t="s">
        <v>80</v>
      </c>
      <c r="C71" s="561"/>
      <c r="D71" s="561"/>
      <c r="E71" s="561"/>
      <c r="F71" s="561"/>
      <c r="G71" s="561"/>
      <c r="H71" s="561"/>
      <c r="I71" s="561"/>
      <c r="J71" s="114">
        <f>'PB '!S8</f>
        <v>0</v>
      </c>
      <c r="K71" s="96"/>
      <c r="L71" s="123"/>
      <c r="M71" s="101"/>
    </row>
    <row r="72" spans="2:13" ht="30" customHeight="1" x14ac:dyDescent="0.3">
      <c r="B72" s="560" t="s">
        <v>81</v>
      </c>
      <c r="C72" s="561"/>
      <c r="D72" s="561"/>
      <c r="E72" s="561"/>
      <c r="F72" s="561"/>
      <c r="G72" s="561"/>
      <c r="H72" s="561"/>
      <c r="I72" s="561"/>
      <c r="J72" s="114">
        <v>0</v>
      </c>
      <c r="K72" s="96"/>
      <c r="L72" s="123"/>
      <c r="M72" s="101"/>
    </row>
    <row r="73" spans="2:13" ht="30" customHeight="1" x14ac:dyDescent="0.3">
      <c r="B73" s="557" t="s">
        <v>82</v>
      </c>
      <c r="C73" s="558"/>
      <c r="D73" s="558"/>
      <c r="E73" s="558"/>
      <c r="F73" s="558"/>
      <c r="G73" s="558"/>
      <c r="H73" s="558"/>
      <c r="I73" s="559"/>
      <c r="J73" s="114">
        <f>'PB '!T8</f>
        <v>0</v>
      </c>
      <c r="K73" s="96"/>
      <c r="L73" s="123"/>
      <c r="M73" s="101"/>
    </row>
    <row r="74" spans="2:13" ht="30" customHeight="1" thickBot="1" x14ac:dyDescent="0.35">
      <c r="B74" s="560"/>
      <c r="C74" s="561"/>
      <c r="D74" s="561"/>
      <c r="E74" s="561"/>
      <c r="F74" s="561"/>
      <c r="G74" s="561"/>
      <c r="H74" s="561"/>
      <c r="I74" s="561"/>
      <c r="J74" s="114"/>
      <c r="K74" s="96"/>
      <c r="L74" s="123"/>
      <c r="M74" s="101"/>
    </row>
    <row r="75" spans="2:13" ht="30" customHeight="1" thickBot="1" x14ac:dyDescent="0.35">
      <c r="B75" s="95"/>
      <c r="C75" s="96"/>
      <c r="D75" s="96"/>
      <c r="E75" s="96"/>
      <c r="F75" s="573" t="s">
        <v>83</v>
      </c>
      <c r="G75" s="574"/>
      <c r="H75" s="574"/>
      <c r="I75" s="575"/>
      <c r="J75" s="114">
        <f>SUM(J69:J73)</f>
        <v>11000</v>
      </c>
      <c r="K75" s="96" t="s">
        <v>51</v>
      </c>
      <c r="L75" s="125">
        <f>J75</f>
        <v>11000</v>
      </c>
      <c r="M75" s="101"/>
    </row>
    <row r="76" spans="2:13" ht="30" customHeight="1" x14ac:dyDescent="0.3">
      <c r="B76" s="95"/>
      <c r="C76" s="96"/>
      <c r="D76" s="96"/>
      <c r="E76" s="96"/>
      <c r="F76" s="96"/>
      <c r="G76" s="96"/>
      <c r="H76" s="96"/>
      <c r="I76" s="96"/>
      <c r="J76" s="96"/>
      <c r="K76" s="96"/>
      <c r="L76" s="123"/>
      <c r="M76" s="101"/>
    </row>
    <row r="77" spans="2:13" ht="30" customHeight="1" x14ac:dyDescent="0.3">
      <c r="B77" s="95"/>
      <c r="C77" s="96"/>
      <c r="D77" s="96"/>
      <c r="E77" s="96"/>
      <c r="F77" s="96"/>
      <c r="G77" s="96"/>
      <c r="H77" s="96"/>
      <c r="I77" s="96"/>
      <c r="J77" s="96"/>
      <c r="K77" s="96"/>
      <c r="L77" s="123"/>
      <c r="M77" s="101"/>
    </row>
    <row r="78" spans="2:13" ht="30" customHeight="1" thickBot="1" x14ac:dyDescent="0.35">
      <c r="B78" s="95"/>
      <c r="C78" s="96"/>
      <c r="D78" s="96"/>
      <c r="E78" s="96"/>
      <c r="F78" s="112" t="s">
        <v>84</v>
      </c>
      <c r="G78" s="112"/>
      <c r="H78" s="112"/>
      <c r="I78" s="112"/>
      <c r="J78" s="112"/>
      <c r="K78" s="96" t="s">
        <v>51</v>
      </c>
      <c r="L78" s="126">
        <f>L65-L75</f>
        <v>0</v>
      </c>
      <c r="M78" s="101"/>
    </row>
    <row r="79" spans="2:13" ht="30" customHeight="1" x14ac:dyDescent="0.3">
      <c r="B79" s="127"/>
      <c r="C79" s="96"/>
      <c r="D79" s="96"/>
      <c r="E79" s="96"/>
      <c r="F79" s="96"/>
      <c r="G79" s="96"/>
      <c r="H79" s="96"/>
      <c r="I79" s="96" t="s">
        <v>44</v>
      </c>
      <c r="J79" s="96" t="s">
        <v>44</v>
      </c>
      <c r="K79" s="96" t="s">
        <v>44</v>
      </c>
      <c r="L79" s="123" t="s">
        <v>44</v>
      </c>
      <c r="M79" s="101"/>
    </row>
    <row r="80" spans="2:13" ht="30" customHeight="1" x14ac:dyDescent="0.3">
      <c r="B80" s="127"/>
      <c r="C80" s="96"/>
      <c r="D80" s="96"/>
      <c r="E80" s="96"/>
      <c r="F80" s="96"/>
      <c r="G80" s="96"/>
      <c r="H80" s="96"/>
      <c r="I80" s="96"/>
      <c r="J80" s="96"/>
      <c r="K80" s="96"/>
      <c r="L80" s="123"/>
      <c r="M80" s="101"/>
    </row>
    <row r="81" spans="2:15" ht="30" customHeight="1" x14ac:dyDescent="0.3">
      <c r="B81" s="127"/>
      <c r="C81" s="96"/>
      <c r="D81" s="96"/>
      <c r="E81" s="96"/>
      <c r="F81" s="96"/>
      <c r="G81" s="96"/>
      <c r="H81" s="96"/>
      <c r="I81" s="96"/>
      <c r="J81" s="96"/>
      <c r="K81" s="96"/>
      <c r="L81" s="123"/>
      <c r="M81" s="101"/>
    </row>
    <row r="82" spans="2:15" ht="30" customHeight="1" x14ac:dyDescent="0.25">
      <c r="B82" s="576" t="s">
        <v>85</v>
      </c>
      <c r="C82" s="577"/>
      <c r="D82" s="577"/>
      <c r="E82" s="577"/>
      <c r="F82" s="577"/>
      <c r="G82" s="577"/>
      <c r="H82" s="577"/>
      <c r="I82" s="577"/>
      <c r="J82" s="577"/>
      <c r="K82" s="577"/>
      <c r="L82" s="577"/>
      <c r="M82" s="578"/>
    </row>
    <row r="83" spans="2:15" ht="30" customHeight="1" x14ac:dyDescent="0.25">
      <c r="B83" s="576" t="s">
        <v>86</v>
      </c>
      <c r="C83" s="577"/>
      <c r="D83" s="577"/>
      <c r="E83" s="577"/>
      <c r="F83" s="577"/>
      <c r="G83" s="577"/>
      <c r="H83" s="577"/>
      <c r="I83" s="577"/>
      <c r="J83" s="577"/>
      <c r="K83" s="577"/>
      <c r="L83" s="577"/>
      <c r="M83" s="578"/>
    </row>
    <row r="84" spans="2:15" ht="30" customHeight="1" x14ac:dyDescent="0.3">
      <c r="B84" s="95"/>
      <c r="C84" s="96"/>
      <c r="D84" s="96"/>
      <c r="E84" s="96"/>
      <c r="F84" s="96"/>
      <c r="G84" s="96"/>
      <c r="H84" s="96"/>
      <c r="I84" s="96"/>
      <c r="J84" s="96"/>
      <c r="K84" s="96"/>
      <c r="L84" s="96"/>
      <c r="M84" s="101"/>
    </row>
    <row r="85" spans="2:15" ht="30" customHeight="1" x14ac:dyDescent="0.3">
      <c r="B85" s="95"/>
      <c r="C85" s="96"/>
      <c r="D85" s="96"/>
      <c r="E85" s="96"/>
      <c r="F85" s="96"/>
      <c r="G85" s="96"/>
      <c r="H85" s="96"/>
      <c r="I85" s="96"/>
      <c r="J85" s="96"/>
      <c r="K85" s="96"/>
      <c r="L85" s="96"/>
      <c r="M85" s="101"/>
    </row>
    <row r="86" spans="2:15" ht="30" customHeight="1" x14ac:dyDescent="0.3">
      <c r="B86" s="567"/>
      <c r="C86" s="568"/>
      <c r="D86" s="568"/>
      <c r="E86" s="96"/>
      <c r="F86" s="96"/>
      <c r="G86" s="96"/>
      <c r="H86" s="96"/>
      <c r="I86" s="96"/>
      <c r="J86" s="568"/>
      <c r="K86" s="568"/>
      <c r="L86" s="568"/>
      <c r="M86" s="101"/>
    </row>
    <row r="87" spans="2:15" ht="30" customHeight="1" x14ac:dyDescent="0.3">
      <c r="B87" s="569" t="s">
        <v>87</v>
      </c>
      <c r="C87" s="570"/>
      <c r="D87" s="570"/>
      <c r="E87" s="96"/>
      <c r="F87" s="96"/>
      <c r="G87" s="96"/>
      <c r="H87" s="96"/>
      <c r="I87" s="128" t="s">
        <v>88</v>
      </c>
      <c r="J87" s="128"/>
      <c r="K87" s="128"/>
      <c r="L87" s="102"/>
      <c r="M87" s="101"/>
    </row>
    <row r="88" spans="2:15" ht="30" customHeight="1" x14ac:dyDescent="0.3">
      <c r="B88" s="95" t="s">
        <v>44</v>
      </c>
      <c r="C88" s="96"/>
      <c r="D88" s="96"/>
      <c r="E88" s="96"/>
      <c r="F88" s="96"/>
      <c r="G88" s="96"/>
      <c r="H88" s="96"/>
      <c r="I88" s="96"/>
      <c r="J88" s="570"/>
      <c r="K88" s="570"/>
      <c r="L88" s="570"/>
      <c r="M88" s="101"/>
    </row>
    <row r="89" spans="2:15" ht="30" customHeight="1" x14ac:dyDescent="0.3">
      <c r="B89" s="95" t="s">
        <v>64</v>
      </c>
      <c r="C89" s="570">
        <f>C52</f>
        <v>0</v>
      </c>
      <c r="D89" s="570"/>
      <c r="E89" s="570"/>
      <c r="F89" s="96"/>
      <c r="G89" s="96"/>
      <c r="H89" s="96"/>
      <c r="I89" s="99" t="s">
        <v>104</v>
      </c>
      <c r="J89" s="571">
        <f>+'PB '!C7</f>
        <v>0</v>
      </c>
      <c r="K89" s="571"/>
      <c r="L89" s="571"/>
      <c r="M89" s="572"/>
    </row>
    <row r="90" spans="2:15" ht="30" customHeight="1" thickBot="1" x14ac:dyDescent="0.35">
      <c r="B90" s="129"/>
      <c r="C90" s="130"/>
      <c r="D90" s="130"/>
      <c r="E90" s="130"/>
      <c r="F90" s="130"/>
      <c r="G90" s="130"/>
      <c r="H90" s="130"/>
      <c r="I90" s="130"/>
      <c r="J90" s="131"/>
      <c r="K90" s="132"/>
      <c r="L90" s="132"/>
      <c r="M90" s="133"/>
    </row>
    <row r="91" spans="2:15" ht="30" customHeight="1" x14ac:dyDescent="0.35">
      <c r="B91" s="135"/>
      <c r="C91" s="135"/>
      <c r="D91" s="135"/>
      <c r="E91" s="135"/>
      <c r="F91" s="135"/>
      <c r="G91" s="135"/>
      <c r="H91" s="135"/>
      <c r="I91" s="135"/>
      <c r="J91" s="135"/>
      <c r="K91" s="135"/>
      <c r="L91" s="135"/>
      <c r="M91" s="135"/>
    </row>
    <row r="92" spans="2:15" ht="30" customHeight="1" x14ac:dyDescent="0.35">
      <c r="B92" s="135"/>
      <c r="C92" s="135"/>
      <c r="D92" s="135"/>
      <c r="E92" s="135"/>
      <c r="F92" s="135"/>
      <c r="G92" s="135"/>
      <c r="H92" s="135"/>
      <c r="I92" s="135"/>
      <c r="J92" s="135"/>
      <c r="K92" s="135"/>
      <c r="L92" s="135"/>
      <c r="M92" s="135"/>
    </row>
    <row r="93" spans="2:15" ht="30" customHeight="1" x14ac:dyDescent="0.35">
      <c r="B93" s="135"/>
      <c r="C93" s="135"/>
      <c r="D93" s="135"/>
      <c r="E93" s="135"/>
      <c r="F93" s="135"/>
      <c r="G93" s="135"/>
      <c r="H93" s="135"/>
      <c r="I93" s="135"/>
      <c r="J93" s="135"/>
      <c r="K93" s="135"/>
      <c r="L93" s="135"/>
      <c r="M93" s="135"/>
    </row>
    <row r="94" spans="2:15" ht="30" customHeight="1" thickBot="1" x14ac:dyDescent="0.4">
      <c r="B94" s="135"/>
      <c r="C94" s="135"/>
      <c r="D94" s="135"/>
      <c r="E94" s="135"/>
      <c r="F94" s="135"/>
      <c r="G94" s="135"/>
      <c r="H94" s="135"/>
      <c r="I94" s="135"/>
      <c r="J94" s="135"/>
      <c r="K94" s="135"/>
      <c r="L94" s="135"/>
      <c r="M94" s="135"/>
    </row>
    <row r="95" spans="2:15" ht="30" customHeight="1" x14ac:dyDescent="0.3">
      <c r="B95" s="584"/>
      <c r="C95" s="585"/>
      <c r="D95" s="585"/>
      <c r="E95" s="585"/>
      <c r="F95" s="585"/>
      <c r="G95" s="585"/>
      <c r="H95" s="585"/>
      <c r="I95" s="585"/>
      <c r="J95" s="585"/>
      <c r="K95" s="585"/>
      <c r="L95" s="585"/>
      <c r="M95" s="586"/>
      <c r="O95">
        <v>3</v>
      </c>
    </row>
    <row r="96" spans="2:15" ht="30" customHeight="1" x14ac:dyDescent="0.3">
      <c r="B96" s="587" t="s">
        <v>62</v>
      </c>
      <c r="C96" s="588"/>
      <c r="D96" s="588"/>
      <c r="E96" s="588"/>
      <c r="F96" s="588"/>
      <c r="G96" s="588"/>
      <c r="H96" s="588"/>
      <c r="I96" s="588"/>
      <c r="J96" s="588"/>
      <c r="K96" s="588"/>
      <c r="L96" s="588"/>
      <c r="M96" s="589"/>
    </row>
    <row r="97" spans="2:13" ht="30" customHeight="1" x14ac:dyDescent="0.3">
      <c r="B97" s="95" t="s">
        <v>63</v>
      </c>
      <c r="C97" s="570" t="str">
        <f>C50</f>
        <v>Vessel name</v>
      </c>
      <c r="D97" s="570"/>
      <c r="E97" s="570"/>
      <c r="F97" s="96"/>
      <c r="G97" s="570"/>
      <c r="H97" s="570"/>
      <c r="I97" s="570"/>
      <c r="J97" s="96" t="s">
        <v>44</v>
      </c>
      <c r="K97" s="97"/>
      <c r="L97" s="582"/>
      <c r="M97" s="583"/>
    </row>
    <row r="98" spans="2:13" ht="30" customHeight="1" x14ac:dyDescent="0.3">
      <c r="B98" s="98"/>
      <c r="C98" s="96"/>
      <c r="D98" s="96"/>
      <c r="E98" s="99"/>
      <c r="F98" s="100"/>
      <c r="G98" s="100"/>
      <c r="H98" s="100"/>
      <c r="I98" s="96"/>
      <c r="J98" s="96"/>
      <c r="K98" s="97"/>
      <c r="L98" s="97"/>
      <c r="M98" s="101"/>
    </row>
    <row r="99" spans="2:13" ht="30" customHeight="1" x14ac:dyDescent="0.3">
      <c r="B99" s="95" t="s">
        <v>64</v>
      </c>
      <c r="C99" s="570">
        <f>'PB '!C9</f>
        <v>0</v>
      </c>
      <c r="D99" s="570"/>
      <c r="E99" s="570"/>
      <c r="F99" s="570"/>
      <c r="G99" s="102"/>
      <c r="H99" s="96" t="s">
        <v>21</v>
      </c>
      <c r="I99" s="603" t="str">
        <f>'PB '!D9</f>
        <v>Adtnl Ch.Officer</v>
      </c>
      <c r="J99" s="603"/>
      <c r="K99" s="96"/>
      <c r="L99" s="582"/>
      <c r="M99" s="583"/>
    </row>
    <row r="100" spans="2:13" ht="30" customHeight="1" x14ac:dyDescent="0.3">
      <c r="B100" s="95"/>
      <c r="C100" s="96"/>
      <c r="D100" s="96"/>
      <c r="E100" s="96"/>
      <c r="F100" s="96"/>
      <c r="G100" s="96" t="s">
        <v>65</v>
      </c>
      <c r="H100" s="96"/>
      <c r="I100" s="96"/>
      <c r="J100" s="96"/>
      <c r="K100" s="96"/>
      <c r="L100" s="96"/>
      <c r="M100" s="101"/>
    </row>
    <row r="101" spans="2:13" ht="30" customHeight="1" x14ac:dyDescent="0.3">
      <c r="B101" s="95"/>
      <c r="C101" s="96"/>
      <c r="D101" s="96"/>
      <c r="E101" s="96"/>
      <c r="F101" s="96"/>
      <c r="G101" s="96" t="s">
        <v>44</v>
      </c>
      <c r="H101" s="96"/>
      <c r="I101" s="96"/>
      <c r="J101" s="96"/>
      <c r="K101" s="96"/>
      <c r="L101" s="96"/>
      <c r="M101" s="101"/>
    </row>
    <row r="102" spans="2:13" ht="30" customHeight="1" x14ac:dyDescent="0.3">
      <c r="B102" s="95"/>
      <c r="C102" s="96"/>
      <c r="D102" s="96"/>
      <c r="E102" s="96"/>
      <c r="F102" s="96"/>
      <c r="G102" s="103" t="s">
        <v>66</v>
      </c>
      <c r="H102" s="104"/>
      <c r="I102" s="103"/>
      <c r="J102" s="103"/>
      <c r="K102" s="96" t="s">
        <v>51</v>
      </c>
      <c r="L102" s="105">
        <f>'PB '!V9</f>
        <v>0</v>
      </c>
      <c r="M102" s="101"/>
    </row>
    <row r="103" spans="2:13" ht="30" customHeight="1" x14ac:dyDescent="0.3">
      <c r="B103" s="95"/>
      <c r="C103" s="96"/>
      <c r="D103" s="96"/>
      <c r="E103" s="96"/>
      <c r="F103" s="96"/>
      <c r="G103" s="96"/>
      <c r="H103" s="96"/>
      <c r="I103" s="96"/>
      <c r="J103" s="96"/>
      <c r="K103" s="96"/>
      <c r="L103" s="96"/>
      <c r="M103" s="101"/>
    </row>
    <row r="104" spans="2:13" ht="30" customHeight="1" x14ac:dyDescent="0.3">
      <c r="B104" s="590" t="s">
        <v>67</v>
      </c>
      <c r="C104" s="591"/>
      <c r="D104" s="592" t="s">
        <v>60</v>
      </c>
      <c r="E104" s="593"/>
      <c r="F104" s="579" t="s">
        <v>61</v>
      </c>
      <c r="G104" s="580"/>
      <c r="H104" s="106" t="s">
        <v>68</v>
      </c>
      <c r="I104" s="107" t="s">
        <v>69</v>
      </c>
      <c r="J104" s="106" t="s">
        <v>51</v>
      </c>
      <c r="K104" s="108"/>
      <c r="L104" s="108"/>
      <c r="M104" s="109"/>
    </row>
    <row r="105" spans="2:13" ht="30" customHeight="1" x14ac:dyDescent="0.3">
      <c r="B105" s="560" t="s">
        <v>70</v>
      </c>
      <c r="C105" s="581"/>
      <c r="D105" s="110">
        <f>'PB '!E9</f>
        <v>1</v>
      </c>
      <c r="E105" s="111">
        <f>'PB '!C1</f>
        <v>0</v>
      </c>
      <c r="F105" s="112">
        <f>'PB '!F9</f>
        <v>31</v>
      </c>
      <c r="G105" s="111">
        <f>'PB '!C1</f>
        <v>0</v>
      </c>
      <c r="H105" s="113">
        <f>'PB '!G9</f>
        <v>30</v>
      </c>
      <c r="I105" s="114">
        <v>1464</v>
      </c>
      <c r="J105" s="115">
        <f>I105*H105/30</f>
        <v>1464</v>
      </c>
      <c r="K105" s="96"/>
      <c r="L105" s="96"/>
      <c r="M105" s="101"/>
    </row>
    <row r="106" spans="2:13" ht="30" customHeight="1" x14ac:dyDescent="0.3">
      <c r="B106" s="560" t="s">
        <v>71</v>
      </c>
      <c r="C106" s="581"/>
      <c r="D106" s="110">
        <f>D105</f>
        <v>1</v>
      </c>
      <c r="E106" s="111">
        <f>'PB '!C1</f>
        <v>0</v>
      </c>
      <c r="F106" s="112">
        <f>F105</f>
        <v>31</v>
      </c>
      <c r="G106" s="111">
        <f>'PB '!C1</f>
        <v>0</v>
      </c>
      <c r="H106" s="113">
        <f>H105</f>
        <v>30</v>
      </c>
      <c r="I106" s="114">
        <v>915</v>
      </c>
      <c r="J106" s="115">
        <f>I106*H106/30</f>
        <v>915</v>
      </c>
      <c r="K106" s="96"/>
      <c r="L106" s="96"/>
      <c r="M106" s="101"/>
    </row>
    <row r="107" spans="2:13" ht="30" customHeight="1" x14ac:dyDescent="0.3">
      <c r="B107" s="557" t="s">
        <v>72</v>
      </c>
      <c r="C107" s="558"/>
      <c r="D107" s="110">
        <f>D105</f>
        <v>1</v>
      </c>
      <c r="E107" s="111">
        <f>'PB '!C1</f>
        <v>0</v>
      </c>
      <c r="F107" s="112">
        <f>F105</f>
        <v>31</v>
      </c>
      <c r="G107" s="111">
        <f>'PB '!C1</f>
        <v>0</v>
      </c>
      <c r="H107" s="113">
        <f>H105</f>
        <v>30</v>
      </c>
      <c r="I107" s="114">
        <v>121.98</v>
      </c>
      <c r="J107" s="115">
        <f>I107*H107/30</f>
        <v>121.98</v>
      </c>
      <c r="K107" s="96"/>
      <c r="L107" s="96"/>
      <c r="M107" s="101"/>
    </row>
    <row r="108" spans="2:13" ht="30" customHeight="1" x14ac:dyDescent="0.3">
      <c r="B108" s="557" t="s">
        <v>73</v>
      </c>
      <c r="C108" s="558"/>
      <c r="D108" s="110">
        <f>D105</f>
        <v>1</v>
      </c>
      <c r="E108" s="111">
        <f>'PB '!C1</f>
        <v>0</v>
      </c>
      <c r="F108" s="112">
        <f>F105</f>
        <v>31</v>
      </c>
      <c r="G108" s="111">
        <f>'PB '!C1</f>
        <v>0</v>
      </c>
      <c r="H108" s="113">
        <f>H105</f>
        <v>30</v>
      </c>
      <c r="I108" s="114">
        <v>2549.02</v>
      </c>
      <c r="J108" s="115">
        <f>I108*H108/30</f>
        <v>2549.02</v>
      </c>
      <c r="K108" s="96"/>
      <c r="L108" s="96"/>
      <c r="M108" s="101"/>
    </row>
    <row r="109" spans="2:13" ht="30" customHeight="1" x14ac:dyDescent="0.3">
      <c r="B109" s="562" t="s">
        <v>74</v>
      </c>
      <c r="C109" s="563"/>
      <c r="D109" s="110"/>
      <c r="E109" s="111"/>
      <c r="F109" s="112"/>
      <c r="G109" s="111"/>
      <c r="H109" s="118"/>
      <c r="I109" s="114"/>
      <c r="J109" s="115">
        <f>'PB '!L9</f>
        <v>0</v>
      </c>
      <c r="K109" s="96"/>
      <c r="L109" s="96"/>
      <c r="M109" s="101"/>
    </row>
    <row r="110" spans="2:13" ht="30" customHeight="1" x14ac:dyDescent="0.3">
      <c r="B110" s="612" t="str">
        <f>'PB '!M5</f>
        <v>HRA</v>
      </c>
      <c r="C110" s="559"/>
      <c r="D110" s="117"/>
      <c r="E110" s="111"/>
      <c r="F110" s="117"/>
      <c r="G110" s="111"/>
      <c r="H110" s="118"/>
      <c r="I110" s="114"/>
      <c r="J110" s="115">
        <f>'PB '!M9</f>
        <v>0</v>
      </c>
      <c r="K110" s="96"/>
      <c r="L110" s="96"/>
      <c r="M110" s="101"/>
    </row>
    <row r="111" spans="2:13" ht="30" customHeight="1" x14ac:dyDescent="0.3">
      <c r="B111" s="95"/>
      <c r="C111" s="96"/>
      <c r="D111" s="96"/>
      <c r="E111" s="96"/>
      <c r="F111" s="565" t="s">
        <v>76</v>
      </c>
      <c r="G111" s="565"/>
      <c r="H111" s="565"/>
      <c r="I111" s="566"/>
      <c r="J111" s="119">
        <f>SUM(J105:J110)</f>
        <v>5050</v>
      </c>
      <c r="K111" s="120" t="s">
        <v>51</v>
      </c>
      <c r="L111" s="121">
        <f>J111</f>
        <v>5050</v>
      </c>
      <c r="M111" s="101"/>
    </row>
    <row r="112" spans="2:13" ht="30" customHeight="1" thickBot="1" x14ac:dyDescent="0.35">
      <c r="B112" s="95"/>
      <c r="C112" s="96"/>
      <c r="D112" s="96"/>
      <c r="E112" s="96"/>
      <c r="F112" s="96"/>
      <c r="G112" s="96"/>
      <c r="H112" s="96"/>
      <c r="I112" s="96"/>
      <c r="J112" s="96"/>
      <c r="K112" s="96"/>
      <c r="L112" s="122">
        <f>L102+L111</f>
        <v>5050</v>
      </c>
      <c r="M112" s="101"/>
    </row>
    <row r="113" spans="2:13" ht="30" customHeight="1" x14ac:dyDescent="0.3">
      <c r="B113" s="95"/>
      <c r="C113" s="96"/>
      <c r="D113" s="96"/>
      <c r="E113" s="96"/>
      <c r="F113" s="96"/>
      <c r="G113" s="96"/>
      <c r="H113" s="96"/>
      <c r="I113" s="96"/>
      <c r="J113" s="96"/>
      <c r="K113" s="96"/>
      <c r="L113" s="123"/>
      <c r="M113" s="101"/>
    </row>
    <row r="114" spans="2:13" ht="30" customHeight="1" x14ac:dyDescent="0.3">
      <c r="B114" s="95"/>
      <c r="C114" s="96"/>
      <c r="D114" s="96"/>
      <c r="E114" s="96"/>
      <c r="F114" s="96"/>
      <c r="G114" s="96"/>
      <c r="H114" s="96"/>
      <c r="I114" s="96"/>
      <c r="J114" s="96"/>
      <c r="K114" s="96"/>
      <c r="L114" s="123"/>
      <c r="M114" s="101"/>
    </row>
    <row r="115" spans="2:13" ht="30" customHeight="1" x14ac:dyDescent="0.3">
      <c r="B115" s="557" t="s">
        <v>77</v>
      </c>
      <c r="C115" s="558"/>
      <c r="D115" s="558"/>
      <c r="E115" s="558"/>
      <c r="F115" s="558"/>
      <c r="G115" s="558"/>
      <c r="H115" s="558"/>
      <c r="I115" s="559"/>
      <c r="J115" s="124"/>
      <c r="K115" s="96"/>
      <c r="L115" s="123"/>
      <c r="M115" s="101"/>
    </row>
    <row r="116" spans="2:13" ht="30" customHeight="1" x14ac:dyDescent="0.3">
      <c r="B116" s="560" t="s">
        <v>78</v>
      </c>
      <c r="C116" s="561"/>
      <c r="D116" s="561"/>
      <c r="E116" s="561"/>
      <c r="F116" s="561"/>
      <c r="G116" s="561"/>
      <c r="H116" s="561"/>
      <c r="I116" s="561"/>
      <c r="J116" s="114">
        <f>'PB '!Q9</f>
        <v>0</v>
      </c>
      <c r="K116" s="96"/>
      <c r="L116" s="123"/>
      <c r="M116" s="101"/>
    </row>
    <row r="117" spans="2:13" ht="30" customHeight="1" x14ac:dyDescent="0.3">
      <c r="B117" s="560" t="s">
        <v>79</v>
      </c>
      <c r="C117" s="561"/>
      <c r="D117" s="561"/>
      <c r="E117" s="561"/>
      <c r="F117" s="561"/>
      <c r="G117" s="561"/>
      <c r="H117" s="561"/>
      <c r="I117" s="561"/>
      <c r="J117" s="114">
        <f>'PB '!R9</f>
        <v>5050</v>
      </c>
      <c r="K117" s="96"/>
      <c r="L117" s="123"/>
      <c r="M117" s="101"/>
    </row>
    <row r="118" spans="2:13" ht="30" customHeight="1" x14ac:dyDescent="0.3">
      <c r="B118" s="560" t="s">
        <v>80</v>
      </c>
      <c r="C118" s="561"/>
      <c r="D118" s="561"/>
      <c r="E118" s="561"/>
      <c r="F118" s="561"/>
      <c r="G118" s="561"/>
      <c r="H118" s="561"/>
      <c r="I118" s="561"/>
      <c r="J118" s="114">
        <f>'PB '!S9</f>
        <v>0</v>
      </c>
      <c r="K118" s="96"/>
      <c r="L118" s="123"/>
      <c r="M118" s="101"/>
    </row>
    <row r="119" spans="2:13" ht="30" customHeight="1" x14ac:dyDescent="0.3">
      <c r="B119" s="560" t="s">
        <v>81</v>
      </c>
      <c r="C119" s="561"/>
      <c r="D119" s="561"/>
      <c r="E119" s="561"/>
      <c r="F119" s="561"/>
      <c r="G119" s="561"/>
      <c r="H119" s="561"/>
      <c r="I119" s="561"/>
      <c r="J119" s="114">
        <v>0</v>
      </c>
      <c r="K119" s="96"/>
      <c r="L119" s="123"/>
      <c r="M119" s="101"/>
    </row>
    <row r="120" spans="2:13" ht="30" customHeight="1" x14ac:dyDescent="0.3">
      <c r="B120" s="557" t="s">
        <v>107</v>
      </c>
      <c r="C120" s="558"/>
      <c r="D120" s="558"/>
      <c r="E120" s="558"/>
      <c r="F120" s="558"/>
      <c r="G120" s="558"/>
      <c r="H120" s="558"/>
      <c r="I120" s="559"/>
      <c r="J120" s="114">
        <f>'PB '!T9</f>
        <v>0</v>
      </c>
      <c r="K120" s="96"/>
      <c r="L120" s="123"/>
      <c r="M120" s="101"/>
    </row>
    <row r="121" spans="2:13" ht="30" customHeight="1" thickBot="1" x14ac:dyDescent="0.35">
      <c r="B121" s="560"/>
      <c r="C121" s="561"/>
      <c r="D121" s="561"/>
      <c r="E121" s="561"/>
      <c r="F121" s="561"/>
      <c r="G121" s="561"/>
      <c r="H121" s="561"/>
      <c r="I121" s="561"/>
      <c r="J121" s="114"/>
      <c r="K121" s="96"/>
      <c r="L121" s="123"/>
      <c r="M121" s="101"/>
    </row>
    <row r="122" spans="2:13" ht="30" customHeight="1" thickBot="1" x14ac:dyDescent="0.35">
      <c r="B122" s="95"/>
      <c r="C122" s="96"/>
      <c r="D122" s="96"/>
      <c r="E122" s="96"/>
      <c r="F122" s="573" t="s">
        <v>83</v>
      </c>
      <c r="G122" s="574"/>
      <c r="H122" s="574"/>
      <c r="I122" s="575"/>
      <c r="J122" s="114">
        <f>SUM(J116:J120)</f>
        <v>5050</v>
      </c>
      <c r="K122" s="96" t="s">
        <v>51</v>
      </c>
      <c r="L122" s="125">
        <f>J122</f>
        <v>5050</v>
      </c>
      <c r="M122" s="101"/>
    </row>
    <row r="123" spans="2:13" ht="30" customHeight="1" x14ac:dyDescent="0.3">
      <c r="B123" s="95"/>
      <c r="C123" s="96"/>
      <c r="D123" s="96"/>
      <c r="E123" s="96"/>
      <c r="F123" s="96"/>
      <c r="G123" s="96"/>
      <c r="H123" s="96"/>
      <c r="I123" s="96"/>
      <c r="J123" s="96"/>
      <c r="K123" s="96"/>
      <c r="L123" s="123"/>
      <c r="M123" s="101"/>
    </row>
    <row r="124" spans="2:13" ht="30" customHeight="1" x14ac:dyDescent="0.3">
      <c r="B124" s="95"/>
      <c r="C124" s="96"/>
      <c r="D124" s="96"/>
      <c r="E124" s="96"/>
      <c r="F124" s="96"/>
      <c r="G124" s="96"/>
      <c r="H124" s="96"/>
      <c r="I124" s="96"/>
      <c r="J124" s="96"/>
      <c r="K124" s="96"/>
      <c r="L124" s="123"/>
      <c r="M124" s="101"/>
    </row>
    <row r="125" spans="2:13" ht="30" customHeight="1" thickBot="1" x14ac:dyDescent="0.35">
      <c r="B125" s="95"/>
      <c r="C125" s="96"/>
      <c r="D125" s="96"/>
      <c r="E125" s="96"/>
      <c r="F125" s="112" t="s">
        <v>84</v>
      </c>
      <c r="G125" s="112"/>
      <c r="H125" s="112"/>
      <c r="I125" s="112"/>
      <c r="J125" s="112"/>
      <c r="K125" s="96" t="s">
        <v>51</v>
      </c>
      <c r="L125" s="126">
        <f>L112-L122</f>
        <v>0</v>
      </c>
      <c r="M125" s="101"/>
    </row>
    <row r="126" spans="2:13" ht="30" customHeight="1" x14ac:dyDescent="0.3">
      <c r="B126" s="127"/>
      <c r="C126" s="96"/>
      <c r="D126" s="96"/>
      <c r="E126" s="96"/>
      <c r="F126" s="96"/>
      <c r="G126" s="96"/>
      <c r="H126" s="96"/>
      <c r="I126" s="96" t="s">
        <v>44</v>
      </c>
      <c r="J126" s="96" t="s">
        <v>44</v>
      </c>
      <c r="K126" s="96" t="s">
        <v>44</v>
      </c>
      <c r="L126" s="123" t="s">
        <v>44</v>
      </c>
      <c r="M126" s="101"/>
    </row>
    <row r="127" spans="2:13" ht="30" customHeight="1" x14ac:dyDescent="0.3">
      <c r="B127" s="127"/>
      <c r="C127" s="96"/>
      <c r="D127" s="96"/>
      <c r="E127" s="96"/>
      <c r="F127" s="96"/>
      <c r="G127" s="96"/>
      <c r="H127" s="96"/>
      <c r="I127" s="96"/>
      <c r="J127" s="96"/>
      <c r="K127" s="96"/>
      <c r="L127" s="123"/>
      <c r="M127" s="101"/>
    </row>
    <row r="128" spans="2:13" ht="30" customHeight="1" x14ac:dyDescent="0.3">
      <c r="B128" s="127"/>
      <c r="C128" s="96"/>
      <c r="D128" s="96"/>
      <c r="E128" s="96"/>
      <c r="F128" s="96"/>
      <c r="G128" s="96"/>
      <c r="H128" s="96"/>
      <c r="I128" s="96"/>
      <c r="J128" s="96"/>
      <c r="K128" s="96"/>
      <c r="L128" s="123"/>
      <c r="M128" s="101"/>
    </row>
    <row r="129" spans="2:15" ht="30" customHeight="1" x14ac:dyDescent="0.25">
      <c r="B129" s="576" t="s">
        <v>85</v>
      </c>
      <c r="C129" s="577"/>
      <c r="D129" s="577"/>
      <c r="E129" s="577"/>
      <c r="F129" s="577"/>
      <c r="G129" s="577"/>
      <c r="H129" s="577"/>
      <c r="I129" s="577"/>
      <c r="J129" s="577"/>
      <c r="K129" s="577"/>
      <c r="L129" s="577"/>
      <c r="M129" s="578"/>
    </row>
    <row r="130" spans="2:15" ht="30" customHeight="1" x14ac:dyDescent="0.25">
      <c r="B130" s="576" t="s">
        <v>86</v>
      </c>
      <c r="C130" s="577"/>
      <c r="D130" s="577"/>
      <c r="E130" s="577"/>
      <c r="F130" s="577"/>
      <c r="G130" s="577"/>
      <c r="H130" s="577"/>
      <c r="I130" s="577"/>
      <c r="J130" s="577"/>
      <c r="K130" s="577"/>
      <c r="L130" s="577"/>
      <c r="M130" s="578"/>
    </row>
    <row r="131" spans="2:15" ht="30" customHeight="1" x14ac:dyDescent="0.3">
      <c r="B131" s="95"/>
      <c r="C131" s="96"/>
      <c r="D131" s="96"/>
      <c r="E131" s="96"/>
      <c r="F131" s="96"/>
      <c r="G131" s="96"/>
      <c r="H131" s="96"/>
      <c r="I131" s="96"/>
      <c r="J131" s="96"/>
      <c r="K131" s="96"/>
      <c r="L131" s="96"/>
      <c r="M131" s="101"/>
    </row>
    <row r="132" spans="2:15" ht="30" customHeight="1" x14ac:dyDescent="0.3">
      <c r="B132" s="95"/>
      <c r="C132" s="96"/>
      <c r="D132" s="96"/>
      <c r="E132" s="96"/>
      <c r="F132" s="96"/>
      <c r="G132" s="96"/>
      <c r="H132" s="96"/>
      <c r="I132" s="96"/>
      <c r="J132" s="96"/>
      <c r="K132" s="96"/>
      <c r="L132" s="96"/>
      <c r="M132" s="101"/>
    </row>
    <row r="133" spans="2:15" ht="30" customHeight="1" x14ac:dyDescent="0.3">
      <c r="B133" s="567"/>
      <c r="C133" s="568"/>
      <c r="D133" s="568"/>
      <c r="E133" s="96"/>
      <c r="F133" s="96"/>
      <c r="G133" s="96"/>
      <c r="H133" s="96"/>
      <c r="I133" s="96"/>
      <c r="J133" s="568"/>
      <c r="K133" s="568"/>
      <c r="L133" s="568"/>
      <c r="M133" s="101"/>
    </row>
    <row r="134" spans="2:15" ht="30" customHeight="1" x14ac:dyDescent="0.3">
      <c r="B134" s="569" t="s">
        <v>87</v>
      </c>
      <c r="C134" s="570"/>
      <c r="D134" s="570"/>
      <c r="E134" s="96"/>
      <c r="F134" s="96"/>
      <c r="G134" s="96"/>
      <c r="H134" s="96"/>
      <c r="I134" s="128" t="s">
        <v>88</v>
      </c>
      <c r="J134" s="128"/>
      <c r="K134" s="128"/>
      <c r="L134" s="102"/>
      <c r="M134" s="101"/>
    </row>
    <row r="135" spans="2:15" ht="30" customHeight="1" x14ac:dyDescent="0.3">
      <c r="B135" s="95" t="s">
        <v>44</v>
      </c>
      <c r="C135" s="96"/>
      <c r="D135" s="96"/>
      <c r="E135" s="96"/>
      <c r="F135" s="96"/>
      <c r="G135" s="96"/>
      <c r="H135" s="96"/>
      <c r="I135" s="96"/>
      <c r="J135" s="570"/>
      <c r="K135" s="570"/>
      <c r="L135" s="570"/>
      <c r="M135" s="101"/>
    </row>
    <row r="136" spans="2:15" ht="30" customHeight="1" x14ac:dyDescent="0.3">
      <c r="B136" s="95" t="s">
        <v>64</v>
      </c>
      <c r="C136" s="570">
        <f>C99</f>
        <v>0</v>
      </c>
      <c r="D136" s="570"/>
      <c r="E136" s="570"/>
      <c r="F136" s="96"/>
      <c r="G136" s="96"/>
      <c r="H136" s="96"/>
      <c r="I136" s="99" t="s">
        <v>104</v>
      </c>
      <c r="J136" s="571">
        <f>+'PB '!C7</f>
        <v>0</v>
      </c>
      <c r="K136" s="571"/>
      <c r="L136" s="571"/>
      <c r="M136" s="572"/>
    </row>
    <row r="137" spans="2:15" ht="30" customHeight="1" thickBot="1" x14ac:dyDescent="0.35">
      <c r="B137" s="129"/>
      <c r="C137" s="130"/>
      <c r="D137" s="130"/>
      <c r="E137" s="130"/>
      <c r="F137" s="130"/>
      <c r="G137" s="130"/>
      <c r="H137" s="130"/>
      <c r="I137" s="130"/>
      <c r="J137" s="131"/>
      <c r="K137" s="132"/>
      <c r="L137" s="132"/>
      <c r="M137" s="133"/>
    </row>
    <row r="138" spans="2:15" ht="30" customHeight="1" x14ac:dyDescent="0.35">
      <c r="B138" s="135"/>
      <c r="C138" s="135"/>
      <c r="D138" s="135"/>
      <c r="E138" s="135"/>
      <c r="F138" s="135"/>
      <c r="G138" s="135"/>
      <c r="H138" s="135"/>
      <c r="I138" s="135"/>
      <c r="J138" s="135"/>
      <c r="K138" s="135"/>
      <c r="L138" s="135"/>
      <c r="M138" s="135"/>
    </row>
    <row r="139" spans="2:15" ht="30" customHeight="1" x14ac:dyDescent="0.35">
      <c r="B139" s="135"/>
      <c r="C139" s="135"/>
      <c r="D139" s="135"/>
      <c r="E139" s="135"/>
      <c r="F139" s="135"/>
      <c r="G139" s="135"/>
      <c r="H139" s="135"/>
      <c r="I139" s="135"/>
      <c r="J139" s="135"/>
      <c r="K139" s="135"/>
      <c r="L139" s="135"/>
      <c r="M139" s="135"/>
    </row>
    <row r="140" spans="2:15" ht="30" customHeight="1" x14ac:dyDescent="0.35">
      <c r="B140" s="135"/>
      <c r="C140" s="135"/>
      <c r="D140" s="135"/>
      <c r="E140" s="135"/>
      <c r="F140" s="135"/>
      <c r="G140" s="135"/>
      <c r="H140" s="135"/>
      <c r="I140" s="135"/>
      <c r="J140" s="135"/>
      <c r="K140" s="135"/>
      <c r="L140" s="135"/>
      <c r="M140" s="135"/>
    </row>
    <row r="141" spans="2:15" ht="30" customHeight="1" thickBot="1" x14ac:dyDescent="0.4">
      <c r="B141" s="135"/>
      <c r="C141" s="135"/>
      <c r="D141" s="135"/>
      <c r="E141" s="135"/>
      <c r="F141" s="135"/>
      <c r="G141" s="135"/>
      <c r="H141" s="135"/>
      <c r="I141" s="135"/>
      <c r="J141" s="135"/>
      <c r="K141" s="135"/>
      <c r="L141" s="135"/>
      <c r="M141" s="135"/>
    </row>
    <row r="142" spans="2:15" ht="30" customHeight="1" x14ac:dyDescent="0.3">
      <c r="B142" s="584"/>
      <c r="C142" s="585"/>
      <c r="D142" s="585"/>
      <c r="E142" s="585"/>
      <c r="F142" s="585"/>
      <c r="G142" s="585"/>
      <c r="H142" s="585"/>
      <c r="I142" s="585"/>
      <c r="J142" s="585"/>
      <c r="K142" s="585"/>
      <c r="L142" s="585"/>
      <c r="M142" s="586"/>
      <c r="O142">
        <v>4</v>
      </c>
    </row>
    <row r="143" spans="2:15" ht="30" customHeight="1" x14ac:dyDescent="0.3">
      <c r="B143" s="587" t="s">
        <v>62</v>
      </c>
      <c r="C143" s="588"/>
      <c r="D143" s="588"/>
      <c r="E143" s="588"/>
      <c r="F143" s="588"/>
      <c r="G143" s="588"/>
      <c r="H143" s="588"/>
      <c r="I143" s="588"/>
      <c r="J143" s="588"/>
      <c r="K143" s="588"/>
      <c r="L143" s="588"/>
      <c r="M143" s="589"/>
    </row>
    <row r="144" spans="2:15" ht="30" customHeight="1" x14ac:dyDescent="0.3">
      <c r="B144" s="95" t="s">
        <v>63</v>
      </c>
      <c r="C144" s="570" t="str">
        <f>C97</f>
        <v>Vessel name</v>
      </c>
      <c r="D144" s="570"/>
      <c r="E144" s="570"/>
      <c r="F144" s="96"/>
      <c r="G144" s="570"/>
      <c r="H144" s="570"/>
      <c r="I144" s="570"/>
      <c r="J144" s="96" t="s">
        <v>44</v>
      </c>
      <c r="K144" s="97"/>
      <c r="L144" s="582"/>
      <c r="M144" s="583"/>
    </row>
    <row r="145" spans="2:13" ht="30" customHeight="1" x14ac:dyDescent="0.3">
      <c r="B145" s="98"/>
      <c r="C145" s="96"/>
      <c r="D145" s="96"/>
      <c r="E145" s="99"/>
      <c r="F145" s="100"/>
      <c r="G145" s="100"/>
      <c r="H145" s="100"/>
      <c r="I145" s="96"/>
      <c r="J145" s="96"/>
      <c r="K145" s="97"/>
      <c r="L145" s="97"/>
      <c r="M145" s="101"/>
    </row>
    <row r="146" spans="2:13" ht="30" customHeight="1" x14ac:dyDescent="0.3">
      <c r="B146" s="95" t="s">
        <v>64</v>
      </c>
      <c r="C146" s="570">
        <f>+'PB '!C10</f>
        <v>0</v>
      </c>
      <c r="D146" s="570"/>
      <c r="E146" s="570"/>
      <c r="F146" s="570"/>
      <c r="G146" s="102"/>
      <c r="H146" s="96" t="s">
        <v>21</v>
      </c>
      <c r="I146" s="605" t="str">
        <f>'PB '!D10</f>
        <v xml:space="preserve">2nd Officer </v>
      </c>
      <c r="J146" s="570"/>
      <c r="K146" s="96"/>
      <c r="L146" s="582"/>
      <c r="M146" s="583"/>
    </row>
    <row r="147" spans="2:13" ht="30" customHeight="1" x14ac:dyDescent="0.3">
      <c r="B147" s="95"/>
      <c r="C147" s="96"/>
      <c r="D147" s="96"/>
      <c r="E147" s="96"/>
      <c r="F147" s="96"/>
      <c r="G147" s="96" t="s">
        <v>65</v>
      </c>
      <c r="H147" s="96"/>
      <c r="I147" s="96"/>
      <c r="J147" s="96"/>
      <c r="K147" s="96"/>
      <c r="L147" s="96"/>
      <c r="M147" s="101"/>
    </row>
    <row r="148" spans="2:13" ht="30" customHeight="1" x14ac:dyDescent="0.3">
      <c r="B148" s="95"/>
      <c r="C148" s="96"/>
      <c r="D148" s="96"/>
      <c r="E148" s="96"/>
      <c r="F148" s="96"/>
      <c r="G148" s="96" t="s">
        <v>44</v>
      </c>
      <c r="H148" s="96"/>
      <c r="I148" s="96"/>
      <c r="J148" s="96"/>
      <c r="K148" s="96"/>
      <c r="L148" s="96"/>
      <c r="M148" s="101"/>
    </row>
    <row r="149" spans="2:13" ht="30" customHeight="1" x14ac:dyDescent="0.3">
      <c r="B149" s="95"/>
      <c r="C149" s="96"/>
      <c r="D149" s="96"/>
      <c r="E149" s="96"/>
      <c r="F149" s="96"/>
      <c r="G149" s="103" t="s">
        <v>66</v>
      </c>
      <c r="H149" s="104"/>
      <c r="I149" s="103"/>
      <c r="J149" s="103"/>
      <c r="K149" s="96" t="s">
        <v>51</v>
      </c>
      <c r="L149" s="105">
        <f>'PB '!V10</f>
        <v>0</v>
      </c>
      <c r="M149" s="101"/>
    </row>
    <row r="150" spans="2:13" ht="30" customHeight="1" x14ac:dyDescent="0.3">
      <c r="B150" s="95"/>
      <c r="C150" s="96"/>
      <c r="D150" s="96"/>
      <c r="E150" s="96"/>
      <c r="F150" s="96"/>
      <c r="G150" s="96"/>
      <c r="H150" s="96"/>
      <c r="I150" s="96"/>
      <c r="J150" s="96"/>
      <c r="K150" s="96"/>
      <c r="L150" s="96"/>
      <c r="M150" s="101"/>
    </row>
    <row r="151" spans="2:13" ht="30" customHeight="1" x14ac:dyDescent="0.3">
      <c r="B151" s="590" t="s">
        <v>67</v>
      </c>
      <c r="C151" s="591"/>
      <c r="D151" s="592" t="s">
        <v>60</v>
      </c>
      <c r="E151" s="593"/>
      <c r="F151" s="579" t="s">
        <v>61</v>
      </c>
      <c r="G151" s="580"/>
      <c r="H151" s="106" t="s">
        <v>68</v>
      </c>
      <c r="I151" s="107" t="s">
        <v>69</v>
      </c>
      <c r="J151" s="106" t="s">
        <v>51</v>
      </c>
      <c r="K151" s="108"/>
      <c r="L151" s="108"/>
      <c r="M151" s="109"/>
    </row>
    <row r="152" spans="2:13" ht="30" customHeight="1" x14ac:dyDescent="0.3">
      <c r="B152" s="560" t="s">
        <v>70</v>
      </c>
      <c r="C152" s="581"/>
      <c r="D152" s="110">
        <f>'PB '!E10</f>
        <v>1</v>
      </c>
      <c r="E152" s="111">
        <f>'PB '!C1</f>
        <v>0</v>
      </c>
      <c r="F152" s="112">
        <f>'PB '!F7</f>
        <v>31</v>
      </c>
      <c r="G152" s="111">
        <f>'PB '!C1</f>
        <v>0</v>
      </c>
      <c r="H152" s="113">
        <f>+'PB '!G10</f>
        <v>30</v>
      </c>
      <c r="I152" s="114">
        <v>1172</v>
      </c>
      <c r="J152" s="115">
        <f>I152*H152/30</f>
        <v>1172</v>
      </c>
      <c r="K152" s="96"/>
      <c r="L152" s="96"/>
      <c r="M152" s="101"/>
    </row>
    <row r="153" spans="2:13" ht="30" customHeight="1" x14ac:dyDescent="0.3">
      <c r="B153" s="560" t="s">
        <v>71</v>
      </c>
      <c r="C153" s="581"/>
      <c r="D153" s="110">
        <f>'PB '!E10</f>
        <v>1</v>
      </c>
      <c r="E153" s="111">
        <f>'PB '!C1</f>
        <v>0</v>
      </c>
      <c r="F153" s="112">
        <f>F152</f>
        <v>31</v>
      </c>
      <c r="G153" s="111">
        <f>'PB '!C1</f>
        <v>0</v>
      </c>
      <c r="H153" s="113">
        <f>+'PB '!G10</f>
        <v>30</v>
      </c>
      <c r="I153" s="114">
        <v>733</v>
      </c>
      <c r="J153" s="115">
        <f t="shared" ref="J153:J155" si="2">I153*H153/30</f>
        <v>733</v>
      </c>
      <c r="K153" s="96"/>
      <c r="L153" s="96"/>
      <c r="M153" s="101"/>
    </row>
    <row r="154" spans="2:13" ht="30" customHeight="1" x14ac:dyDescent="0.3">
      <c r="B154" s="557" t="s">
        <v>72</v>
      </c>
      <c r="C154" s="558"/>
      <c r="D154" s="110">
        <f>'PB '!E10</f>
        <v>1</v>
      </c>
      <c r="E154" s="111">
        <f>'PB '!C1</f>
        <v>0</v>
      </c>
      <c r="F154" s="112">
        <f>F152</f>
        <v>31</v>
      </c>
      <c r="G154" s="111">
        <f>'PB '!C1</f>
        <v>0</v>
      </c>
      <c r="H154" s="113">
        <f>+'PB '!G10</f>
        <v>30</v>
      </c>
      <c r="I154" s="114">
        <v>97.7</v>
      </c>
      <c r="J154" s="115">
        <f t="shared" si="2"/>
        <v>97.7</v>
      </c>
      <c r="K154" s="96"/>
      <c r="L154" s="96"/>
      <c r="M154" s="101"/>
    </row>
    <row r="155" spans="2:13" ht="30" customHeight="1" x14ac:dyDescent="0.3">
      <c r="B155" s="557" t="s">
        <v>73</v>
      </c>
      <c r="C155" s="558"/>
      <c r="D155" s="110">
        <f>'PB '!E10</f>
        <v>1</v>
      </c>
      <c r="E155" s="111">
        <f>'PB '!C1</f>
        <v>0</v>
      </c>
      <c r="F155" s="112">
        <f>F152</f>
        <v>31</v>
      </c>
      <c r="G155" s="111">
        <f>'PB '!C1</f>
        <v>0</v>
      </c>
      <c r="H155" s="113">
        <f>+'PB '!G10</f>
        <v>30</v>
      </c>
      <c r="I155" s="114">
        <v>2197.3000000000002</v>
      </c>
      <c r="J155" s="115">
        <f t="shared" si="2"/>
        <v>2197.3000000000002</v>
      </c>
      <c r="K155" s="96"/>
      <c r="L155" s="96"/>
      <c r="M155" s="101"/>
    </row>
    <row r="156" spans="2:13" ht="30" customHeight="1" x14ac:dyDescent="0.3">
      <c r="B156" s="562" t="s">
        <v>74</v>
      </c>
      <c r="C156" s="563"/>
      <c r="D156" s="110"/>
      <c r="E156" s="111"/>
      <c r="F156" s="112"/>
      <c r="G156" s="111"/>
      <c r="H156" s="113"/>
      <c r="I156" s="114"/>
      <c r="J156" s="115">
        <f>'PB '!L10</f>
        <v>0</v>
      </c>
      <c r="K156" s="96"/>
      <c r="L156" s="96"/>
      <c r="M156" s="101"/>
    </row>
    <row r="157" spans="2:13" ht="30" customHeight="1" x14ac:dyDescent="0.3">
      <c r="B157" s="564" t="s">
        <v>153</v>
      </c>
      <c r="C157" s="561"/>
      <c r="D157" s="117"/>
      <c r="E157" s="111"/>
      <c r="F157" s="117"/>
      <c r="G157" s="111"/>
      <c r="H157" s="118"/>
      <c r="I157" s="114">
        <f>'PB '!M10</f>
        <v>0</v>
      </c>
      <c r="J157" s="115">
        <f>'PB '!N10</f>
        <v>0</v>
      </c>
      <c r="K157" s="96"/>
      <c r="L157" s="96"/>
      <c r="M157" s="101"/>
    </row>
    <row r="158" spans="2:13" ht="30" customHeight="1" x14ac:dyDescent="0.3">
      <c r="B158" s="95"/>
      <c r="C158" s="96"/>
      <c r="D158" s="96"/>
      <c r="E158" s="96"/>
      <c r="F158" s="565" t="s">
        <v>76</v>
      </c>
      <c r="G158" s="565"/>
      <c r="H158" s="565"/>
      <c r="I158" s="566"/>
      <c r="J158" s="119">
        <f>SUM(J152:J157)</f>
        <v>4200</v>
      </c>
      <c r="K158" s="120" t="s">
        <v>51</v>
      </c>
      <c r="L158" s="121">
        <f>J158</f>
        <v>4200</v>
      </c>
      <c r="M158" s="101"/>
    </row>
    <row r="159" spans="2:13" ht="30" customHeight="1" thickBot="1" x14ac:dyDescent="0.35">
      <c r="B159" s="95"/>
      <c r="C159" s="96"/>
      <c r="D159" s="96"/>
      <c r="E159" s="96"/>
      <c r="F159" s="96"/>
      <c r="G159" s="96"/>
      <c r="H159" s="96"/>
      <c r="I159" s="96"/>
      <c r="J159" s="96"/>
      <c r="K159" s="96"/>
      <c r="L159" s="122">
        <f>L149+L158</f>
        <v>4200</v>
      </c>
      <c r="M159" s="101"/>
    </row>
    <row r="160" spans="2:13" ht="30" customHeight="1" x14ac:dyDescent="0.3">
      <c r="B160" s="95"/>
      <c r="C160" s="96"/>
      <c r="D160" s="96"/>
      <c r="E160" s="96"/>
      <c r="F160" s="96"/>
      <c r="G160" s="96"/>
      <c r="H160" s="96"/>
      <c r="I160" s="96"/>
      <c r="J160" s="96"/>
      <c r="K160" s="96"/>
      <c r="L160" s="123"/>
      <c r="M160" s="101"/>
    </row>
    <row r="161" spans="2:13" ht="30" customHeight="1" x14ac:dyDescent="0.3">
      <c r="B161" s="95"/>
      <c r="C161" s="96"/>
      <c r="D161" s="96"/>
      <c r="E161" s="96"/>
      <c r="F161" s="96"/>
      <c r="G161" s="96"/>
      <c r="H161" s="96"/>
      <c r="I161" s="96"/>
      <c r="J161" s="96"/>
      <c r="K161" s="96"/>
      <c r="L161" s="123"/>
      <c r="M161" s="101"/>
    </row>
    <row r="162" spans="2:13" ht="30" customHeight="1" x14ac:dyDescent="0.3">
      <c r="B162" s="557" t="s">
        <v>77</v>
      </c>
      <c r="C162" s="558"/>
      <c r="D162" s="558"/>
      <c r="E162" s="558"/>
      <c r="F162" s="558"/>
      <c r="G162" s="558"/>
      <c r="H162" s="558"/>
      <c r="I162" s="559"/>
      <c r="J162" s="124"/>
      <c r="K162" s="96"/>
      <c r="L162" s="123"/>
      <c r="M162" s="101"/>
    </row>
    <row r="163" spans="2:13" ht="30" customHeight="1" x14ac:dyDescent="0.3">
      <c r="B163" s="560" t="s">
        <v>78</v>
      </c>
      <c r="C163" s="561"/>
      <c r="D163" s="561"/>
      <c r="E163" s="561"/>
      <c r="F163" s="561"/>
      <c r="G163" s="561"/>
      <c r="H163" s="561"/>
      <c r="I163" s="561"/>
      <c r="J163" s="114">
        <f>'PB '!Q10</f>
        <v>0</v>
      </c>
      <c r="K163" s="96"/>
      <c r="L163" s="123"/>
      <c r="M163" s="101"/>
    </row>
    <row r="164" spans="2:13" ht="30" customHeight="1" x14ac:dyDescent="0.3">
      <c r="B164" s="560" t="s">
        <v>79</v>
      </c>
      <c r="C164" s="561"/>
      <c r="D164" s="561"/>
      <c r="E164" s="561"/>
      <c r="F164" s="561"/>
      <c r="G164" s="561"/>
      <c r="H164" s="561"/>
      <c r="I164" s="561"/>
      <c r="J164" s="114">
        <f>'PB '!R10</f>
        <v>4193.08</v>
      </c>
      <c r="K164" s="96"/>
      <c r="L164" s="123"/>
      <c r="M164" s="101"/>
    </row>
    <row r="165" spans="2:13" ht="30" customHeight="1" x14ac:dyDescent="0.3">
      <c r="B165" s="560" t="s">
        <v>80</v>
      </c>
      <c r="C165" s="561"/>
      <c r="D165" s="561"/>
      <c r="E165" s="561"/>
      <c r="F165" s="561"/>
      <c r="G165" s="561"/>
      <c r="H165" s="561"/>
      <c r="I165" s="561"/>
      <c r="J165" s="114">
        <f>'PB '!S10</f>
        <v>6.92</v>
      </c>
      <c r="K165" s="96"/>
      <c r="L165" s="123"/>
      <c r="M165" s="101"/>
    </row>
    <row r="166" spans="2:13" ht="30" customHeight="1" x14ac:dyDescent="0.3">
      <c r="B166" s="560" t="s">
        <v>81</v>
      </c>
      <c r="C166" s="561"/>
      <c r="D166" s="561"/>
      <c r="E166" s="561"/>
      <c r="F166" s="561"/>
      <c r="G166" s="561"/>
      <c r="H166" s="561"/>
      <c r="I166" s="561"/>
      <c r="J166" s="114">
        <v>0</v>
      </c>
      <c r="K166" s="96"/>
      <c r="L166" s="123"/>
      <c r="M166" s="101"/>
    </row>
    <row r="167" spans="2:13" ht="30" customHeight="1" x14ac:dyDescent="0.3">
      <c r="B167" s="557" t="s">
        <v>82</v>
      </c>
      <c r="C167" s="558"/>
      <c r="D167" s="558"/>
      <c r="E167" s="558"/>
      <c r="F167" s="558"/>
      <c r="G167" s="558"/>
      <c r="H167" s="558"/>
      <c r="I167" s="559"/>
      <c r="J167" s="114">
        <f>'PB '!T10</f>
        <v>0</v>
      </c>
      <c r="K167" s="96"/>
      <c r="L167" s="123"/>
      <c r="M167" s="101"/>
    </row>
    <row r="168" spans="2:13" ht="30" customHeight="1" thickBot="1" x14ac:dyDescent="0.35">
      <c r="B168" s="560"/>
      <c r="C168" s="561"/>
      <c r="D168" s="561"/>
      <c r="E168" s="561"/>
      <c r="F168" s="561"/>
      <c r="G168" s="561"/>
      <c r="H168" s="561"/>
      <c r="I168" s="561"/>
      <c r="J168" s="114"/>
      <c r="K168" s="96"/>
      <c r="L168" s="123"/>
      <c r="M168" s="101"/>
    </row>
    <row r="169" spans="2:13" ht="30" customHeight="1" thickBot="1" x14ac:dyDescent="0.35">
      <c r="B169" s="95"/>
      <c r="C169" s="96"/>
      <c r="D169" s="96"/>
      <c r="E169" s="96"/>
      <c r="F169" s="573" t="s">
        <v>83</v>
      </c>
      <c r="G169" s="574"/>
      <c r="H169" s="574"/>
      <c r="I169" s="575"/>
      <c r="J169" s="114">
        <f>SUM(J163:J167)</f>
        <v>4200</v>
      </c>
      <c r="K169" s="96" t="s">
        <v>51</v>
      </c>
      <c r="L169" s="125">
        <f>J169</f>
        <v>4200</v>
      </c>
      <c r="M169" s="101"/>
    </row>
    <row r="170" spans="2:13" ht="30" customHeight="1" x14ac:dyDescent="0.3">
      <c r="B170" s="95"/>
      <c r="C170" s="96"/>
      <c r="D170" s="96"/>
      <c r="E170" s="96"/>
      <c r="F170" s="96"/>
      <c r="G170" s="96"/>
      <c r="H170" s="96"/>
      <c r="I170" s="96"/>
      <c r="J170" s="96"/>
      <c r="K170" s="96"/>
      <c r="L170" s="123"/>
      <c r="M170" s="101"/>
    </row>
    <row r="171" spans="2:13" ht="30" customHeight="1" x14ac:dyDescent="0.3">
      <c r="B171" s="95"/>
      <c r="C171" s="96"/>
      <c r="D171" s="96"/>
      <c r="E171" s="96"/>
      <c r="F171" s="96"/>
      <c r="G171" s="96"/>
      <c r="H171" s="96"/>
      <c r="I171" s="96"/>
      <c r="J171" s="96"/>
      <c r="K171" s="96"/>
      <c r="L171" s="123"/>
      <c r="M171" s="101"/>
    </row>
    <row r="172" spans="2:13" ht="30" customHeight="1" thickBot="1" x14ac:dyDescent="0.35">
      <c r="B172" s="95"/>
      <c r="C172" s="96"/>
      <c r="D172" s="96"/>
      <c r="E172" s="96"/>
      <c r="F172" s="112" t="s">
        <v>84</v>
      </c>
      <c r="G172" s="112"/>
      <c r="H172" s="112"/>
      <c r="I172" s="112"/>
      <c r="J172" s="112"/>
      <c r="K172" s="96" t="s">
        <v>51</v>
      </c>
      <c r="L172" s="126">
        <f>L159-L169</f>
        <v>0</v>
      </c>
      <c r="M172" s="101"/>
    </row>
    <row r="173" spans="2:13" ht="30" customHeight="1" x14ac:dyDescent="0.3">
      <c r="B173" s="127"/>
      <c r="C173" s="96"/>
      <c r="D173" s="96"/>
      <c r="E173" s="96"/>
      <c r="F173" s="96"/>
      <c r="G173" s="96"/>
      <c r="H173" s="96"/>
      <c r="I173" s="96" t="s">
        <v>44</v>
      </c>
      <c r="J173" s="96" t="s">
        <v>44</v>
      </c>
      <c r="K173" s="96" t="s">
        <v>44</v>
      </c>
      <c r="L173" s="123" t="s">
        <v>44</v>
      </c>
      <c r="M173" s="101"/>
    </row>
    <row r="174" spans="2:13" ht="30" customHeight="1" x14ac:dyDescent="0.3">
      <c r="B174" s="127"/>
      <c r="C174" s="96"/>
      <c r="D174" s="96"/>
      <c r="E174" s="96"/>
      <c r="F174" s="96"/>
      <c r="G174" s="96"/>
      <c r="H174" s="96"/>
      <c r="I174" s="96"/>
      <c r="J174" s="96"/>
      <c r="K174" s="96"/>
      <c r="L174" s="123"/>
      <c r="M174" s="101"/>
    </row>
    <row r="175" spans="2:13" ht="30" customHeight="1" x14ac:dyDescent="0.3">
      <c r="B175" s="127"/>
      <c r="C175" s="96"/>
      <c r="D175" s="96"/>
      <c r="E175" s="96"/>
      <c r="F175" s="96"/>
      <c r="G175" s="96"/>
      <c r="H175" s="96"/>
      <c r="I175" s="96"/>
      <c r="J175" s="96"/>
      <c r="K175" s="96"/>
      <c r="L175" s="123"/>
      <c r="M175" s="101"/>
    </row>
    <row r="176" spans="2:13" ht="30" customHeight="1" x14ac:dyDescent="0.25">
      <c r="B176" s="576" t="s">
        <v>85</v>
      </c>
      <c r="C176" s="577"/>
      <c r="D176" s="577"/>
      <c r="E176" s="577"/>
      <c r="F176" s="577"/>
      <c r="G176" s="577"/>
      <c r="H176" s="577"/>
      <c r="I176" s="577"/>
      <c r="J176" s="577"/>
      <c r="K176" s="577"/>
      <c r="L176" s="577"/>
      <c r="M176" s="578"/>
    </row>
    <row r="177" spans="2:15" ht="30" customHeight="1" x14ac:dyDescent="0.25">
      <c r="B177" s="576" t="s">
        <v>86</v>
      </c>
      <c r="C177" s="577"/>
      <c r="D177" s="577"/>
      <c r="E177" s="577"/>
      <c r="F177" s="577"/>
      <c r="G177" s="577"/>
      <c r="H177" s="577"/>
      <c r="I177" s="577"/>
      <c r="J177" s="577"/>
      <c r="K177" s="577"/>
      <c r="L177" s="577"/>
      <c r="M177" s="578"/>
    </row>
    <row r="178" spans="2:15" ht="30" customHeight="1" x14ac:dyDescent="0.3">
      <c r="B178" s="95"/>
      <c r="C178" s="96"/>
      <c r="D178" s="96"/>
      <c r="E178" s="96"/>
      <c r="F178" s="96"/>
      <c r="G178" s="96"/>
      <c r="H178" s="96"/>
      <c r="I178" s="96"/>
      <c r="J178" s="96"/>
      <c r="K178" s="96"/>
      <c r="L178" s="96"/>
      <c r="M178" s="101"/>
    </row>
    <row r="179" spans="2:15" ht="30" customHeight="1" x14ac:dyDescent="0.3">
      <c r="B179" s="95"/>
      <c r="C179" s="96"/>
      <c r="D179" s="96"/>
      <c r="E179" s="96"/>
      <c r="F179" s="96"/>
      <c r="G179" s="96"/>
      <c r="H179" s="96"/>
      <c r="I179" s="96"/>
      <c r="J179" s="96"/>
      <c r="K179" s="96"/>
      <c r="L179" s="96"/>
      <c r="M179" s="101"/>
    </row>
    <row r="180" spans="2:15" ht="30" customHeight="1" x14ac:dyDescent="0.3">
      <c r="B180" s="567"/>
      <c r="C180" s="568"/>
      <c r="D180" s="568"/>
      <c r="E180" s="96"/>
      <c r="F180" s="96"/>
      <c r="G180" s="96"/>
      <c r="H180" s="96"/>
      <c r="I180" s="96"/>
      <c r="J180" s="568"/>
      <c r="K180" s="568"/>
      <c r="L180" s="568"/>
      <c r="M180" s="101"/>
    </row>
    <row r="181" spans="2:15" ht="30" customHeight="1" x14ac:dyDescent="0.3">
      <c r="B181" s="569" t="s">
        <v>87</v>
      </c>
      <c r="C181" s="570"/>
      <c r="D181" s="570"/>
      <c r="E181" s="96"/>
      <c r="F181" s="96"/>
      <c r="G181" s="96"/>
      <c r="H181" s="96"/>
      <c r="I181" s="128" t="s">
        <v>88</v>
      </c>
      <c r="J181" s="128"/>
      <c r="K181" s="128"/>
      <c r="L181" s="102"/>
      <c r="M181" s="101"/>
    </row>
    <row r="182" spans="2:15" ht="30" customHeight="1" x14ac:dyDescent="0.3">
      <c r="B182" s="95" t="s">
        <v>44</v>
      </c>
      <c r="C182" s="96"/>
      <c r="D182" s="96"/>
      <c r="E182" s="96"/>
      <c r="F182" s="96"/>
      <c r="G182" s="96"/>
      <c r="H182" s="96"/>
      <c r="I182" s="96"/>
      <c r="J182" s="570"/>
      <c r="K182" s="570"/>
      <c r="L182" s="570"/>
      <c r="M182" s="101"/>
    </row>
    <row r="183" spans="2:15" ht="30" customHeight="1" x14ac:dyDescent="0.3">
      <c r="B183" s="95" t="s">
        <v>64</v>
      </c>
      <c r="C183" s="570">
        <f>C146</f>
        <v>0</v>
      </c>
      <c r="D183" s="570"/>
      <c r="E183" s="570"/>
      <c r="F183" s="96"/>
      <c r="G183" s="96"/>
      <c r="H183" s="96"/>
      <c r="I183" s="99" t="s">
        <v>104</v>
      </c>
      <c r="J183" s="571">
        <f>+'PB '!C7</f>
        <v>0</v>
      </c>
      <c r="K183" s="571"/>
      <c r="L183" s="571"/>
      <c r="M183" s="572"/>
    </row>
    <row r="184" spans="2:15" ht="30" customHeight="1" thickBot="1" x14ac:dyDescent="0.35">
      <c r="B184" s="129"/>
      <c r="C184" s="130"/>
      <c r="D184" s="130"/>
      <c r="E184" s="130"/>
      <c r="F184" s="130"/>
      <c r="G184" s="130"/>
      <c r="H184" s="130"/>
      <c r="I184" s="130"/>
      <c r="J184" s="131"/>
      <c r="K184" s="132"/>
      <c r="L184" s="132"/>
      <c r="M184" s="133"/>
    </row>
    <row r="185" spans="2:15" ht="30" customHeight="1" x14ac:dyDescent="0.35">
      <c r="B185" s="135"/>
      <c r="C185" s="135"/>
      <c r="D185" s="135"/>
      <c r="E185" s="135"/>
      <c r="F185" s="135"/>
      <c r="G185" s="135"/>
      <c r="H185" s="135"/>
      <c r="I185" s="135"/>
      <c r="J185" s="135"/>
      <c r="K185" s="135"/>
      <c r="L185" s="135"/>
      <c r="M185" s="135"/>
    </row>
    <row r="186" spans="2:15" ht="30" customHeight="1" x14ac:dyDescent="0.35">
      <c r="B186" s="135"/>
      <c r="C186" s="135"/>
      <c r="D186" s="135"/>
      <c r="E186" s="135"/>
      <c r="F186" s="135"/>
      <c r="G186" s="135"/>
      <c r="H186" s="135"/>
      <c r="I186" s="135"/>
      <c r="J186" s="135"/>
      <c r="K186" s="135"/>
      <c r="L186" s="135"/>
      <c r="M186" s="135"/>
    </row>
    <row r="187" spans="2:15" ht="30" customHeight="1" thickBot="1" x14ac:dyDescent="0.4">
      <c r="B187" s="135"/>
      <c r="C187" s="135"/>
      <c r="D187" s="135"/>
      <c r="E187" s="135"/>
      <c r="F187" s="135"/>
      <c r="G187" s="135"/>
      <c r="H187" s="135"/>
      <c r="I187" s="135"/>
      <c r="J187" s="135"/>
      <c r="K187" s="135"/>
      <c r="L187" s="135"/>
      <c r="M187" s="135"/>
      <c r="O187">
        <v>6</v>
      </c>
    </row>
    <row r="188" spans="2:15" ht="30" customHeight="1" x14ac:dyDescent="0.3">
      <c r="B188" s="584"/>
      <c r="C188" s="585"/>
      <c r="D188" s="585"/>
      <c r="E188" s="585"/>
      <c r="F188" s="585"/>
      <c r="G188" s="585"/>
      <c r="H188" s="585"/>
      <c r="I188" s="585"/>
      <c r="J188" s="585"/>
      <c r="K188" s="585"/>
      <c r="L188" s="585"/>
      <c r="M188" s="586"/>
    </row>
    <row r="189" spans="2:15" ht="30" customHeight="1" x14ac:dyDescent="0.3">
      <c r="B189" s="587" t="s">
        <v>62</v>
      </c>
      <c r="C189" s="588"/>
      <c r="D189" s="588"/>
      <c r="E189" s="588"/>
      <c r="F189" s="588"/>
      <c r="G189" s="588"/>
      <c r="H189" s="588"/>
      <c r="I189" s="588"/>
      <c r="J189" s="588"/>
      <c r="K189" s="588"/>
      <c r="L189" s="588"/>
      <c r="M189" s="589"/>
    </row>
    <row r="190" spans="2:15" ht="30" customHeight="1" x14ac:dyDescent="0.3">
      <c r="B190" s="95" t="s">
        <v>63</v>
      </c>
      <c r="C190" s="570" t="str">
        <f>C144</f>
        <v>Vessel name</v>
      </c>
      <c r="D190" s="570"/>
      <c r="E190" s="570"/>
      <c r="F190" s="96"/>
      <c r="G190" s="570"/>
      <c r="H190" s="570"/>
      <c r="I190" s="570"/>
      <c r="J190" s="96" t="s">
        <v>44</v>
      </c>
      <c r="K190" s="97"/>
      <c r="L190" s="582"/>
      <c r="M190" s="583"/>
    </row>
    <row r="191" spans="2:15" ht="42" customHeight="1" x14ac:dyDescent="0.3">
      <c r="B191" s="98"/>
      <c r="C191" s="96"/>
      <c r="D191" s="96"/>
      <c r="E191" s="99"/>
      <c r="F191" s="100"/>
      <c r="G191" s="100"/>
      <c r="H191" s="100"/>
      <c r="I191" s="96"/>
      <c r="J191" s="96"/>
      <c r="K191" s="97"/>
      <c r="L191" s="97"/>
      <c r="M191" s="101"/>
    </row>
    <row r="192" spans="2:15" ht="30" customHeight="1" x14ac:dyDescent="0.3">
      <c r="B192" s="95" t="s">
        <v>64</v>
      </c>
      <c r="C192" s="570">
        <f>+'PB '!C11</f>
        <v>0</v>
      </c>
      <c r="D192" s="570"/>
      <c r="E192" s="570"/>
      <c r="F192" s="570"/>
      <c r="G192" s="102"/>
      <c r="H192" s="96" t="s">
        <v>21</v>
      </c>
      <c r="I192" s="605" t="s">
        <v>139</v>
      </c>
      <c r="J192" s="570"/>
      <c r="K192" s="96"/>
      <c r="L192" s="582"/>
      <c r="M192" s="583"/>
    </row>
    <row r="193" spans="2:13" ht="30" customHeight="1" x14ac:dyDescent="0.3">
      <c r="B193" s="95"/>
      <c r="C193" s="96"/>
      <c r="D193" s="96"/>
      <c r="E193" s="96"/>
      <c r="F193" s="96"/>
      <c r="G193" s="96" t="s">
        <v>65</v>
      </c>
      <c r="H193" s="96"/>
      <c r="I193" s="96"/>
      <c r="J193" s="96"/>
      <c r="K193" s="96"/>
      <c r="L193" s="96"/>
      <c r="M193" s="101"/>
    </row>
    <row r="194" spans="2:13" ht="30" customHeight="1" x14ac:dyDescent="0.3">
      <c r="B194" s="95"/>
      <c r="C194" s="96"/>
      <c r="D194" s="96"/>
      <c r="E194" s="96"/>
      <c r="F194" s="96"/>
      <c r="G194" s="96" t="s">
        <v>44</v>
      </c>
      <c r="H194" s="96"/>
      <c r="I194" s="96"/>
      <c r="J194" s="96"/>
      <c r="K194" s="96"/>
      <c r="L194" s="96"/>
      <c r="M194" s="101"/>
    </row>
    <row r="195" spans="2:13" ht="30" customHeight="1" x14ac:dyDescent="0.3">
      <c r="B195" s="95"/>
      <c r="C195" s="96"/>
      <c r="D195" s="96"/>
      <c r="E195" s="96"/>
      <c r="F195" s="96"/>
      <c r="G195" s="103" t="s">
        <v>66</v>
      </c>
      <c r="H195" s="104"/>
      <c r="I195" s="103"/>
      <c r="J195" s="103"/>
      <c r="K195" s="96" t="s">
        <v>51</v>
      </c>
      <c r="L195" s="105">
        <f>'PB '!V11</f>
        <v>0</v>
      </c>
      <c r="M195" s="101"/>
    </row>
    <row r="196" spans="2:13" ht="30" customHeight="1" x14ac:dyDescent="0.3">
      <c r="B196" s="95"/>
      <c r="C196" s="96"/>
      <c r="D196" s="96"/>
      <c r="E196" s="96"/>
      <c r="F196" s="96"/>
      <c r="G196" s="96"/>
      <c r="H196" s="96"/>
      <c r="I196" s="96"/>
      <c r="J196" s="96"/>
      <c r="K196" s="96"/>
      <c r="L196" s="96"/>
      <c r="M196" s="101"/>
    </row>
    <row r="197" spans="2:13" ht="30" customHeight="1" x14ac:dyDescent="0.3">
      <c r="B197" s="590" t="s">
        <v>67</v>
      </c>
      <c r="C197" s="591"/>
      <c r="D197" s="592" t="s">
        <v>60</v>
      </c>
      <c r="E197" s="593"/>
      <c r="F197" s="579" t="s">
        <v>61</v>
      </c>
      <c r="G197" s="580"/>
      <c r="H197" s="106" t="s">
        <v>68</v>
      </c>
      <c r="I197" s="107" t="s">
        <v>69</v>
      </c>
      <c r="J197" s="106" t="s">
        <v>51</v>
      </c>
      <c r="K197" s="108"/>
      <c r="L197" s="108"/>
      <c r="M197" s="109"/>
    </row>
    <row r="198" spans="2:13" ht="30" customHeight="1" x14ac:dyDescent="0.3">
      <c r="B198" s="560" t="s">
        <v>70</v>
      </c>
      <c r="C198" s="581"/>
      <c r="D198" s="110">
        <f>'PB '!E11</f>
        <v>28</v>
      </c>
      <c r="E198" s="111">
        <f>E243</f>
        <v>0</v>
      </c>
      <c r="F198" s="112">
        <f>'PB '!F11</f>
        <v>31</v>
      </c>
      <c r="G198" s="111">
        <f>'PB '!C1</f>
        <v>0</v>
      </c>
      <c r="H198" s="113">
        <f>+'PB '!G11</f>
        <v>4</v>
      </c>
      <c r="I198" s="114">
        <v>199</v>
      </c>
      <c r="J198" s="115">
        <f>I198*H198/30</f>
        <v>26.533333333333335</v>
      </c>
      <c r="K198" s="96"/>
      <c r="L198" s="96"/>
      <c r="M198" s="101"/>
    </row>
    <row r="199" spans="2:13" ht="30" customHeight="1" x14ac:dyDescent="0.3">
      <c r="B199" s="560" t="s">
        <v>71</v>
      </c>
      <c r="C199" s="581"/>
      <c r="D199" s="110">
        <f>'PB '!E11</f>
        <v>28</v>
      </c>
      <c r="E199" s="111">
        <f>'PB '!C1</f>
        <v>0</v>
      </c>
      <c r="F199" s="112">
        <f>F198</f>
        <v>31</v>
      </c>
      <c r="G199" s="111">
        <f>'PB '!C1</f>
        <v>0</v>
      </c>
      <c r="H199" s="113">
        <f>+'PB '!G11</f>
        <v>4</v>
      </c>
      <c r="I199" s="114">
        <v>125</v>
      </c>
      <c r="J199" s="115">
        <f>I199*H199/30</f>
        <v>16.666666666666668</v>
      </c>
      <c r="K199" s="96"/>
      <c r="L199" s="96"/>
      <c r="M199" s="101"/>
    </row>
    <row r="200" spans="2:13" ht="30" customHeight="1" x14ac:dyDescent="0.3">
      <c r="B200" s="557" t="s">
        <v>72</v>
      </c>
      <c r="C200" s="558"/>
      <c r="D200" s="110">
        <f>'PB '!E11</f>
        <v>28</v>
      </c>
      <c r="E200" s="111">
        <f>'PB '!C1</f>
        <v>0</v>
      </c>
      <c r="F200" s="112">
        <f>F198</f>
        <v>31</v>
      </c>
      <c r="G200" s="111">
        <f>'PB '!C1</f>
        <v>0</v>
      </c>
      <c r="H200" s="113">
        <f>+'PB '!G11</f>
        <v>4</v>
      </c>
      <c r="I200" s="114">
        <v>26</v>
      </c>
      <c r="J200" s="115">
        <f>I200*H200/30</f>
        <v>3.4666666666666668</v>
      </c>
      <c r="K200" s="96"/>
      <c r="L200" s="96"/>
      <c r="M200" s="101"/>
    </row>
    <row r="201" spans="2:13" ht="30" customHeight="1" x14ac:dyDescent="0.3">
      <c r="B201" s="557" t="s">
        <v>73</v>
      </c>
      <c r="C201" s="558"/>
      <c r="D201" s="110">
        <f>'PB '!E11</f>
        <v>28</v>
      </c>
      <c r="E201" s="111">
        <f>'PB '!C1</f>
        <v>0</v>
      </c>
      <c r="F201" s="112">
        <f>F198</f>
        <v>31</v>
      </c>
      <c r="G201" s="111">
        <f>'PB '!C1</f>
        <v>0</v>
      </c>
      <c r="H201" s="113">
        <f>+'PB '!G11</f>
        <v>4</v>
      </c>
      <c r="I201" s="114">
        <v>0</v>
      </c>
      <c r="J201" s="115">
        <f>I201*H201/30</f>
        <v>0</v>
      </c>
      <c r="K201" s="96"/>
      <c r="L201" s="96"/>
      <c r="M201" s="101"/>
    </row>
    <row r="202" spans="2:13" ht="30" customHeight="1" x14ac:dyDescent="0.3">
      <c r="B202" s="562" t="s">
        <v>74</v>
      </c>
      <c r="C202" s="563"/>
      <c r="D202" s="110"/>
      <c r="E202" s="111"/>
      <c r="F202" s="112"/>
      <c r="G202" s="111"/>
      <c r="H202" s="113"/>
      <c r="I202" s="114"/>
      <c r="J202" s="115">
        <f>'PB '!L11</f>
        <v>6.6333333333333337</v>
      </c>
      <c r="K202" s="96"/>
      <c r="L202" s="96"/>
      <c r="M202" s="101"/>
    </row>
    <row r="203" spans="2:13" ht="30" customHeight="1" x14ac:dyDescent="0.3">
      <c r="B203" s="564" t="s">
        <v>153</v>
      </c>
      <c r="C203" s="561"/>
      <c r="D203" s="117"/>
      <c r="E203" s="111"/>
      <c r="F203" s="117"/>
      <c r="G203" s="111"/>
      <c r="H203" s="118"/>
      <c r="I203" s="114"/>
      <c r="J203" s="115">
        <f>'PB '!N11</f>
        <v>32.729999999999997</v>
      </c>
      <c r="K203" s="96"/>
      <c r="L203" s="96"/>
      <c r="M203" s="101"/>
    </row>
    <row r="204" spans="2:13" ht="30" customHeight="1" x14ac:dyDescent="0.3">
      <c r="B204" s="95"/>
      <c r="C204" s="96"/>
      <c r="D204" s="96"/>
      <c r="E204" s="96"/>
      <c r="F204" s="565" t="s">
        <v>76</v>
      </c>
      <c r="G204" s="565"/>
      <c r="H204" s="565"/>
      <c r="I204" s="566"/>
      <c r="J204" s="119">
        <f>SUM(J198:J203)</f>
        <v>86.03</v>
      </c>
      <c r="K204" s="120" t="s">
        <v>51</v>
      </c>
      <c r="L204" s="121">
        <f>J204</f>
        <v>86.03</v>
      </c>
      <c r="M204" s="101"/>
    </row>
    <row r="205" spans="2:13" ht="30" customHeight="1" thickBot="1" x14ac:dyDescent="0.35">
      <c r="B205" s="95"/>
      <c r="C205" s="96"/>
      <c r="D205" s="96"/>
      <c r="E205" s="96"/>
      <c r="F205" s="96"/>
      <c r="G205" s="96"/>
      <c r="H205" s="96"/>
      <c r="I205" s="96"/>
      <c r="J205" s="96"/>
      <c r="K205" s="96"/>
      <c r="L205" s="122">
        <f>L195+L204</f>
        <v>86.03</v>
      </c>
      <c r="M205" s="101"/>
    </row>
    <row r="206" spans="2:13" ht="30" customHeight="1" x14ac:dyDescent="0.3">
      <c r="B206" s="95"/>
      <c r="C206" s="96"/>
      <c r="D206" s="96"/>
      <c r="E206" s="96"/>
      <c r="F206" s="96"/>
      <c r="G206" s="96"/>
      <c r="H206" s="96"/>
      <c r="I206" s="96"/>
      <c r="J206" s="96"/>
      <c r="K206" s="96"/>
      <c r="L206" s="123"/>
      <c r="M206" s="101"/>
    </row>
    <row r="207" spans="2:13" ht="30" customHeight="1" x14ac:dyDescent="0.3">
      <c r="B207" s="95"/>
      <c r="C207" s="96"/>
      <c r="D207" s="96"/>
      <c r="E207" s="96"/>
      <c r="F207" s="96"/>
      <c r="G207" s="96"/>
      <c r="H207" s="96"/>
      <c r="I207" s="96"/>
      <c r="J207" s="96"/>
      <c r="K207" s="96"/>
      <c r="L207" s="123"/>
      <c r="M207" s="101"/>
    </row>
    <row r="208" spans="2:13" ht="30" customHeight="1" x14ac:dyDescent="0.3">
      <c r="B208" s="557" t="s">
        <v>77</v>
      </c>
      <c r="C208" s="558"/>
      <c r="D208" s="558"/>
      <c r="E208" s="558"/>
      <c r="F208" s="558"/>
      <c r="G208" s="558"/>
      <c r="H208" s="558"/>
      <c r="I208" s="559"/>
      <c r="J208" s="124"/>
      <c r="K208" s="96"/>
      <c r="L208" s="123"/>
      <c r="M208" s="101"/>
    </row>
    <row r="209" spans="2:13" ht="30" customHeight="1" x14ac:dyDescent="0.3">
      <c r="B209" s="560" t="s">
        <v>78</v>
      </c>
      <c r="C209" s="561"/>
      <c r="D209" s="561"/>
      <c r="E209" s="561"/>
      <c r="F209" s="561"/>
      <c r="G209" s="561"/>
      <c r="H209" s="561"/>
      <c r="I209" s="561"/>
      <c r="J209" s="114">
        <f>'PB '!Q11</f>
        <v>0</v>
      </c>
      <c r="K209" s="96"/>
      <c r="L209" s="123"/>
      <c r="M209" s="101"/>
    </row>
    <row r="210" spans="2:13" ht="30" customHeight="1" x14ac:dyDescent="0.3">
      <c r="B210" s="560" t="s">
        <v>79</v>
      </c>
      <c r="C210" s="561"/>
      <c r="D210" s="561"/>
      <c r="E210" s="561"/>
      <c r="F210" s="561"/>
      <c r="G210" s="561"/>
      <c r="H210" s="561"/>
      <c r="I210" s="561"/>
      <c r="J210" s="114">
        <f>'PB '!R11</f>
        <v>86.03</v>
      </c>
      <c r="K210" s="96"/>
      <c r="L210" s="123"/>
      <c r="M210" s="101"/>
    </row>
    <row r="211" spans="2:13" ht="30" customHeight="1" x14ac:dyDescent="0.3">
      <c r="B211" s="560" t="s">
        <v>80</v>
      </c>
      <c r="C211" s="561"/>
      <c r="D211" s="561"/>
      <c r="E211" s="561"/>
      <c r="F211" s="561"/>
      <c r="G211" s="561"/>
      <c r="H211" s="561"/>
      <c r="I211" s="561"/>
      <c r="J211" s="114">
        <f>'PB '!S11</f>
        <v>0</v>
      </c>
      <c r="K211" s="96"/>
      <c r="L211" s="123"/>
      <c r="M211" s="101"/>
    </row>
    <row r="212" spans="2:13" ht="30" customHeight="1" x14ac:dyDescent="0.3">
      <c r="B212" s="560" t="s">
        <v>81</v>
      </c>
      <c r="C212" s="561"/>
      <c r="D212" s="561"/>
      <c r="E212" s="561"/>
      <c r="F212" s="561"/>
      <c r="G212" s="561"/>
      <c r="H212" s="561"/>
      <c r="I212" s="561"/>
      <c r="J212" s="114">
        <v>0</v>
      </c>
      <c r="K212" s="96"/>
      <c r="L212" s="123"/>
      <c r="M212" s="101"/>
    </row>
    <row r="213" spans="2:13" ht="30" customHeight="1" x14ac:dyDescent="0.3">
      <c r="B213" s="557" t="s">
        <v>82</v>
      </c>
      <c r="C213" s="558"/>
      <c r="D213" s="558"/>
      <c r="E213" s="558"/>
      <c r="F213" s="558"/>
      <c r="G213" s="558"/>
      <c r="H213" s="558"/>
      <c r="I213" s="559"/>
      <c r="J213" s="114">
        <f>'PB '!T11</f>
        <v>0</v>
      </c>
      <c r="K213" s="96"/>
      <c r="L213" s="123"/>
      <c r="M213" s="101"/>
    </row>
    <row r="214" spans="2:13" ht="30" customHeight="1" thickBot="1" x14ac:dyDescent="0.35">
      <c r="B214" s="560"/>
      <c r="C214" s="561"/>
      <c r="D214" s="561"/>
      <c r="E214" s="561"/>
      <c r="F214" s="561"/>
      <c r="G214" s="561"/>
      <c r="H214" s="561"/>
      <c r="I214" s="561"/>
      <c r="J214" s="114"/>
      <c r="K214" s="96"/>
      <c r="L214" s="123"/>
      <c r="M214" s="101"/>
    </row>
    <row r="215" spans="2:13" ht="30" customHeight="1" thickBot="1" x14ac:dyDescent="0.35">
      <c r="B215" s="95"/>
      <c r="C215" s="96"/>
      <c r="D215" s="96"/>
      <c r="E215" s="96"/>
      <c r="F215" s="573" t="s">
        <v>83</v>
      </c>
      <c r="G215" s="574"/>
      <c r="H215" s="574"/>
      <c r="I215" s="575"/>
      <c r="J215" s="114">
        <f>SUM(J209:J213)</f>
        <v>86.03</v>
      </c>
      <c r="K215" s="96" t="s">
        <v>51</v>
      </c>
      <c r="L215" s="125">
        <f>J215</f>
        <v>86.03</v>
      </c>
      <c r="M215" s="101"/>
    </row>
    <row r="216" spans="2:13" ht="30" customHeight="1" x14ac:dyDescent="0.3">
      <c r="B216" s="95"/>
      <c r="C216" s="96"/>
      <c r="D216" s="96"/>
      <c r="E216" s="96"/>
      <c r="F216" s="96"/>
      <c r="G216" s="96"/>
      <c r="H216" s="96"/>
      <c r="I216" s="96"/>
      <c r="J216" s="96"/>
      <c r="K216" s="96"/>
      <c r="L216" s="123"/>
      <c r="M216" s="101"/>
    </row>
    <row r="217" spans="2:13" ht="30" customHeight="1" x14ac:dyDescent="0.3">
      <c r="B217" s="95"/>
      <c r="C217" s="96"/>
      <c r="D217" s="96"/>
      <c r="E217" s="96"/>
      <c r="F217" s="96"/>
      <c r="G217" s="96"/>
      <c r="H217" s="96"/>
      <c r="I217" s="96"/>
      <c r="J217" s="96"/>
      <c r="K217" s="96"/>
      <c r="L217" s="123"/>
      <c r="M217" s="101"/>
    </row>
    <row r="218" spans="2:13" ht="30" customHeight="1" thickBot="1" x14ac:dyDescent="0.35">
      <c r="B218" s="95"/>
      <c r="C218" s="96"/>
      <c r="D218" s="96"/>
      <c r="E218" s="96"/>
      <c r="F218" s="112" t="s">
        <v>84</v>
      </c>
      <c r="G218" s="112"/>
      <c r="H218" s="112"/>
      <c r="I218" s="112"/>
      <c r="J218" s="112"/>
      <c r="K218" s="96" t="s">
        <v>51</v>
      </c>
      <c r="L218" s="126">
        <f>L205-L215</f>
        <v>0</v>
      </c>
      <c r="M218" s="101"/>
    </row>
    <row r="219" spans="2:13" ht="30" customHeight="1" x14ac:dyDescent="0.3">
      <c r="B219" s="127"/>
      <c r="C219" s="96"/>
      <c r="D219" s="96"/>
      <c r="E219" s="96"/>
      <c r="F219" s="96"/>
      <c r="G219" s="96"/>
      <c r="H219" s="96"/>
      <c r="I219" s="96" t="s">
        <v>44</v>
      </c>
      <c r="J219" s="96" t="s">
        <v>44</v>
      </c>
      <c r="K219" s="96" t="s">
        <v>44</v>
      </c>
      <c r="L219" s="123" t="s">
        <v>44</v>
      </c>
      <c r="M219" s="101"/>
    </row>
    <row r="220" spans="2:13" ht="30" customHeight="1" x14ac:dyDescent="0.3">
      <c r="B220" s="127"/>
      <c r="C220" s="96"/>
      <c r="D220" s="96"/>
      <c r="E220" s="96"/>
      <c r="F220" s="96"/>
      <c r="G220" s="96"/>
      <c r="H220" s="96"/>
      <c r="I220" s="96"/>
      <c r="J220" s="96"/>
      <c r="K220" s="96"/>
      <c r="L220" s="123"/>
      <c r="M220" s="101"/>
    </row>
    <row r="221" spans="2:13" ht="30" customHeight="1" x14ac:dyDescent="0.3">
      <c r="B221" s="127"/>
      <c r="C221" s="96"/>
      <c r="D221" s="96"/>
      <c r="E221" s="96"/>
      <c r="F221" s="96"/>
      <c r="G221" s="96"/>
      <c r="H221" s="96"/>
      <c r="I221" s="96"/>
      <c r="J221" s="96"/>
      <c r="K221" s="96"/>
      <c r="L221" s="123"/>
      <c r="M221" s="101"/>
    </row>
    <row r="222" spans="2:13" ht="30" customHeight="1" x14ac:dyDescent="0.25">
      <c r="B222" s="576" t="s">
        <v>85</v>
      </c>
      <c r="C222" s="577"/>
      <c r="D222" s="577"/>
      <c r="E222" s="577"/>
      <c r="F222" s="577"/>
      <c r="G222" s="577"/>
      <c r="H222" s="577"/>
      <c r="I222" s="577"/>
      <c r="J222" s="577"/>
      <c r="K222" s="577"/>
      <c r="L222" s="577"/>
      <c r="M222" s="578"/>
    </row>
    <row r="223" spans="2:13" ht="30" customHeight="1" x14ac:dyDescent="0.25">
      <c r="B223" s="576" t="s">
        <v>86</v>
      </c>
      <c r="C223" s="577"/>
      <c r="D223" s="577"/>
      <c r="E223" s="577"/>
      <c r="F223" s="577"/>
      <c r="G223" s="577"/>
      <c r="H223" s="577"/>
      <c r="I223" s="577"/>
      <c r="J223" s="577"/>
      <c r="K223" s="577"/>
      <c r="L223" s="577"/>
      <c r="M223" s="578"/>
    </row>
    <row r="224" spans="2:13" ht="30" customHeight="1" x14ac:dyDescent="0.3">
      <c r="B224" s="95"/>
      <c r="C224" s="96"/>
      <c r="D224" s="96"/>
      <c r="E224" s="96"/>
      <c r="F224" s="96"/>
      <c r="G224" s="96"/>
      <c r="H224" s="96"/>
      <c r="I224" s="96"/>
      <c r="J224" s="96"/>
      <c r="K224" s="96"/>
      <c r="L224" s="96"/>
      <c r="M224" s="101"/>
    </row>
    <row r="225" spans="2:15" ht="30" customHeight="1" x14ac:dyDescent="0.3">
      <c r="B225" s="95"/>
      <c r="C225" s="96"/>
      <c r="D225" s="96"/>
      <c r="E225" s="96"/>
      <c r="F225" s="96"/>
      <c r="G225" s="96"/>
      <c r="H225" s="96"/>
      <c r="I225" s="96"/>
      <c r="J225" s="96"/>
      <c r="K225" s="96"/>
      <c r="L225" s="96"/>
      <c r="M225" s="101"/>
    </row>
    <row r="226" spans="2:15" ht="30" customHeight="1" x14ac:dyDescent="0.3">
      <c r="B226" s="567"/>
      <c r="C226" s="568"/>
      <c r="D226" s="568"/>
      <c r="E226" s="96"/>
      <c r="F226" s="96"/>
      <c r="G226" s="96"/>
      <c r="H226" s="96"/>
      <c r="I226" s="96"/>
      <c r="J226" s="568"/>
      <c r="K226" s="568"/>
      <c r="L226" s="568"/>
      <c r="M226" s="101"/>
    </row>
    <row r="227" spans="2:15" ht="20.25" customHeight="1" x14ac:dyDescent="0.3">
      <c r="B227" s="569" t="s">
        <v>87</v>
      </c>
      <c r="C227" s="570"/>
      <c r="D227" s="570"/>
      <c r="E227" s="96"/>
      <c r="F227" s="96"/>
      <c r="G227" s="96"/>
      <c r="H227" s="96"/>
      <c r="I227" s="128" t="s">
        <v>88</v>
      </c>
      <c r="J227" s="128"/>
      <c r="K227" s="128"/>
      <c r="L227" s="102"/>
      <c r="M227" s="101"/>
    </row>
    <row r="228" spans="2:15" ht="46.5" customHeight="1" x14ac:dyDescent="0.3">
      <c r="B228" s="95" t="s">
        <v>44</v>
      </c>
      <c r="C228" s="96"/>
      <c r="D228" s="96"/>
      <c r="E228" s="96"/>
      <c r="F228" s="96"/>
      <c r="G228" s="96"/>
      <c r="H228" s="96"/>
      <c r="I228" s="96"/>
      <c r="J228" s="570"/>
      <c r="K228" s="570"/>
      <c r="L228" s="570"/>
      <c r="M228" s="101"/>
    </row>
    <row r="229" spans="2:15" ht="30" customHeight="1" x14ac:dyDescent="0.3">
      <c r="B229" s="95" t="s">
        <v>104</v>
      </c>
      <c r="C229" s="570">
        <f>C192</f>
        <v>0</v>
      </c>
      <c r="D229" s="570"/>
      <c r="E229" s="570"/>
      <c r="F229" s="96"/>
      <c r="G229" s="96"/>
      <c r="H229" s="96"/>
      <c r="I229" s="99" t="s">
        <v>104</v>
      </c>
      <c r="J229" s="571">
        <f>+'PB '!C7</f>
        <v>0</v>
      </c>
      <c r="K229" s="571"/>
      <c r="L229" s="571"/>
      <c r="M229" s="572"/>
    </row>
    <row r="230" spans="2:15" ht="30" customHeight="1" thickBot="1" x14ac:dyDescent="0.35">
      <c r="B230" s="129"/>
      <c r="C230" s="130"/>
      <c r="D230" s="130"/>
      <c r="E230" s="130"/>
      <c r="F230" s="130"/>
      <c r="G230" s="130"/>
      <c r="H230" s="130"/>
      <c r="I230" s="130"/>
      <c r="J230" s="131"/>
      <c r="K230" s="132"/>
      <c r="L230" s="132"/>
      <c r="M230" s="133"/>
    </row>
    <row r="231" spans="2:15" ht="30" customHeight="1" x14ac:dyDescent="0.35">
      <c r="B231" s="135"/>
      <c r="C231" s="135"/>
      <c r="D231" s="135"/>
      <c r="E231" s="135"/>
      <c r="F231" s="135"/>
      <c r="G231" s="135"/>
      <c r="H231" s="135"/>
      <c r="I231" s="135"/>
      <c r="J231" s="135"/>
      <c r="K231" s="135"/>
      <c r="L231" s="135"/>
      <c r="M231" s="135"/>
    </row>
    <row r="232" spans="2:15" ht="30" customHeight="1" thickBot="1" x14ac:dyDescent="0.4">
      <c r="B232" s="135"/>
      <c r="C232" s="135"/>
      <c r="D232" s="135"/>
      <c r="E232" s="135"/>
      <c r="F232" s="135"/>
      <c r="G232" s="135"/>
      <c r="H232" s="135"/>
      <c r="I232" s="135"/>
      <c r="J232" s="135"/>
      <c r="K232" s="135"/>
      <c r="L232" s="135"/>
      <c r="M232" s="135"/>
    </row>
    <row r="233" spans="2:15" ht="30" customHeight="1" x14ac:dyDescent="0.3">
      <c r="B233" s="584"/>
      <c r="C233" s="585"/>
      <c r="D233" s="585"/>
      <c r="E233" s="585"/>
      <c r="F233" s="585"/>
      <c r="G233" s="585"/>
      <c r="H233" s="585"/>
      <c r="I233" s="585"/>
      <c r="J233" s="585"/>
      <c r="K233" s="585"/>
      <c r="L233" s="585"/>
      <c r="M233" s="586"/>
    </row>
    <row r="234" spans="2:15" ht="30" customHeight="1" x14ac:dyDescent="0.3">
      <c r="B234" s="587" t="s">
        <v>62</v>
      </c>
      <c r="C234" s="588"/>
      <c r="D234" s="588"/>
      <c r="E234" s="588"/>
      <c r="F234" s="588"/>
      <c r="G234" s="588"/>
      <c r="H234" s="588"/>
      <c r="I234" s="588"/>
      <c r="J234" s="588"/>
      <c r="K234" s="588"/>
      <c r="L234" s="588"/>
      <c r="M234" s="589"/>
      <c r="O234">
        <v>7</v>
      </c>
    </row>
    <row r="235" spans="2:15" ht="30" customHeight="1" x14ac:dyDescent="0.3">
      <c r="B235" s="95" t="s">
        <v>63</v>
      </c>
      <c r="C235" s="570" t="str">
        <f>C190</f>
        <v>Vessel name</v>
      </c>
      <c r="D235" s="570"/>
      <c r="E235" s="570"/>
      <c r="F235" s="96"/>
      <c r="G235" s="570"/>
      <c r="H235" s="570"/>
      <c r="I235" s="570"/>
      <c r="J235" s="96" t="s">
        <v>44</v>
      </c>
      <c r="K235" s="97"/>
      <c r="L235" s="582"/>
      <c r="M235" s="583"/>
    </row>
    <row r="236" spans="2:15" ht="30" customHeight="1" x14ac:dyDescent="0.3">
      <c r="B236" s="98"/>
      <c r="C236" s="96"/>
      <c r="D236" s="96"/>
      <c r="E236" s="99"/>
      <c r="F236" s="100"/>
      <c r="G236" s="100"/>
      <c r="H236" s="100"/>
      <c r="I236" s="96"/>
      <c r="J236" s="96"/>
      <c r="K236" s="97"/>
      <c r="L236" s="97"/>
      <c r="M236" s="101"/>
    </row>
    <row r="237" spans="2:15" ht="30" customHeight="1" x14ac:dyDescent="0.3">
      <c r="B237" s="95" t="s">
        <v>64</v>
      </c>
      <c r="C237" s="602">
        <f>+'PB '!C12</f>
        <v>0</v>
      </c>
      <c r="D237" s="602"/>
      <c r="E237" s="602"/>
      <c r="F237" s="602"/>
      <c r="G237" s="102"/>
      <c r="H237" s="96" t="s">
        <v>21</v>
      </c>
      <c r="I237" s="605" t="s">
        <v>133</v>
      </c>
      <c r="J237" s="570"/>
      <c r="K237" s="96"/>
      <c r="L237" s="582"/>
      <c r="M237" s="583"/>
    </row>
    <row r="238" spans="2:15" ht="30" customHeight="1" x14ac:dyDescent="0.3">
      <c r="B238" s="95"/>
      <c r="C238" s="96"/>
      <c r="D238" s="96"/>
      <c r="E238" s="96"/>
      <c r="F238" s="96"/>
      <c r="G238" s="96" t="s">
        <v>65</v>
      </c>
      <c r="H238" s="96"/>
      <c r="I238" s="96"/>
      <c r="J238" s="96"/>
      <c r="K238" s="96"/>
      <c r="L238" s="96"/>
      <c r="M238" s="101"/>
    </row>
    <row r="239" spans="2:15" ht="30" customHeight="1" x14ac:dyDescent="0.3">
      <c r="B239" s="95"/>
      <c r="C239" s="96"/>
      <c r="D239" s="96"/>
      <c r="E239" s="96"/>
      <c r="F239" s="96"/>
      <c r="G239" s="96" t="s">
        <v>44</v>
      </c>
      <c r="H239" s="96"/>
      <c r="I239" s="96"/>
      <c r="J239" s="96"/>
      <c r="K239" s="96"/>
      <c r="L239" s="96"/>
      <c r="M239" s="101"/>
    </row>
    <row r="240" spans="2:15" ht="30" customHeight="1" x14ac:dyDescent="0.3">
      <c r="B240" s="95"/>
      <c r="C240" s="96"/>
      <c r="D240" s="96"/>
      <c r="E240" s="96"/>
      <c r="F240" s="96"/>
      <c r="G240" s="103" t="s">
        <v>66</v>
      </c>
      <c r="H240" s="104"/>
      <c r="I240" s="103"/>
      <c r="J240" s="103"/>
      <c r="K240" s="96" t="s">
        <v>51</v>
      </c>
      <c r="L240" s="105">
        <f>'PB '!V12</f>
        <v>0</v>
      </c>
      <c r="M240" s="101"/>
    </row>
    <row r="241" spans="2:13" ht="30" customHeight="1" x14ac:dyDescent="0.3">
      <c r="B241" s="95"/>
      <c r="C241" s="96"/>
      <c r="D241" s="96"/>
      <c r="E241" s="96"/>
      <c r="F241" s="96"/>
      <c r="G241" s="96"/>
      <c r="H241" s="96"/>
      <c r="I241" s="96"/>
      <c r="J241" s="96"/>
      <c r="K241" s="96"/>
      <c r="L241" s="96"/>
      <c r="M241" s="101"/>
    </row>
    <row r="242" spans="2:13" ht="30" customHeight="1" x14ac:dyDescent="0.3">
      <c r="B242" s="590" t="s">
        <v>67</v>
      </c>
      <c r="C242" s="591"/>
      <c r="D242" s="592" t="s">
        <v>60</v>
      </c>
      <c r="E242" s="593"/>
      <c r="F242" s="579" t="s">
        <v>61</v>
      </c>
      <c r="G242" s="580"/>
      <c r="H242" s="106" t="s">
        <v>68</v>
      </c>
      <c r="I242" s="107" t="s">
        <v>69</v>
      </c>
      <c r="J242" s="106" t="s">
        <v>51</v>
      </c>
      <c r="K242" s="108"/>
      <c r="L242" s="108"/>
      <c r="M242" s="109"/>
    </row>
    <row r="243" spans="2:13" ht="30" customHeight="1" x14ac:dyDescent="0.3">
      <c r="B243" s="560" t="s">
        <v>70</v>
      </c>
      <c r="C243" s="581"/>
      <c r="D243" s="110">
        <f>'PB '!E12</f>
        <v>28</v>
      </c>
      <c r="E243" s="111">
        <f>'PB '!C1</f>
        <v>0</v>
      </c>
      <c r="F243" s="112">
        <f>'PB '!F12</f>
        <v>31</v>
      </c>
      <c r="G243" s="111">
        <f>'PB '!C1</f>
        <v>0</v>
      </c>
      <c r="H243" s="113">
        <f>+'PB '!G12</f>
        <v>4</v>
      </c>
      <c r="I243" s="114">
        <v>2061</v>
      </c>
      <c r="J243" s="115">
        <f>I243*H243/30</f>
        <v>274.8</v>
      </c>
      <c r="K243" s="96"/>
      <c r="L243" s="96"/>
      <c r="M243" s="101"/>
    </row>
    <row r="244" spans="2:13" ht="30" customHeight="1" x14ac:dyDescent="0.3">
      <c r="B244" s="560" t="s">
        <v>71</v>
      </c>
      <c r="C244" s="581"/>
      <c r="D244" s="110">
        <f>'PB '!E12</f>
        <v>28</v>
      </c>
      <c r="E244" s="111">
        <f>E243</f>
        <v>0</v>
      </c>
      <c r="F244" s="112">
        <f>F243</f>
        <v>31</v>
      </c>
      <c r="G244" s="111">
        <f>G243</f>
        <v>0</v>
      </c>
      <c r="H244" s="113">
        <f>+'PB '!G12</f>
        <v>4</v>
      </c>
      <c r="I244" s="114">
        <v>1288</v>
      </c>
      <c r="J244" s="115">
        <f>I244*H244/30</f>
        <v>171.73333333333332</v>
      </c>
      <c r="K244" s="96"/>
      <c r="L244" s="96"/>
      <c r="M244" s="101"/>
    </row>
    <row r="245" spans="2:13" ht="30" customHeight="1" x14ac:dyDescent="0.3">
      <c r="B245" s="557" t="s">
        <v>72</v>
      </c>
      <c r="C245" s="558"/>
      <c r="D245" s="110">
        <f>'PB '!E12</f>
        <v>28</v>
      </c>
      <c r="E245" s="111">
        <f t="shared" ref="E245:E246" si="3">E244</f>
        <v>0</v>
      </c>
      <c r="F245" s="112">
        <f>F243</f>
        <v>31</v>
      </c>
      <c r="G245" s="111">
        <f t="shared" ref="G245:G246" si="4">G244</f>
        <v>0</v>
      </c>
      <c r="H245" s="113">
        <f>+'PB '!G12</f>
        <v>4</v>
      </c>
      <c r="I245" s="114">
        <v>297.01</v>
      </c>
      <c r="J245" s="115">
        <f>I245*H245/30</f>
        <v>39.601333333333329</v>
      </c>
      <c r="K245" s="96"/>
      <c r="L245" s="96"/>
      <c r="M245" s="101"/>
    </row>
    <row r="246" spans="2:13" ht="30" customHeight="1" x14ac:dyDescent="0.3">
      <c r="B246" s="557" t="s">
        <v>73</v>
      </c>
      <c r="C246" s="558"/>
      <c r="D246" s="110">
        <f>'PB '!E12</f>
        <v>28</v>
      </c>
      <c r="E246" s="111">
        <f t="shared" si="3"/>
        <v>0</v>
      </c>
      <c r="F246" s="112">
        <f>F243</f>
        <v>31</v>
      </c>
      <c r="G246" s="111">
        <f t="shared" si="4"/>
        <v>0</v>
      </c>
      <c r="H246" s="113">
        <f>+'PB '!G12</f>
        <v>4</v>
      </c>
      <c r="I246" s="114">
        <v>11553.99</v>
      </c>
      <c r="J246" s="115">
        <f>I246*H246/30</f>
        <v>1540.5319999999999</v>
      </c>
      <c r="K246" s="96"/>
      <c r="L246" s="96"/>
      <c r="M246" s="101"/>
    </row>
    <row r="247" spans="2:13" ht="30" customHeight="1" x14ac:dyDescent="0.3">
      <c r="B247" s="562" t="s">
        <v>74</v>
      </c>
      <c r="C247" s="563"/>
      <c r="D247" s="110"/>
      <c r="E247" s="111"/>
      <c r="F247" s="112"/>
      <c r="G247" s="111"/>
      <c r="H247" s="118"/>
      <c r="I247" s="114"/>
      <c r="J247" s="115">
        <f>'PB '!L12</f>
        <v>68.7</v>
      </c>
      <c r="K247" s="96"/>
      <c r="L247" s="96"/>
      <c r="M247" s="101"/>
    </row>
    <row r="248" spans="2:13" ht="30" customHeight="1" x14ac:dyDescent="0.3">
      <c r="B248" s="564" t="s">
        <v>153</v>
      </c>
      <c r="C248" s="561"/>
      <c r="D248" s="117"/>
      <c r="E248" s="111"/>
      <c r="F248" s="117"/>
      <c r="G248" s="111"/>
      <c r="H248" s="118"/>
      <c r="I248" s="114"/>
      <c r="J248" s="115">
        <f>'PB '!N12</f>
        <v>67.650000000000006</v>
      </c>
      <c r="K248" s="96"/>
      <c r="L248" s="96"/>
      <c r="M248" s="101"/>
    </row>
    <row r="249" spans="2:13" ht="30" customHeight="1" x14ac:dyDescent="0.3">
      <c r="B249" s="95"/>
      <c r="C249" s="96"/>
      <c r="D249" s="96"/>
      <c r="E249" s="96"/>
      <c r="F249" s="565" t="s">
        <v>76</v>
      </c>
      <c r="G249" s="565"/>
      <c r="H249" s="565"/>
      <c r="I249" s="566"/>
      <c r="J249" s="119">
        <f>SUM(J243:J248)</f>
        <v>2163.0166666666664</v>
      </c>
      <c r="K249" s="120" t="s">
        <v>51</v>
      </c>
      <c r="L249" s="121">
        <f>J249</f>
        <v>2163.0166666666664</v>
      </c>
      <c r="M249" s="101"/>
    </row>
    <row r="250" spans="2:13" ht="30" customHeight="1" thickBot="1" x14ac:dyDescent="0.35">
      <c r="B250" s="95"/>
      <c r="C250" s="96"/>
      <c r="D250" s="96"/>
      <c r="E250" s="96"/>
      <c r="F250" s="96"/>
      <c r="G250" s="96"/>
      <c r="H250" s="96"/>
      <c r="I250" s="96"/>
      <c r="J250" s="96"/>
      <c r="K250" s="96"/>
      <c r="L250" s="122">
        <f>L240+L249</f>
        <v>2163.0166666666664</v>
      </c>
      <c r="M250" s="101"/>
    </row>
    <row r="251" spans="2:13" ht="30" customHeight="1" x14ac:dyDescent="0.3">
      <c r="B251" s="95"/>
      <c r="C251" s="96"/>
      <c r="D251" s="96"/>
      <c r="E251" s="96"/>
      <c r="F251" s="96"/>
      <c r="G251" s="96"/>
      <c r="H251" s="96"/>
      <c r="I251" s="96"/>
      <c r="J251" s="96"/>
      <c r="K251" s="96"/>
      <c r="L251" s="123"/>
      <c r="M251" s="101"/>
    </row>
    <row r="252" spans="2:13" ht="30" customHeight="1" x14ac:dyDescent="0.3">
      <c r="B252" s="95"/>
      <c r="C252" s="96"/>
      <c r="D252" s="96"/>
      <c r="E252" s="96"/>
      <c r="F252" s="96"/>
      <c r="G252" s="96"/>
      <c r="H252" s="96"/>
      <c r="I252" s="96"/>
      <c r="J252" s="96"/>
      <c r="K252" s="96"/>
      <c r="L252" s="123"/>
      <c r="M252" s="101"/>
    </row>
    <row r="253" spans="2:13" ht="30" customHeight="1" x14ac:dyDescent="0.3">
      <c r="B253" s="557" t="s">
        <v>77</v>
      </c>
      <c r="C253" s="558"/>
      <c r="D253" s="558"/>
      <c r="E253" s="558"/>
      <c r="F253" s="558"/>
      <c r="G253" s="558"/>
      <c r="H253" s="558"/>
      <c r="I253" s="559"/>
      <c r="J253" s="124"/>
      <c r="K253" s="96"/>
      <c r="L253" s="123"/>
      <c r="M253" s="101"/>
    </row>
    <row r="254" spans="2:13" ht="30" customHeight="1" x14ac:dyDescent="0.3">
      <c r="B254" s="560" t="s">
        <v>78</v>
      </c>
      <c r="C254" s="561"/>
      <c r="D254" s="561"/>
      <c r="E254" s="561"/>
      <c r="F254" s="561"/>
      <c r="G254" s="561"/>
      <c r="H254" s="561"/>
      <c r="I254" s="561"/>
      <c r="J254" s="114">
        <f>'PB '!Q12</f>
        <v>0</v>
      </c>
      <c r="K254" s="96"/>
      <c r="L254" s="123"/>
      <c r="M254" s="101"/>
    </row>
    <row r="255" spans="2:13" ht="30" customHeight="1" x14ac:dyDescent="0.3">
      <c r="B255" s="560" t="s">
        <v>79</v>
      </c>
      <c r="C255" s="561"/>
      <c r="D255" s="561"/>
      <c r="E255" s="561"/>
      <c r="F255" s="561"/>
      <c r="G255" s="561"/>
      <c r="H255" s="561"/>
      <c r="I255" s="561"/>
      <c r="J255" s="114">
        <f>'PB '!R12</f>
        <v>2163.0166666666664</v>
      </c>
      <c r="K255" s="96"/>
      <c r="L255" s="123"/>
      <c r="M255" s="101"/>
    </row>
    <row r="256" spans="2:13" ht="30" customHeight="1" x14ac:dyDescent="0.3">
      <c r="B256" s="560" t="s">
        <v>80</v>
      </c>
      <c r="C256" s="561"/>
      <c r="D256" s="561"/>
      <c r="E256" s="561"/>
      <c r="F256" s="561"/>
      <c r="G256" s="561"/>
      <c r="H256" s="561"/>
      <c r="I256" s="561"/>
      <c r="J256" s="114">
        <f>'PB '!S12</f>
        <v>0</v>
      </c>
      <c r="K256" s="96"/>
      <c r="L256" s="123"/>
      <c r="M256" s="101"/>
    </row>
    <row r="257" spans="2:13" ht="30" customHeight="1" x14ac:dyDescent="0.3">
      <c r="B257" s="560" t="s">
        <v>81</v>
      </c>
      <c r="C257" s="561"/>
      <c r="D257" s="561"/>
      <c r="E257" s="561"/>
      <c r="F257" s="561"/>
      <c r="G257" s="561"/>
      <c r="H257" s="561"/>
      <c r="I257" s="561"/>
      <c r="J257" s="114">
        <v>0</v>
      </c>
      <c r="K257" s="96"/>
      <c r="L257" s="123"/>
      <c r="M257" s="101"/>
    </row>
    <row r="258" spans="2:13" ht="30" customHeight="1" x14ac:dyDescent="0.3">
      <c r="B258" s="557" t="s">
        <v>82</v>
      </c>
      <c r="C258" s="558"/>
      <c r="D258" s="558"/>
      <c r="E258" s="558"/>
      <c r="F258" s="558"/>
      <c r="G258" s="558"/>
      <c r="H258" s="558"/>
      <c r="I258" s="559"/>
      <c r="J258" s="114">
        <f>'PB '!T12</f>
        <v>0</v>
      </c>
      <c r="K258" s="96"/>
      <c r="L258" s="123"/>
      <c r="M258" s="101"/>
    </row>
    <row r="259" spans="2:13" ht="30" customHeight="1" thickBot="1" x14ac:dyDescent="0.35">
      <c r="B259" s="560"/>
      <c r="C259" s="561"/>
      <c r="D259" s="561"/>
      <c r="E259" s="561"/>
      <c r="F259" s="561"/>
      <c r="G259" s="561"/>
      <c r="H259" s="561"/>
      <c r="I259" s="561"/>
      <c r="J259" s="114"/>
      <c r="K259" s="96"/>
      <c r="L259" s="123"/>
      <c r="M259" s="101"/>
    </row>
    <row r="260" spans="2:13" ht="30" customHeight="1" thickBot="1" x14ac:dyDescent="0.35">
      <c r="B260" s="95"/>
      <c r="C260" s="96"/>
      <c r="D260" s="96"/>
      <c r="E260" s="96"/>
      <c r="F260" s="573" t="s">
        <v>83</v>
      </c>
      <c r="G260" s="574"/>
      <c r="H260" s="574"/>
      <c r="I260" s="575"/>
      <c r="J260" s="114">
        <f>SUM(J254:J258)</f>
        <v>2163.0166666666664</v>
      </c>
      <c r="K260" s="96" t="s">
        <v>51</v>
      </c>
      <c r="L260" s="125">
        <f>J260</f>
        <v>2163.0166666666664</v>
      </c>
      <c r="M260" s="101"/>
    </row>
    <row r="261" spans="2:13" ht="30" customHeight="1" x14ac:dyDescent="0.3">
      <c r="B261" s="95"/>
      <c r="C261" s="96"/>
      <c r="D261" s="96"/>
      <c r="E261" s="96"/>
      <c r="F261" s="96"/>
      <c r="G261" s="96"/>
      <c r="H261" s="96"/>
      <c r="I261" s="96"/>
      <c r="J261" s="96"/>
      <c r="K261" s="96"/>
      <c r="L261" s="123"/>
      <c r="M261" s="101"/>
    </row>
    <row r="262" spans="2:13" ht="30" customHeight="1" x14ac:dyDescent="0.3">
      <c r="B262" s="95"/>
      <c r="C262" s="96"/>
      <c r="D262" s="96"/>
      <c r="E262" s="96"/>
      <c r="F262" s="96"/>
      <c r="G262" s="96"/>
      <c r="H262" s="96"/>
      <c r="I262" s="96"/>
      <c r="J262" s="96"/>
      <c r="K262" s="96"/>
      <c r="L262" s="123"/>
      <c r="M262" s="101"/>
    </row>
    <row r="263" spans="2:13" ht="30" customHeight="1" thickBot="1" x14ac:dyDescent="0.35">
      <c r="B263" s="95"/>
      <c r="C263" s="96"/>
      <c r="D263" s="96"/>
      <c r="E263" s="96"/>
      <c r="F263" s="112" t="s">
        <v>84</v>
      </c>
      <c r="G263" s="112"/>
      <c r="H263" s="112"/>
      <c r="I263" s="112"/>
      <c r="J263" s="112"/>
      <c r="K263" s="96" t="s">
        <v>51</v>
      </c>
      <c r="L263" s="126">
        <f>L250-L260</f>
        <v>0</v>
      </c>
      <c r="M263" s="101"/>
    </row>
    <row r="264" spans="2:13" ht="30" customHeight="1" x14ac:dyDescent="0.3">
      <c r="B264" s="127"/>
      <c r="C264" s="96"/>
      <c r="D264" s="96"/>
      <c r="E264" s="96"/>
      <c r="F264" s="96"/>
      <c r="G264" s="96"/>
      <c r="H264" s="96"/>
      <c r="I264" s="96" t="s">
        <v>44</v>
      </c>
      <c r="J264" s="96" t="s">
        <v>44</v>
      </c>
      <c r="K264" s="96" t="s">
        <v>44</v>
      </c>
      <c r="L264" s="123" t="s">
        <v>44</v>
      </c>
      <c r="M264" s="101"/>
    </row>
    <row r="265" spans="2:13" ht="30" customHeight="1" x14ac:dyDescent="0.3">
      <c r="B265" s="127"/>
      <c r="C265" s="96"/>
      <c r="D265" s="96"/>
      <c r="E265" s="96"/>
      <c r="F265" s="96"/>
      <c r="G265" s="96"/>
      <c r="H265" s="96"/>
      <c r="I265" s="96"/>
      <c r="J265" s="96"/>
      <c r="K265" s="96"/>
      <c r="L265" s="123"/>
      <c r="M265" s="101"/>
    </row>
    <row r="266" spans="2:13" ht="30" customHeight="1" x14ac:dyDescent="0.3">
      <c r="B266" s="609" t="s">
        <v>85</v>
      </c>
      <c r="C266" s="610"/>
      <c r="D266" s="610"/>
      <c r="E266" s="610"/>
      <c r="F266" s="610"/>
      <c r="G266" s="610"/>
      <c r="H266" s="610"/>
      <c r="I266" s="610"/>
      <c r="J266" s="610"/>
      <c r="K266" s="610"/>
      <c r="L266" s="610"/>
      <c r="M266" s="611"/>
    </row>
    <row r="267" spans="2:13" ht="30" customHeight="1" x14ac:dyDescent="0.25">
      <c r="B267" s="576" t="s">
        <v>196</v>
      </c>
      <c r="C267" s="577"/>
      <c r="D267" s="577"/>
      <c r="E267" s="577"/>
      <c r="F267" s="577"/>
      <c r="G267" s="577"/>
      <c r="H267" s="577"/>
      <c r="I267" s="577"/>
      <c r="J267" s="577"/>
      <c r="K267" s="577"/>
      <c r="L267" s="577"/>
      <c r="M267" s="578"/>
    </row>
    <row r="268" spans="2:13" ht="30" customHeight="1" x14ac:dyDescent="0.25">
      <c r="B268" s="606"/>
      <c r="C268" s="607"/>
      <c r="D268" s="607"/>
      <c r="E268" s="607"/>
      <c r="F268" s="607"/>
      <c r="G268" s="607"/>
      <c r="H268" s="607"/>
      <c r="I268" s="607"/>
      <c r="J268" s="607"/>
      <c r="K268" s="607"/>
      <c r="L268" s="607"/>
      <c r="M268" s="608"/>
    </row>
    <row r="269" spans="2:13" ht="30" customHeight="1" x14ac:dyDescent="0.3">
      <c r="B269" s="613"/>
      <c r="C269" s="614"/>
      <c r="D269" s="614"/>
      <c r="E269" s="614"/>
      <c r="F269" s="614"/>
      <c r="G269" s="614"/>
      <c r="H269" s="614"/>
      <c r="I269" s="614"/>
      <c r="J269" s="614"/>
      <c r="K269" s="614"/>
      <c r="L269" s="614"/>
      <c r="M269" s="615"/>
    </row>
    <row r="270" spans="2:13" ht="30" customHeight="1" x14ac:dyDescent="0.3">
      <c r="B270" s="95"/>
      <c r="C270" s="96"/>
      <c r="D270" s="96"/>
      <c r="E270" s="96"/>
      <c r="F270" s="96"/>
      <c r="G270" s="96"/>
      <c r="H270" s="96"/>
      <c r="I270" s="96"/>
      <c r="J270" s="96"/>
      <c r="K270" s="96"/>
      <c r="L270" s="96"/>
      <c r="M270" s="101"/>
    </row>
    <row r="271" spans="2:13" ht="30" customHeight="1" x14ac:dyDescent="0.3">
      <c r="B271" s="567"/>
      <c r="C271" s="568"/>
      <c r="D271" s="568"/>
      <c r="E271" s="96"/>
      <c r="F271" s="96"/>
      <c r="G271" s="96"/>
      <c r="H271" s="96"/>
      <c r="I271" s="96"/>
      <c r="J271" s="568"/>
      <c r="K271" s="568"/>
      <c r="L271" s="568"/>
      <c r="M271" s="101"/>
    </row>
    <row r="272" spans="2:13" ht="30" customHeight="1" x14ac:dyDescent="0.3">
      <c r="B272" s="569" t="s">
        <v>87</v>
      </c>
      <c r="C272" s="570"/>
      <c r="D272" s="570"/>
      <c r="E272" s="96"/>
      <c r="F272" s="96"/>
      <c r="G272" s="96"/>
      <c r="H272" s="96"/>
      <c r="I272" s="128" t="s">
        <v>88</v>
      </c>
      <c r="J272" s="128"/>
      <c r="K272" s="128"/>
      <c r="L272" s="102"/>
      <c r="M272" s="101"/>
    </row>
    <row r="273" spans="2:15" ht="30" customHeight="1" x14ac:dyDescent="0.3">
      <c r="B273" s="95" t="s">
        <v>44</v>
      </c>
      <c r="C273" s="96"/>
      <c r="D273" s="96"/>
      <c r="E273" s="96"/>
      <c r="F273" s="96"/>
      <c r="G273" s="96"/>
      <c r="H273" s="96"/>
      <c r="I273" s="96"/>
      <c r="J273" s="570"/>
      <c r="K273" s="570"/>
      <c r="L273" s="570"/>
      <c r="M273" s="101"/>
    </row>
    <row r="274" spans="2:15" ht="30" customHeight="1" x14ac:dyDescent="0.3">
      <c r="B274" s="95" t="s">
        <v>104</v>
      </c>
      <c r="C274" s="602">
        <f>C237</f>
        <v>0</v>
      </c>
      <c r="D274" s="602"/>
      <c r="E274" s="602"/>
      <c r="F274" s="602"/>
      <c r="G274" s="96"/>
      <c r="H274" s="96"/>
      <c r="I274" s="99" t="s">
        <v>104</v>
      </c>
      <c r="J274" s="571">
        <f>+'PB '!C7</f>
        <v>0</v>
      </c>
      <c r="K274" s="571"/>
      <c r="L274" s="571"/>
      <c r="M274" s="572"/>
    </row>
    <row r="275" spans="2:15" ht="30" customHeight="1" thickBot="1" x14ac:dyDescent="0.35">
      <c r="B275" s="129"/>
      <c r="C275" s="130"/>
      <c r="D275" s="130"/>
      <c r="E275" s="130"/>
      <c r="F275" s="130"/>
      <c r="G275" s="130"/>
      <c r="H275" s="130"/>
      <c r="I275" s="130"/>
      <c r="J275" s="131"/>
      <c r="K275" s="132"/>
      <c r="L275" s="132"/>
      <c r="M275" s="133"/>
    </row>
    <row r="276" spans="2:15" ht="30" customHeight="1" x14ac:dyDescent="0.35">
      <c r="B276" s="135"/>
      <c r="C276" s="135"/>
      <c r="D276" s="135"/>
      <c r="E276" s="135"/>
      <c r="F276" s="135"/>
      <c r="G276" s="135"/>
      <c r="H276" s="135"/>
      <c r="I276" s="135"/>
      <c r="J276" s="135"/>
      <c r="K276" s="135"/>
      <c r="L276" s="135"/>
      <c r="M276" s="135"/>
    </row>
    <row r="277" spans="2:15" ht="30" customHeight="1" x14ac:dyDescent="0.35">
      <c r="B277" s="135"/>
      <c r="C277" s="135"/>
      <c r="D277" s="135"/>
      <c r="E277" s="135"/>
      <c r="F277" s="135"/>
      <c r="G277" s="135"/>
      <c r="H277" s="135"/>
      <c r="I277" s="135"/>
      <c r="J277" s="135"/>
      <c r="K277" s="135"/>
      <c r="L277" s="135"/>
      <c r="M277" s="135"/>
    </row>
    <row r="278" spans="2:15" ht="30" customHeight="1" x14ac:dyDescent="0.35">
      <c r="B278" s="135"/>
      <c r="C278" s="135"/>
      <c r="D278" s="135"/>
      <c r="E278" s="135"/>
      <c r="F278" s="135"/>
      <c r="G278" s="135"/>
      <c r="H278" s="135"/>
      <c r="I278" s="135"/>
      <c r="J278" s="135"/>
      <c r="K278" s="135"/>
      <c r="L278" s="135"/>
      <c r="M278" s="135"/>
    </row>
    <row r="279" spans="2:15" ht="30" customHeight="1" thickBot="1" x14ac:dyDescent="0.4">
      <c r="B279" s="135"/>
      <c r="C279" s="135"/>
      <c r="D279" s="135"/>
      <c r="E279" s="135"/>
      <c r="F279" s="135"/>
      <c r="G279" s="135"/>
      <c r="H279" s="135"/>
      <c r="I279" s="135"/>
      <c r="J279" s="135"/>
      <c r="K279" s="135"/>
      <c r="L279" s="135"/>
      <c r="M279" s="135"/>
    </row>
    <row r="280" spans="2:15" ht="30" customHeight="1" x14ac:dyDescent="0.3">
      <c r="B280" s="584"/>
      <c r="C280" s="585"/>
      <c r="D280" s="585"/>
      <c r="E280" s="585"/>
      <c r="F280" s="585"/>
      <c r="G280" s="585"/>
      <c r="H280" s="585"/>
      <c r="I280" s="585"/>
      <c r="J280" s="585"/>
      <c r="K280" s="585"/>
      <c r="L280" s="585"/>
      <c r="M280" s="586"/>
      <c r="O280">
        <v>8</v>
      </c>
    </row>
    <row r="281" spans="2:15" ht="30" customHeight="1" x14ac:dyDescent="0.3">
      <c r="B281" s="587" t="s">
        <v>62</v>
      </c>
      <c r="C281" s="588"/>
      <c r="D281" s="588"/>
      <c r="E281" s="588"/>
      <c r="F281" s="588"/>
      <c r="G281" s="588"/>
      <c r="H281" s="588"/>
      <c r="I281" s="588"/>
      <c r="J281" s="588"/>
      <c r="K281" s="588"/>
      <c r="L281" s="588"/>
      <c r="M281" s="589"/>
    </row>
    <row r="282" spans="2:15" ht="30" customHeight="1" x14ac:dyDescent="0.3">
      <c r="B282" s="95" t="s">
        <v>63</v>
      </c>
      <c r="C282" s="570" t="str">
        <f>C235</f>
        <v>Vessel name</v>
      </c>
      <c r="D282" s="570"/>
      <c r="E282" s="570"/>
      <c r="F282" s="96"/>
      <c r="G282" s="570"/>
      <c r="H282" s="570"/>
      <c r="I282" s="570"/>
      <c r="J282" s="96" t="s">
        <v>44</v>
      </c>
      <c r="K282" s="97"/>
      <c r="L282" s="582"/>
      <c r="M282" s="583"/>
    </row>
    <row r="283" spans="2:15" ht="30" customHeight="1" x14ac:dyDescent="0.3">
      <c r="B283" s="98"/>
      <c r="C283" s="96"/>
      <c r="D283" s="96"/>
      <c r="E283" s="99"/>
      <c r="F283" s="100"/>
      <c r="G283" s="100"/>
      <c r="H283" s="100"/>
      <c r="I283" s="96"/>
      <c r="J283" s="96"/>
      <c r="K283" s="97"/>
      <c r="L283" s="97"/>
      <c r="M283" s="101"/>
    </row>
    <row r="284" spans="2:15" ht="30" customHeight="1" x14ac:dyDescent="0.3">
      <c r="B284" s="95" t="s">
        <v>64</v>
      </c>
      <c r="C284" s="570">
        <f>+'PB '!C13</f>
        <v>0</v>
      </c>
      <c r="D284" s="570"/>
      <c r="E284" s="570"/>
      <c r="F284" s="570"/>
      <c r="G284" s="102"/>
      <c r="H284" s="96" t="s">
        <v>21</v>
      </c>
      <c r="I284" s="605" t="s">
        <v>127</v>
      </c>
      <c r="J284" s="570"/>
      <c r="K284" s="96"/>
      <c r="L284" s="582"/>
      <c r="M284" s="583"/>
    </row>
    <row r="285" spans="2:15" ht="30" customHeight="1" x14ac:dyDescent="0.3">
      <c r="B285" s="95"/>
      <c r="C285" s="96"/>
      <c r="D285" s="96"/>
      <c r="E285" s="96"/>
      <c r="F285" s="96"/>
      <c r="G285" s="96" t="s">
        <v>65</v>
      </c>
      <c r="H285" s="96"/>
      <c r="I285" s="96"/>
      <c r="J285" s="96"/>
      <c r="K285" s="96"/>
      <c r="L285" s="96"/>
      <c r="M285" s="101"/>
    </row>
    <row r="286" spans="2:15" ht="30" customHeight="1" x14ac:dyDescent="0.3">
      <c r="B286" s="95"/>
      <c r="C286" s="96"/>
      <c r="D286" s="96"/>
      <c r="E286" s="96"/>
      <c r="F286" s="96"/>
      <c r="G286" s="96" t="s">
        <v>44</v>
      </c>
      <c r="H286" s="96"/>
      <c r="I286" s="96"/>
      <c r="J286" s="96"/>
      <c r="K286" s="96"/>
      <c r="L286" s="96"/>
      <c r="M286" s="101"/>
    </row>
    <row r="287" spans="2:15" ht="30" customHeight="1" x14ac:dyDescent="0.3">
      <c r="B287" s="95"/>
      <c r="C287" s="96"/>
      <c r="D287" s="96"/>
      <c r="E287" s="96"/>
      <c r="F287" s="96"/>
      <c r="G287" s="103" t="s">
        <v>66</v>
      </c>
      <c r="H287" s="104"/>
      <c r="I287" s="103"/>
      <c r="J287" s="103"/>
      <c r="K287" s="96" t="s">
        <v>51</v>
      </c>
      <c r="L287" s="105">
        <f>'PB '!V13</f>
        <v>0</v>
      </c>
      <c r="M287" s="101"/>
    </row>
    <row r="288" spans="2:15" ht="30" customHeight="1" x14ac:dyDescent="0.3">
      <c r="B288" s="95"/>
      <c r="C288" s="96"/>
      <c r="D288" s="96"/>
      <c r="E288" s="96"/>
      <c r="F288" s="96"/>
      <c r="G288" s="96"/>
      <c r="H288" s="96"/>
      <c r="I288" s="96"/>
      <c r="J288" s="96"/>
      <c r="K288" s="96"/>
      <c r="L288" s="96"/>
      <c r="M288" s="101"/>
    </row>
    <row r="289" spans="2:13" ht="30" customHeight="1" x14ac:dyDescent="0.3">
      <c r="B289" s="590" t="s">
        <v>67</v>
      </c>
      <c r="C289" s="591"/>
      <c r="D289" s="592" t="s">
        <v>60</v>
      </c>
      <c r="E289" s="593"/>
      <c r="F289" s="579" t="s">
        <v>61</v>
      </c>
      <c r="G289" s="580"/>
      <c r="H289" s="106" t="s">
        <v>68</v>
      </c>
      <c r="I289" s="107" t="s">
        <v>69</v>
      </c>
      <c r="J289" s="106" t="s">
        <v>51</v>
      </c>
      <c r="K289" s="108"/>
      <c r="L289" s="108"/>
      <c r="M289" s="109"/>
    </row>
    <row r="290" spans="2:13" ht="30" customHeight="1" x14ac:dyDescent="0.3">
      <c r="B290" s="560" t="s">
        <v>70</v>
      </c>
      <c r="C290" s="581"/>
      <c r="D290" s="110">
        <f>'PB '!E13</f>
        <v>1</v>
      </c>
      <c r="E290" s="111">
        <f>'PB '!C1</f>
        <v>0</v>
      </c>
      <c r="F290" s="112">
        <f>'PB '!F13</f>
        <v>31</v>
      </c>
      <c r="G290" s="111">
        <f>'PB '!C1</f>
        <v>0</v>
      </c>
      <c r="H290" s="113">
        <f>+'PB '!G13</f>
        <v>30</v>
      </c>
      <c r="I290" s="114">
        <v>1464</v>
      </c>
      <c r="J290" s="115">
        <f>I290*H290/30</f>
        <v>1464</v>
      </c>
      <c r="K290" s="96"/>
      <c r="L290" s="96"/>
      <c r="M290" s="101"/>
    </row>
    <row r="291" spans="2:13" ht="30" customHeight="1" x14ac:dyDescent="0.3">
      <c r="B291" s="560" t="s">
        <v>71</v>
      </c>
      <c r="C291" s="581"/>
      <c r="D291" s="110">
        <f>D290</f>
        <v>1</v>
      </c>
      <c r="E291" s="111">
        <f>E290</f>
        <v>0</v>
      </c>
      <c r="F291" s="112">
        <f>F290</f>
        <v>31</v>
      </c>
      <c r="G291" s="111">
        <f>G290</f>
        <v>0</v>
      </c>
      <c r="H291" s="113">
        <f>H290</f>
        <v>30</v>
      </c>
      <c r="I291" s="114">
        <v>915</v>
      </c>
      <c r="J291" s="115">
        <f>I291*H291/30</f>
        <v>915</v>
      </c>
      <c r="K291" s="96"/>
      <c r="L291" s="96"/>
      <c r="M291" s="101"/>
    </row>
    <row r="292" spans="2:13" ht="30" customHeight="1" x14ac:dyDescent="0.3">
      <c r="B292" s="557" t="s">
        <v>72</v>
      </c>
      <c r="C292" s="558"/>
      <c r="D292" s="110">
        <f>D290</f>
        <v>1</v>
      </c>
      <c r="E292" s="111">
        <f t="shared" ref="E292:E293" si="5">E291</f>
        <v>0</v>
      </c>
      <c r="F292" s="112">
        <f>F290</f>
        <v>31</v>
      </c>
      <c r="G292" s="111">
        <f t="shared" ref="G292:G293" si="6">G291</f>
        <v>0</v>
      </c>
      <c r="H292" s="113">
        <f>H290</f>
        <v>30</v>
      </c>
      <c r="I292" s="114">
        <v>192.35</v>
      </c>
      <c r="J292" s="115">
        <f>I292*H292/30</f>
        <v>192.35</v>
      </c>
      <c r="K292" s="96"/>
      <c r="L292" s="96"/>
      <c r="M292" s="101"/>
    </row>
    <row r="293" spans="2:13" ht="30" customHeight="1" x14ac:dyDescent="0.3">
      <c r="B293" s="557" t="s">
        <v>73</v>
      </c>
      <c r="C293" s="558"/>
      <c r="D293" s="110">
        <f>D290</f>
        <v>1</v>
      </c>
      <c r="E293" s="111">
        <f t="shared" si="5"/>
        <v>0</v>
      </c>
      <c r="F293" s="112">
        <f>F290</f>
        <v>31</v>
      </c>
      <c r="G293" s="111">
        <f t="shared" si="6"/>
        <v>0</v>
      </c>
      <c r="H293" s="113">
        <f>H290</f>
        <v>30</v>
      </c>
      <c r="I293" s="114">
        <v>9928.65</v>
      </c>
      <c r="J293" s="115">
        <f>I293*H293/30</f>
        <v>9928.65</v>
      </c>
      <c r="K293" s="96"/>
      <c r="L293" s="96"/>
      <c r="M293" s="101"/>
    </row>
    <row r="294" spans="2:13" ht="30" customHeight="1" x14ac:dyDescent="0.3">
      <c r="B294" s="562" t="s">
        <v>74</v>
      </c>
      <c r="C294" s="563"/>
      <c r="D294" s="110"/>
      <c r="E294" s="111"/>
      <c r="F294" s="112"/>
      <c r="G294" s="111"/>
      <c r="H294" s="113"/>
      <c r="I294" s="114"/>
      <c r="J294" s="115">
        <f>'PB '!N13</f>
        <v>0</v>
      </c>
      <c r="K294" s="96"/>
      <c r="L294" s="96"/>
      <c r="M294" s="101"/>
    </row>
    <row r="295" spans="2:13" ht="30" customHeight="1" x14ac:dyDescent="0.3">
      <c r="B295" s="564" t="str">
        <f>'PB '!M5</f>
        <v>HRA</v>
      </c>
      <c r="C295" s="561"/>
      <c r="D295" s="117"/>
      <c r="E295" s="111"/>
      <c r="F295" s="117"/>
      <c r="G295" s="111"/>
      <c r="H295" s="118"/>
      <c r="I295" s="114"/>
      <c r="J295" s="115">
        <f>'PB '!M13</f>
        <v>0</v>
      </c>
      <c r="K295" s="96"/>
      <c r="L295" s="96"/>
      <c r="M295" s="101"/>
    </row>
    <row r="296" spans="2:13" ht="30" customHeight="1" x14ac:dyDescent="0.3">
      <c r="B296" s="95"/>
      <c r="C296" s="96"/>
      <c r="D296" s="96"/>
      <c r="E296" s="96"/>
      <c r="F296" s="565" t="s">
        <v>76</v>
      </c>
      <c r="G296" s="565"/>
      <c r="H296" s="565"/>
      <c r="I296" s="566"/>
      <c r="J296" s="119">
        <f>SUM(J290:J295)</f>
        <v>12500</v>
      </c>
      <c r="K296" s="120" t="s">
        <v>51</v>
      </c>
      <c r="L296" s="121">
        <f>J296</f>
        <v>12500</v>
      </c>
      <c r="M296" s="101"/>
    </row>
    <row r="297" spans="2:13" ht="30" customHeight="1" thickBot="1" x14ac:dyDescent="0.35">
      <c r="B297" s="95"/>
      <c r="C297" s="96"/>
      <c r="D297" s="96"/>
      <c r="E297" s="96"/>
      <c r="F297" s="96"/>
      <c r="G297" s="96"/>
      <c r="H297" s="96"/>
      <c r="I297" s="96"/>
      <c r="J297" s="96"/>
      <c r="K297" s="96"/>
      <c r="L297" s="122">
        <f>L287+L296</f>
        <v>12500</v>
      </c>
      <c r="M297" s="101"/>
    </row>
    <row r="298" spans="2:13" ht="30" customHeight="1" x14ac:dyDescent="0.3">
      <c r="B298" s="95"/>
      <c r="C298" s="96"/>
      <c r="D298" s="96"/>
      <c r="E298" s="96"/>
      <c r="F298" s="96"/>
      <c r="G298" s="96"/>
      <c r="H298" s="96"/>
      <c r="I298" s="96"/>
      <c r="J298" s="96"/>
      <c r="K298" s="96"/>
      <c r="L298" s="123"/>
      <c r="M298" s="101"/>
    </row>
    <row r="299" spans="2:13" ht="30" customHeight="1" x14ac:dyDescent="0.3">
      <c r="B299" s="95"/>
      <c r="C299" s="96"/>
      <c r="D299" s="96"/>
      <c r="E299" s="96"/>
      <c r="F299" s="96"/>
      <c r="G299" s="96"/>
      <c r="H299" s="96"/>
      <c r="I299" s="96"/>
      <c r="J299" s="96"/>
      <c r="K299" s="96"/>
      <c r="L299" s="123"/>
      <c r="M299" s="101"/>
    </row>
    <row r="300" spans="2:13" ht="30" customHeight="1" x14ac:dyDescent="0.3">
      <c r="B300" s="557" t="s">
        <v>77</v>
      </c>
      <c r="C300" s="558"/>
      <c r="D300" s="558"/>
      <c r="E300" s="558"/>
      <c r="F300" s="558"/>
      <c r="G300" s="558"/>
      <c r="H300" s="558"/>
      <c r="I300" s="559"/>
      <c r="J300" s="124"/>
      <c r="K300" s="96"/>
      <c r="L300" s="123"/>
      <c r="M300" s="101"/>
    </row>
    <row r="301" spans="2:13" ht="30" customHeight="1" x14ac:dyDescent="0.3">
      <c r="B301" s="560" t="s">
        <v>78</v>
      </c>
      <c r="C301" s="561"/>
      <c r="D301" s="561"/>
      <c r="E301" s="561"/>
      <c r="F301" s="561"/>
      <c r="G301" s="561"/>
      <c r="H301" s="561"/>
      <c r="I301" s="561"/>
      <c r="J301" s="114">
        <f>'PB '!Q13</f>
        <v>0</v>
      </c>
      <c r="K301" s="96"/>
      <c r="L301" s="123"/>
      <c r="M301" s="101"/>
    </row>
    <row r="302" spans="2:13" ht="30" customHeight="1" x14ac:dyDescent="0.3">
      <c r="B302" s="560" t="s">
        <v>79</v>
      </c>
      <c r="C302" s="561"/>
      <c r="D302" s="561"/>
      <c r="E302" s="561"/>
      <c r="F302" s="561"/>
      <c r="G302" s="561"/>
      <c r="H302" s="561"/>
      <c r="I302" s="561"/>
      <c r="J302" s="114">
        <f>'PB '!R13</f>
        <v>12500</v>
      </c>
      <c r="K302" s="96"/>
      <c r="L302" s="123"/>
      <c r="M302" s="101"/>
    </row>
    <row r="303" spans="2:13" ht="30" customHeight="1" x14ac:dyDescent="0.3">
      <c r="B303" s="560" t="s">
        <v>80</v>
      </c>
      <c r="C303" s="561"/>
      <c r="D303" s="561"/>
      <c r="E303" s="561"/>
      <c r="F303" s="561"/>
      <c r="G303" s="561"/>
      <c r="H303" s="561"/>
      <c r="I303" s="561"/>
      <c r="J303" s="114">
        <f>'PB '!S13</f>
        <v>0</v>
      </c>
      <c r="K303" s="96"/>
      <c r="L303" s="123"/>
      <c r="M303" s="101"/>
    </row>
    <row r="304" spans="2:13" ht="30" customHeight="1" x14ac:dyDescent="0.3">
      <c r="B304" s="560" t="s">
        <v>81</v>
      </c>
      <c r="C304" s="561"/>
      <c r="D304" s="561"/>
      <c r="E304" s="561"/>
      <c r="F304" s="561"/>
      <c r="G304" s="561"/>
      <c r="H304" s="561"/>
      <c r="I304" s="561"/>
      <c r="J304" s="114">
        <v>0</v>
      </c>
      <c r="K304" s="96"/>
      <c r="L304" s="123"/>
      <c r="M304" s="101"/>
    </row>
    <row r="305" spans="2:13" ht="30" customHeight="1" x14ac:dyDescent="0.3">
      <c r="B305" s="557" t="s">
        <v>82</v>
      </c>
      <c r="C305" s="558"/>
      <c r="D305" s="558"/>
      <c r="E305" s="558"/>
      <c r="F305" s="558"/>
      <c r="G305" s="558"/>
      <c r="H305" s="558"/>
      <c r="I305" s="559"/>
      <c r="J305" s="114">
        <f>'PB '!T13</f>
        <v>0</v>
      </c>
      <c r="K305" s="96"/>
      <c r="L305" s="123"/>
      <c r="M305" s="101"/>
    </row>
    <row r="306" spans="2:13" ht="30" customHeight="1" thickBot="1" x14ac:dyDescent="0.35">
      <c r="B306" s="560"/>
      <c r="C306" s="561"/>
      <c r="D306" s="561"/>
      <c r="E306" s="561"/>
      <c r="F306" s="561"/>
      <c r="G306" s="561"/>
      <c r="H306" s="561"/>
      <c r="I306" s="561"/>
      <c r="J306" s="114"/>
      <c r="K306" s="96"/>
      <c r="L306" s="123"/>
      <c r="M306" s="101"/>
    </row>
    <row r="307" spans="2:13" ht="30" customHeight="1" thickBot="1" x14ac:dyDescent="0.35">
      <c r="B307" s="95"/>
      <c r="C307" s="96"/>
      <c r="D307" s="96"/>
      <c r="E307" s="96"/>
      <c r="F307" s="573" t="s">
        <v>83</v>
      </c>
      <c r="G307" s="574"/>
      <c r="H307" s="574"/>
      <c r="I307" s="575"/>
      <c r="J307" s="114">
        <f>SUM(J301:J305)</f>
        <v>12500</v>
      </c>
      <c r="K307" s="96" t="s">
        <v>51</v>
      </c>
      <c r="L307" s="125">
        <f>J307</f>
        <v>12500</v>
      </c>
      <c r="M307" s="101"/>
    </row>
    <row r="308" spans="2:13" ht="30" customHeight="1" x14ac:dyDescent="0.3">
      <c r="B308" s="95"/>
      <c r="C308" s="96"/>
      <c r="D308" s="96"/>
      <c r="E308" s="96"/>
      <c r="F308" s="96"/>
      <c r="G308" s="96"/>
      <c r="H308" s="96"/>
      <c r="I308" s="96"/>
      <c r="J308" s="96"/>
      <c r="K308" s="96"/>
      <c r="L308" s="123"/>
      <c r="M308" s="101"/>
    </row>
    <row r="309" spans="2:13" ht="30" customHeight="1" x14ac:dyDescent="0.3">
      <c r="B309" s="95"/>
      <c r="C309" s="96"/>
      <c r="D309" s="96"/>
      <c r="E309" s="96"/>
      <c r="F309" s="96"/>
      <c r="G309" s="96"/>
      <c r="H309" s="96"/>
      <c r="I309" s="96"/>
      <c r="J309" s="96"/>
      <c r="K309" s="96"/>
      <c r="L309" s="123"/>
      <c r="M309" s="101"/>
    </row>
    <row r="310" spans="2:13" ht="30" customHeight="1" thickBot="1" x14ac:dyDescent="0.35">
      <c r="B310" s="95"/>
      <c r="C310" s="96"/>
      <c r="D310" s="96"/>
      <c r="E310" s="96"/>
      <c r="F310" s="112" t="s">
        <v>84</v>
      </c>
      <c r="G310" s="112"/>
      <c r="H310" s="112"/>
      <c r="I310" s="112"/>
      <c r="J310" s="112"/>
      <c r="K310" s="96" t="s">
        <v>51</v>
      </c>
      <c r="L310" s="126">
        <f>L297-L307</f>
        <v>0</v>
      </c>
      <c r="M310" s="101"/>
    </row>
    <row r="311" spans="2:13" ht="30" customHeight="1" x14ac:dyDescent="0.3">
      <c r="B311" s="127"/>
      <c r="C311" s="96"/>
      <c r="D311" s="96"/>
      <c r="E311" s="96"/>
      <c r="F311" s="96"/>
      <c r="G311" s="96"/>
      <c r="H311" s="96"/>
      <c r="I311" s="96" t="s">
        <v>44</v>
      </c>
      <c r="J311" s="96" t="s">
        <v>44</v>
      </c>
      <c r="K311" s="96" t="s">
        <v>44</v>
      </c>
      <c r="L311" s="123" t="s">
        <v>44</v>
      </c>
      <c r="M311" s="101"/>
    </row>
    <row r="312" spans="2:13" ht="30" customHeight="1" x14ac:dyDescent="0.3">
      <c r="B312" s="127"/>
      <c r="C312" s="96"/>
      <c r="D312" s="96"/>
      <c r="E312" s="96"/>
      <c r="F312" s="96"/>
      <c r="G312" s="96"/>
      <c r="H312" s="96"/>
      <c r="I312" s="96"/>
      <c r="J312" s="96"/>
      <c r="K312" s="96"/>
      <c r="L312" s="123"/>
      <c r="M312" s="101"/>
    </row>
    <row r="313" spans="2:13" ht="30" customHeight="1" x14ac:dyDescent="0.3">
      <c r="B313" s="127"/>
      <c r="C313" s="96"/>
      <c r="D313" s="96"/>
      <c r="E313" s="96"/>
      <c r="F313" s="96"/>
      <c r="G313" s="96"/>
      <c r="H313" s="96"/>
      <c r="I313" s="96"/>
      <c r="J313" s="96"/>
      <c r="K313" s="96"/>
      <c r="L313" s="123"/>
      <c r="M313" s="101"/>
    </row>
    <row r="314" spans="2:13" ht="30" customHeight="1" x14ac:dyDescent="0.25">
      <c r="B314" s="576" t="s">
        <v>85</v>
      </c>
      <c r="C314" s="577"/>
      <c r="D314" s="577"/>
      <c r="E314" s="577"/>
      <c r="F314" s="577"/>
      <c r="G314" s="577"/>
      <c r="H314" s="577"/>
      <c r="I314" s="577"/>
      <c r="J314" s="577"/>
      <c r="K314" s="577"/>
      <c r="L314" s="577"/>
      <c r="M314" s="578"/>
    </row>
    <row r="315" spans="2:13" ht="30" customHeight="1" x14ac:dyDescent="0.25">
      <c r="B315" s="576" t="s">
        <v>86</v>
      </c>
      <c r="C315" s="577"/>
      <c r="D315" s="577"/>
      <c r="E315" s="577"/>
      <c r="F315" s="577"/>
      <c r="G315" s="577"/>
      <c r="H315" s="577"/>
      <c r="I315" s="577"/>
      <c r="J315" s="577"/>
      <c r="K315" s="577"/>
      <c r="L315" s="577"/>
      <c r="M315" s="578"/>
    </row>
    <row r="316" spans="2:13" ht="30" customHeight="1" x14ac:dyDescent="0.3">
      <c r="B316" s="95"/>
      <c r="C316" s="96"/>
      <c r="D316" s="96"/>
      <c r="E316" s="96"/>
      <c r="F316" s="96"/>
      <c r="G316" s="96"/>
      <c r="H316" s="96"/>
      <c r="I316" s="96"/>
      <c r="J316" s="96"/>
      <c r="K316" s="96"/>
      <c r="L316" s="96"/>
      <c r="M316" s="101"/>
    </row>
    <row r="317" spans="2:13" ht="30" customHeight="1" x14ac:dyDescent="0.3">
      <c r="B317" s="95"/>
      <c r="C317" s="96"/>
      <c r="D317" s="96"/>
      <c r="E317" s="96"/>
      <c r="F317" s="96"/>
      <c r="G317" s="96"/>
      <c r="H317" s="96"/>
      <c r="I317" s="96"/>
      <c r="J317" s="96"/>
      <c r="K317" s="96"/>
      <c r="L317" s="96"/>
      <c r="M317" s="101"/>
    </row>
    <row r="318" spans="2:13" ht="30" customHeight="1" x14ac:dyDescent="0.3">
      <c r="B318" s="567"/>
      <c r="C318" s="568"/>
      <c r="D318" s="568"/>
      <c r="E318" s="96"/>
      <c r="F318" s="96"/>
      <c r="G318" s="96"/>
      <c r="H318" s="96"/>
      <c r="I318" s="96"/>
      <c r="J318" s="568"/>
      <c r="K318" s="568"/>
      <c r="L318" s="568"/>
      <c r="M318" s="101"/>
    </row>
    <row r="319" spans="2:13" ht="30" customHeight="1" x14ac:dyDescent="0.3">
      <c r="B319" s="569" t="s">
        <v>87</v>
      </c>
      <c r="C319" s="570"/>
      <c r="D319" s="570"/>
      <c r="E319" s="96"/>
      <c r="F319" s="96"/>
      <c r="G319" s="96"/>
      <c r="H319" s="96"/>
      <c r="I319" s="128" t="s">
        <v>88</v>
      </c>
      <c r="J319" s="128"/>
      <c r="K319" s="128"/>
      <c r="L319" s="102"/>
      <c r="M319" s="101"/>
    </row>
    <row r="320" spans="2:13" ht="30" customHeight="1" x14ac:dyDescent="0.3">
      <c r="B320" s="95" t="s">
        <v>44</v>
      </c>
      <c r="C320" s="96"/>
      <c r="D320" s="96"/>
      <c r="E320" s="96"/>
      <c r="F320" s="96"/>
      <c r="G320" s="96"/>
      <c r="H320" s="96"/>
      <c r="I320" s="96"/>
      <c r="J320" s="570"/>
      <c r="K320" s="570"/>
      <c r="L320" s="570"/>
      <c r="M320" s="101"/>
    </row>
    <row r="321" spans="2:15" ht="30" customHeight="1" x14ac:dyDescent="0.3">
      <c r="B321" s="95" t="s">
        <v>64</v>
      </c>
      <c r="C321" s="570">
        <f>C284</f>
        <v>0</v>
      </c>
      <c r="D321" s="570"/>
      <c r="E321" s="570"/>
      <c r="F321" s="96"/>
      <c r="G321" s="96"/>
      <c r="H321" s="96"/>
      <c r="I321" s="99" t="s">
        <v>104</v>
      </c>
      <c r="J321" s="571">
        <f>+'PB '!C7</f>
        <v>0</v>
      </c>
      <c r="K321" s="571"/>
      <c r="L321" s="571"/>
      <c r="M321" s="572"/>
    </row>
    <row r="322" spans="2:15" ht="30" customHeight="1" thickBot="1" x14ac:dyDescent="0.35">
      <c r="B322" s="129"/>
      <c r="C322" s="130"/>
      <c r="D322" s="130"/>
      <c r="E322" s="130"/>
      <c r="F322" s="130"/>
      <c r="G322" s="130"/>
      <c r="H322" s="130"/>
      <c r="I322" s="130"/>
      <c r="J322" s="131"/>
      <c r="K322" s="132"/>
      <c r="L322" s="132"/>
      <c r="M322" s="133"/>
    </row>
    <row r="323" spans="2:15" ht="30" customHeight="1" x14ac:dyDescent="0.35">
      <c r="B323" s="135"/>
      <c r="C323" s="135"/>
      <c r="D323" s="135"/>
      <c r="E323" s="135"/>
      <c r="F323" s="135"/>
      <c r="G323" s="135"/>
      <c r="H323" s="135"/>
      <c r="I323" s="135"/>
      <c r="J323" s="135"/>
      <c r="K323" s="135"/>
      <c r="L323" s="135"/>
      <c r="M323" s="135"/>
    </row>
    <row r="324" spans="2:15" ht="30" customHeight="1" x14ac:dyDescent="0.35">
      <c r="B324" s="135"/>
      <c r="C324" s="135"/>
      <c r="D324" s="135"/>
      <c r="E324" s="135"/>
      <c r="F324" s="135"/>
      <c r="G324" s="135"/>
      <c r="H324" s="135"/>
      <c r="I324" s="135"/>
      <c r="J324" s="135"/>
      <c r="K324" s="135"/>
      <c r="L324" s="135"/>
      <c r="M324" s="135"/>
    </row>
    <row r="325" spans="2:15" ht="30" customHeight="1" thickBot="1" x14ac:dyDescent="0.4">
      <c r="B325" s="135"/>
      <c r="C325" s="135"/>
      <c r="D325" s="135"/>
      <c r="E325" s="135"/>
      <c r="F325" s="135"/>
      <c r="G325" s="135"/>
      <c r="H325" s="135"/>
      <c r="I325" s="135"/>
      <c r="J325" s="135"/>
      <c r="K325" s="135"/>
      <c r="L325" s="135"/>
      <c r="M325" s="135"/>
    </row>
    <row r="326" spans="2:15" ht="30" customHeight="1" x14ac:dyDescent="0.3">
      <c r="B326" s="584"/>
      <c r="C326" s="585"/>
      <c r="D326" s="585"/>
      <c r="E326" s="585"/>
      <c r="F326" s="585"/>
      <c r="G326" s="585"/>
      <c r="H326" s="585"/>
      <c r="I326" s="585"/>
      <c r="J326" s="585"/>
      <c r="K326" s="585"/>
      <c r="L326" s="585"/>
      <c r="M326" s="586"/>
      <c r="O326">
        <v>9</v>
      </c>
    </row>
    <row r="327" spans="2:15" ht="30" customHeight="1" x14ac:dyDescent="0.3">
      <c r="B327" s="587" t="s">
        <v>62</v>
      </c>
      <c r="C327" s="588"/>
      <c r="D327" s="588"/>
      <c r="E327" s="588"/>
      <c r="F327" s="588"/>
      <c r="G327" s="588"/>
      <c r="H327" s="588"/>
      <c r="I327" s="588"/>
      <c r="J327" s="588"/>
      <c r="K327" s="588"/>
      <c r="L327" s="588"/>
      <c r="M327" s="589"/>
    </row>
    <row r="328" spans="2:15" ht="30" customHeight="1" x14ac:dyDescent="0.3">
      <c r="B328" s="95" t="s">
        <v>63</v>
      </c>
      <c r="C328" s="570" t="str">
        <f>C282</f>
        <v>Vessel name</v>
      </c>
      <c r="D328" s="570"/>
      <c r="E328" s="570"/>
      <c r="F328" s="96"/>
      <c r="G328" s="570"/>
      <c r="H328" s="570"/>
      <c r="I328" s="570"/>
      <c r="J328" s="96" t="s">
        <v>44</v>
      </c>
      <c r="K328" s="97"/>
      <c r="L328" s="582"/>
      <c r="M328" s="583"/>
    </row>
    <row r="329" spans="2:15" ht="30" customHeight="1" x14ac:dyDescent="0.3">
      <c r="B329" s="98"/>
      <c r="C329" s="96"/>
      <c r="D329" s="96"/>
      <c r="E329" s="99"/>
      <c r="F329" s="100"/>
      <c r="G329" s="100"/>
      <c r="H329" s="100"/>
      <c r="I329" s="96"/>
      <c r="J329" s="96"/>
      <c r="K329" s="97"/>
      <c r="L329" s="97"/>
      <c r="M329" s="101"/>
    </row>
    <row r="330" spans="2:15" ht="30" customHeight="1" x14ac:dyDescent="0.3">
      <c r="B330" s="95" t="s">
        <v>64</v>
      </c>
      <c r="C330" s="570">
        <f>+'PB '!C14</f>
        <v>0</v>
      </c>
      <c r="D330" s="570"/>
      <c r="E330" s="570"/>
      <c r="F330" s="570"/>
      <c r="G330" s="102"/>
      <c r="H330" s="96" t="s">
        <v>21</v>
      </c>
      <c r="I330" s="603" t="s">
        <v>134</v>
      </c>
      <c r="J330" s="570"/>
      <c r="K330" s="96"/>
      <c r="L330" s="582"/>
      <c r="M330" s="583"/>
    </row>
    <row r="331" spans="2:15" ht="30" customHeight="1" x14ac:dyDescent="0.3">
      <c r="B331" s="95"/>
      <c r="C331" s="96"/>
      <c r="D331" s="96"/>
      <c r="E331" s="96"/>
      <c r="F331" s="96"/>
      <c r="G331" s="96" t="s">
        <v>65</v>
      </c>
      <c r="H331" s="96"/>
      <c r="I331" s="96"/>
      <c r="J331" s="96"/>
      <c r="K331" s="96"/>
      <c r="L331" s="96"/>
      <c r="M331" s="101"/>
    </row>
    <row r="332" spans="2:15" ht="30" customHeight="1" x14ac:dyDescent="0.3">
      <c r="B332" s="95"/>
      <c r="C332" s="96"/>
      <c r="D332" s="96"/>
      <c r="E332" s="96"/>
      <c r="F332" s="96"/>
      <c r="G332" s="96" t="s">
        <v>44</v>
      </c>
      <c r="H332" s="96"/>
      <c r="I332" s="96"/>
      <c r="J332" s="96"/>
      <c r="K332" s="96"/>
      <c r="L332" s="96"/>
      <c r="M332" s="101"/>
    </row>
    <row r="333" spans="2:15" ht="30" customHeight="1" x14ac:dyDescent="0.3">
      <c r="B333" s="95"/>
      <c r="C333" s="96"/>
      <c r="D333" s="96"/>
      <c r="E333" s="96"/>
      <c r="F333" s="96"/>
      <c r="G333" s="103" t="s">
        <v>66</v>
      </c>
      <c r="H333" s="104"/>
      <c r="I333" s="103"/>
      <c r="J333" s="103"/>
      <c r="K333" s="96" t="s">
        <v>51</v>
      </c>
      <c r="L333" s="105">
        <f>'PB '!V14</f>
        <v>0</v>
      </c>
      <c r="M333" s="101"/>
    </row>
    <row r="334" spans="2:15" ht="30" customHeight="1" x14ac:dyDescent="0.3">
      <c r="B334" s="95"/>
      <c r="C334" s="96"/>
      <c r="D334" s="96"/>
      <c r="E334" s="96"/>
      <c r="F334" s="96"/>
      <c r="G334" s="96"/>
      <c r="H334" s="96"/>
      <c r="I334" s="96"/>
      <c r="J334" s="96"/>
      <c r="K334" s="96"/>
      <c r="L334" s="96"/>
      <c r="M334" s="101"/>
    </row>
    <row r="335" spans="2:15" ht="30" customHeight="1" x14ac:dyDescent="0.3">
      <c r="B335" s="590" t="s">
        <v>67</v>
      </c>
      <c r="C335" s="591"/>
      <c r="D335" s="592" t="s">
        <v>60</v>
      </c>
      <c r="E335" s="593"/>
      <c r="F335" s="579" t="s">
        <v>61</v>
      </c>
      <c r="G335" s="580"/>
      <c r="H335" s="106" t="s">
        <v>68</v>
      </c>
      <c r="I335" s="107" t="s">
        <v>69</v>
      </c>
      <c r="J335" s="106" t="s">
        <v>51</v>
      </c>
      <c r="K335" s="108"/>
      <c r="L335" s="108"/>
      <c r="M335" s="109"/>
    </row>
    <row r="336" spans="2:15" ht="30" customHeight="1" x14ac:dyDescent="0.3">
      <c r="B336" s="560" t="s">
        <v>70</v>
      </c>
      <c r="C336" s="581"/>
      <c r="D336" s="110">
        <f>'PB '!E14</f>
        <v>29</v>
      </c>
      <c r="E336" s="111">
        <f>'PB '!C1</f>
        <v>0</v>
      </c>
      <c r="F336" s="112">
        <f>'PB '!F14</f>
        <v>31</v>
      </c>
      <c r="G336" s="111">
        <f>E336</f>
        <v>0</v>
      </c>
      <c r="H336" s="113">
        <f>+'PB '!G14</f>
        <v>3</v>
      </c>
      <c r="I336" s="114">
        <v>1172</v>
      </c>
      <c r="J336" s="115">
        <f>I336*H336/30</f>
        <v>117.2</v>
      </c>
      <c r="K336" s="96"/>
      <c r="L336" s="96"/>
      <c r="M336" s="101"/>
    </row>
    <row r="337" spans="2:13" ht="30" customHeight="1" x14ac:dyDescent="0.3">
      <c r="B337" s="560" t="s">
        <v>71</v>
      </c>
      <c r="C337" s="581"/>
      <c r="D337" s="110">
        <f>D336</f>
        <v>29</v>
      </c>
      <c r="E337" s="111">
        <f>E336</f>
        <v>0</v>
      </c>
      <c r="F337" s="112">
        <f>F336</f>
        <v>31</v>
      </c>
      <c r="G337" s="111">
        <f>G336</f>
        <v>0</v>
      </c>
      <c r="H337" s="113">
        <f>H336</f>
        <v>3</v>
      </c>
      <c r="I337" s="114">
        <v>733</v>
      </c>
      <c r="J337" s="115">
        <f>I337*H337/30</f>
        <v>73.3</v>
      </c>
      <c r="K337" s="96"/>
      <c r="L337" s="96"/>
      <c r="M337" s="101"/>
    </row>
    <row r="338" spans="2:13" ht="30" customHeight="1" x14ac:dyDescent="0.3">
      <c r="B338" s="557" t="s">
        <v>72</v>
      </c>
      <c r="C338" s="558"/>
      <c r="D338" s="110">
        <f>D336</f>
        <v>29</v>
      </c>
      <c r="E338" s="111">
        <f>E336</f>
        <v>0</v>
      </c>
      <c r="F338" s="112">
        <f>F336</f>
        <v>31</v>
      </c>
      <c r="G338" s="111">
        <f>G336</f>
        <v>0</v>
      </c>
      <c r="H338" s="113">
        <f>H337</f>
        <v>3</v>
      </c>
      <c r="I338" s="114">
        <v>97.7</v>
      </c>
      <c r="J338" s="115">
        <f>I338*H338/30</f>
        <v>9.7700000000000014</v>
      </c>
      <c r="K338" s="96"/>
      <c r="L338" s="96"/>
      <c r="M338" s="101"/>
    </row>
    <row r="339" spans="2:13" ht="30" customHeight="1" x14ac:dyDescent="0.3">
      <c r="B339" s="557" t="s">
        <v>73</v>
      </c>
      <c r="C339" s="558"/>
      <c r="D339" s="110">
        <f>D336</f>
        <v>29</v>
      </c>
      <c r="E339" s="111">
        <f>E336</f>
        <v>0</v>
      </c>
      <c r="F339" s="112">
        <f>F336</f>
        <v>31</v>
      </c>
      <c r="G339" s="111">
        <f>G336</f>
        <v>0</v>
      </c>
      <c r="H339" s="113">
        <f>H338</f>
        <v>3</v>
      </c>
      <c r="I339" s="114">
        <v>997.3</v>
      </c>
      <c r="J339" s="115">
        <f>I339*H339/30</f>
        <v>99.72999999999999</v>
      </c>
      <c r="K339" s="96"/>
      <c r="L339" s="96"/>
      <c r="M339" s="101"/>
    </row>
    <row r="340" spans="2:13" ht="30" customHeight="1" x14ac:dyDescent="0.3">
      <c r="B340" s="562" t="s">
        <v>132</v>
      </c>
      <c r="C340" s="563"/>
      <c r="D340" s="110"/>
      <c r="E340" s="111"/>
      <c r="F340" s="112"/>
      <c r="G340" s="111"/>
      <c r="H340" s="113"/>
      <c r="I340" s="114">
        <v>0</v>
      </c>
      <c r="J340" s="115">
        <f>'PB '!L14</f>
        <v>0</v>
      </c>
      <c r="K340" s="96"/>
      <c r="L340" s="96"/>
      <c r="M340" s="101"/>
    </row>
    <row r="341" spans="2:13" ht="30" customHeight="1" x14ac:dyDescent="0.3">
      <c r="B341" s="564" t="s">
        <v>200</v>
      </c>
      <c r="C341" s="561"/>
      <c r="D341" s="117"/>
      <c r="E341" s="111"/>
      <c r="F341" s="117"/>
      <c r="G341" s="111"/>
      <c r="H341" s="118"/>
      <c r="I341" s="114"/>
      <c r="J341" s="115"/>
      <c r="K341" s="96"/>
      <c r="L341" s="96"/>
      <c r="M341" s="101"/>
    </row>
    <row r="342" spans="2:13" ht="30" customHeight="1" x14ac:dyDescent="0.3">
      <c r="B342" s="95"/>
      <c r="C342" s="96"/>
      <c r="D342" s="96"/>
      <c r="E342" s="96"/>
      <c r="F342" s="565" t="s">
        <v>76</v>
      </c>
      <c r="G342" s="565"/>
      <c r="H342" s="565"/>
      <c r="I342" s="566"/>
      <c r="J342" s="119">
        <f>SUM(J336:J341)</f>
        <v>300</v>
      </c>
      <c r="K342" s="120" t="s">
        <v>51</v>
      </c>
      <c r="L342" s="121">
        <f>J342</f>
        <v>300</v>
      </c>
      <c r="M342" s="101"/>
    </row>
    <row r="343" spans="2:13" ht="30" customHeight="1" thickBot="1" x14ac:dyDescent="0.35">
      <c r="B343" s="95"/>
      <c r="C343" s="96"/>
      <c r="D343" s="96"/>
      <c r="E343" s="96"/>
      <c r="F343" s="96"/>
      <c r="G343" s="96"/>
      <c r="H343" s="96"/>
      <c r="I343" s="96"/>
      <c r="J343" s="96"/>
      <c r="K343" s="96"/>
      <c r="L343" s="122">
        <f>L333+L342</f>
        <v>300</v>
      </c>
      <c r="M343" s="101"/>
    </row>
    <row r="344" spans="2:13" ht="30" customHeight="1" x14ac:dyDescent="0.3">
      <c r="B344" s="95"/>
      <c r="C344" s="96"/>
      <c r="D344" s="96"/>
      <c r="E344" s="96"/>
      <c r="F344" s="96"/>
      <c r="G344" s="96"/>
      <c r="H344" s="96"/>
      <c r="I344" s="96"/>
      <c r="J344" s="96"/>
      <c r="K344" s="96"/>
      <c r="L344" s="123"/>
      <c r="M344" s="101"/>
    </row>
    <row r="345" spans="2:13" ht="30" customHeight="1" x14ac:dyDescent="0.3">
      <c r="B345" s="95"/>
      <c r="C345" s="96"/>
      <c r="D345" s="96"/>
      <c r="E345" s="96"/>
      <c r="F345" s="96"/>
      <c r="G345" s="96"/>
      <c r="H345" s="96"/>
      <c r="I345" s="96"/>
      <c r="J345" s="96"/>
      <c r="K345" s="96"/>
      <c r="L345" s="123"/>
      <c r="M345" s="101"/>
    </row>
    <row r="346" spans="2:13" ht="30" customHeight="1" x14ac:dyDescent="0.3">
      <c r="B346" s="557" t="s">
        <v>77</v>
      </c>
      <c r="C346" s="558"/>
      <c r="D346" s="558"/>
      <c r="E346" s="558"/>
      <c r="F346" s="558"/>
      <c r="G346" s="558"/>
      <c r="H346" s="558"/>
      <c r="I346" s="559"/>
      <c r="J346" s="124"/>
      <c r="K346" s="96"/>
      <c r="L346" s="123"/>
      <c r="M346" s="101"/>
    </row>
    <row r="347" spans="2:13" ht="30" customHeight="1" x14ac:dyDescent="0.3">
      <c r="B347" s="560" t="s">
        <v>78</v>
      </c>
      <c r="C347" s="561"/>
      <c r="D347" s="561"/>
      <c r="E347" s="561"/>
      <c r="F347" s="561"/>
      <c r="G347" s="561"/>
      <c r="H347" s="561"/>
      <c r="I347" s="561"/>
      <c r="J347" s="114">
        <f>'PB '!Q14</f>
        <v>0</v>
      </c>
      <c r="K347" s="96"/>
      <c r="L347" s="123"/>
      <c r="M347" s="101"/>
    </row>
    <row r="348" spans="2:13" ht="30" customHeight="1" x14ac:dyDescent="0.3">
      <c r="B348" s="560" t="s">
        <v>79</v>
      </c>
      <c r="C348" s="561"/>
      <c r="D348" s="561"/>
      <c r="E348" s="561"/>
      <c r="F348" s="561"/>
      <c r="G348" s="561"/>
      <c r="H348" s="561"/>
      <c r="I348" s="561"/>
      <c r="J348" s="114">
        <f>'PB '!R14</f>
        <v>300</v>
      </c>
      <c r="K348" s="96"/>
      <c r="L348" s="123"/>
      <c r="M348" s="101"/>
    </row>
    <row r="349" spans="2:13" ht="30" customHeight="1" x14ac:dyDescent="0.3">
      <c r="B349" s="560" t="s">
        <v>80</v>
      </c>
      <c r="C349" s="561"/>
      <c r="D349" s="561"/>
      <c r="E349" s="561"/>
      <c r="F349" s="561"/>
      <c r="G349" s="561"/>
      <c r="H349" s="561"/>
      <c r="I349" s="561"/>
      <c r="J349" s="114">
        <f>'PB '!S14</f>
        <v>0</v>
      </c>
      <c r="K349" s="96"/>
      <c r="L349" s="123"/>
      <c r="M349" s="101"/>
    </row>
    <row r="350" spans="2:13" ht="30" customHeight="1" x14ac:dyDescent="0.3">
      <c r="B350" s="560" t="s">
        <v>81</v>
      </c>
      <c r="C350" s="561"/>
      <c r="D350" s="561"/>
      <c r="E350" s="561"/>
      <c r="F350" s="561"/>
      <c r="G350" s="561"/>
      <c r="H350" s="561"/>
      <c r="I350" s="561"/>
      <c r="J350" s="114">
        <v>0</v>
      </c>
      <c r="K350" s="96"/>
      <c r="L350" s="123"/>
      <c r="M350" s="101"/>
    </row>
    <row r="351" spans="2:13" ht="30" customHeight="1" x14ac:dyDescent="0.3">
      <c r="B351" s="557" t="s">
        <v>105</v>
      </c>
      <c r="C351" s="558"/>
      <c r="D351" s="558"/>
      <c r="E351" s="558"/>
      <c r="F351" s="558"/>
      <c r="G351" s="558"/>
      <c r="H351" s="558"/>
      <c r="I351" s="559"/>
      <c r="J351" s="114">
        <f>'PB '!T14</f>
        <v>0</v>
      </c>
      <c r="K351" s="96"/>
      <c r="L351" s="123"/>
      <c r="M351" s="101"/>
    </row>
    <row r="352" spans="2:13" ht="30" customHeight="1" thickBot="1" x14ac:dyDescent="0.35">
      <c r="B352" s="560"/>
      <c r="C352" s="561"/>
      <c r="D352" s="561"/>
      <c r="E352" s="561"/>
      <c r="F352" s="561"/>
      <c r="G352" s="561"/>
      <c r="H352" s="561"/>
      <c r="I352" s="561"/>
      <c r="J352" s="114"/>
      <c r="K352" s="96"/>
      <c r="L352" s="123"/>
      <c r="M352" s="101"/>
    </row>
    <row r="353" spans="2:13" ht="30" customHeight="1" thickBot="1" x14ac:dyDescent="0.35">
      <c r="B353" s="95"/>
      <c r="C353" s="96"/>
      <c r="D353" s="96"/>
      <c r="E353" s="96"/>
      <c r="F353" s="573" t="s">
        <v>83</v>
      </c>
      <c r="G353" s="574"/>
      <c r="H353" s="574"/>
      <c r="I353" s="575"/>
      <c r="J353" s="114">
        <f>SUM(J347:J351)</f>
        <v>300</v>
      </c>
      <c r="K353" s="96" t="s">
        <v>51</v>
      </c>
      <c r="L353" s="125">
        <f>J353</f>
        <v>300</v>
      </c>
      <c r="M353" s="101"/>
    </row>
    <row r="354" spans="2:13" ht="30" customHeight="1" x14ac:dyDescent="0.3">
      <c r="B354" s="95"/>
      <c r="C354" s="96"/>
      <c r="D354" s="96"/>
      <c r="E354" s="96"/>
      <c r="F354" s="96"/>
      <c r="G354" s="96"/>
      <c r="H354" s="96"/>
      <c r="I354" s="96"/>
      <c r="J354" s="96"/>
      <c r="K354" s="96"/>
      <c r="L354" s="123"/>
      <c r="M354" s="101"/>
    </row>
    <row r="355" spans="2:13" ht="30" customHeight="1" x14ac:dyDescent="0.3">
      <c r="B355" s="95"/>
      <c r="C355" s="96"/>
      <c r="D355" s="96"/>
      <c r="E355" s="96"/>
      <c r="F355" s="96"/>
      <c r="G355" s="96"/>
      <c r="H355" s="96"/>
      <c r="I355" s="96"/>
      <c r="J355" s="96"/>
      <c r="K355" s="96"/>
      <c r="L355" s="123"/>
      <c r="M355" s="101"/>
    </row>
    <row r="356" spans="2:13" ht="30" customHeight="1" thickBot="1" x14ac:dyDescent="0.35">
      <c r="B356" s="95"/>
      <c r="C356" s="96"/>
      <c r="D356" s="96"/>
      <c r="E356" s="96"/>
      <c r="F356" s="112" t="s">
        <v>84</v>
      </c>
      <c r="G356" s="112"/>
      <c r="H356" s="112"/>
      <c r="I356" s="112"/>
      <c r="J356" s="112"/>
      <c r="K356" s="96" t="s">
        <v>51</v>
      </c>
      <c r="L356" s="126">
        <f>L343-L353</f>
        <v>0</v>
      </c>
      <c r="M356" s="101"/>
    </row>
    <row r="357" spans="2:13" ht="30" customHeight="1" x14ac:dyDescent="0.3">
      <c r="B357" s="127"/>
      <c r="C357" s="96"/>
      <c r="D357" s="96"/>
      <c r="E357" s="96"/>
      <c r="F357" s="96"/>
      <c r="G357" s="96"/>
      <c r="H357" s="96"/>
      <c r="I357" s="96" t="s">
        <v>44</v>
      </c>
      <c r="J357" s="96" t="s">
        <v>44</v>
      </c>
      <c r="K357" s="96" t="s">
        <v>44</v>
      </c>
      <c r="L357" s="123" t="s">
        <v>44</v>
      </c>
      <c r="M357" s="101"/>
    </row>
    <row r="358" spans="2:13" ht="30" customHeight="1" x14ac:dyDescent="0.3">
      <c r="B358" s="127"/>
      <c r="C358" s="96"/>
      <c r="D358" s="96"/>
      <c r="E358" s="96"/>
      <c r="F358" s="96"/>
      <c r="G358" s="96"/>
      <c r="H358" s="96"/>
      <c r="I358" s="96"/>
      <c r="J358" s="96"/>
      <c r="K358" s="96"/>
      <c r="L358" s="123"/>
      <c r="M358" s="101"/>
    </row>
    <row r="359" spans="2:13" ht="30" customHeight="1" x14ac:dyDescent="0.3">
      <c r="B359" s="127"/>
      <c r="C359" s="96"/>
      <c r="D359" s="96"/>
      <c r="E359" s="96"/>
      <c r="F359" s="96"/>
      <c r="G359" s="96"/>
      <c r="H359" s="96"/>
      <c r="I359" s="96"/>
      <c r="J359" s="96"/>
      <c r="K359" s="96"/>
      <c r="L359" s="123"/>
      <c r="M359" s="101"/>
    </row>
    <row r="360" spans="2:13" ht="30" customHeight="1" x14ac:dyDescent="0.25">
      <c r="B360" s="576" t="s">
        <v>85</v>
      </c>
      <c r="C360" s="577"/>
      <c r="D360" s="577"/>
      <c r="E360" s="577"/>
      <c r="F360" s="577"/>
      <c r="G360" s="577"/>
      <c r="H360" s="577"/>
      <c r="I360" s="577"/>
      <c r="J360" s="577"/>
      <c r="K360" s="577"/>
      <c r="L360" s="577"/>
      <c r="M360" s="578"/>
    </row>
    <row r="361" spans="2:13" ht="30" customHeight="1" x14ac:dyDescent="0.25">
      <c r="B361" s="576" t="s">
        <v>86</v>
      </c>
      <c r="C361" s="577"/>
      <c r="D361" s="577"/>
      <c r="E361" s="577"/>
      <c r="F361" s="577"/>
      <c r="G361" s="577"/>
      <c r="H361" s="577"/>
      <c r="I361" s="577"/>
      <c r="J361" s="577"/>
      <c r="K361" s="577"/>
      <c r="L361" s="577"/>
      <c r="M361" s="578"/>
    </row>
    <row r="362" spans="2:13" ht="30" customHeight="1" x14ac:dyDescent="0.3">
      <c r="B362" s="95"/>
      <c r="C362" s="604" t="s">
        <v>199</v>
      </c>
      <c r="D362" s="604"/>
      <c r="E362" s="604"/>
      <c r="F362" s="604"/>
      <c r="G362" s="604"/>
      <c r="H362" s="604"/>
      <c r="I362" s="604"/>
      <c r="J362" s="604"/>
      <c r="K362" s="604"/>
      <c r="L362" s="96"/>
      <c r="M362" s="101"/>
    </row>
    <row r="363" spans="2:13" ht="30" customHeight="1" x14ac:dyDescent="0.3">
      <c r="B363" s="95"/>
      <c r="C363" s="604"/>
      <c r="D363" s="604"/>
      <c r="E363" s="604"/>
      <c r="F363" s="604"/>
      <c r="G363" s="604"/>
      <c r="H363" s="604"/>
      <c r="I363" s="604"/>
      <c r="J363" s="604"/>
      <c r="K363" s="604"/>
      <c r="L363" s="96"/>
      <c r="M363" s="101"/>
    </row>
    <row r="364" spans="2:13" ht="30" customHeight="1" x14ac:dyDescent="0.3">
      <c r="B364" s="567"/>
      <c r="C364" s="568"/>
      <c r="D364" s="568"/>
      <c r="E364" s="96"/>
      <c r="F364" s="103"/>
      <c r="G364" s="103"/>
      <c r="H364" s="96"/>
      <c r="I364" s="96"/>
      <c r="J364" s="568"/>
      <c r="K364" s="568"/>
      <c r="L364" s="568"/>
      <c r="M364" s="101"/>
    </row>
    <row r="365" spans="2:13" ht="30" customHeight="1" x14ac:dyDescent="0.3">
      <c r="B365" s="569" t="s">
        <v>87</v>
      </c>
      <c r="C365" s="570"/>
      <c r="D365" s="570"/>
      <c r="E365" s="96"/>
      <c r="F365" s="96"/>
      <c r="G365" s="96"/>
      <c r="H365" s="96"/>
      <c r="I365" s="128" t="s">
        <v>88</v>
      </c>
      <c r="J365" s="128"/>
      <c r="K365" s="128"/>
      <c r="L365" s="102"/>
      <c r="M365" s="101"/>
    </row>
    <row r="366" spans="2:13" ht="30" customHeight="1" x14ac:dyDescent="0.3">
      <c r="B366" s="95" t="s">
        <v>44</v>
      </c>
      <c r="C366" s="96"/>
      <c r="D366" s="96"/>
      <c r="E366" s="96"/>
      <c r="F366" s="96"/>
      <c r="G366" s="96"/>
      <c r="H366" s="96"/>
      <c r="I366" s="96"/>
      <c r="J366" s="570"/>
      <c r="K366" s="570"/>
      <c r="L366" s="570"/>
      <c r="M366" s="101"/>
    </row>
    <row r="367" spans="2:13" ht="30" customHeight="1" x14ac:dyDescent="0.3">
      <c r="B367" s="95" t="s">
        <v>64</v>
      </c>
      <c r="C367" s="570">
        <f>C330</f>
        <v>0</v>
      </c>
      <c r="D367" s="570"/>
      <c r="E367" s="570"/>
      <c r="F367" s="96"/>
      <c r="G367" s="96"/>
      <c r="H367" s="96"/>
      <c r="I367" s="99" t="s">
        <v>104</v>
      </c>
      <c r="J367" s="571">
        <f>+'PB '!C7</f>
        <v>0</v>
      </c>
      <c r="K367" s="571"/>
      <c r="L367" s="571"/>
      <c r="M367" s="572"/>
    </row>
    <row r="368" spans="2:13" ht="30" customHeight="1" thickBot="1" x14ac:dyDescent="0.35">
      <c r="B368" s="129"/>
      <c r="C368" s="130"/>
      <c r="D368" s="130"/>
      <c r="E368" s="130"/>
      <c r="F368" s="130"/>
      <c r="G368" s="130"/>
      <c r="H368" s="130"/>
      <c r="I368" s="130"/>
      <c r="J368" s="131"/>
      <c r="K368" s="132"/>
      <c r="L368" s="132"/>
      <c r="M368" s="133"/>
    </row>
    <row r="369" spans="2:16" ht="30" customHeight="1" x14ac:dyDescent="0.35">
      <c r="B369" s="135"/>
      <c r="C369" s="135"/>
      <c r="D369" s="135"/>
      <c r="E369" s="135"/>
      <c r="F369" s="135"/>
      <c r="G369" s="135"/>
      <c r="H369" s="135"/>
      <c r="I369" s="135"/>
      <c r="J369" s="135"/>
      <c r="K369" s="135"/>
      <c r="L369" s="135"/>
      <c r="M369" s="135"/>
    </row>
    <row r="370" spans="2:16" ht="30" customHeight="1" x14ac:dyDescent="0.35">
      <c r="B370" s="135"/>
      <c r="C370" s="135"/>
      <c r="D370" s="135"/>
      <c r="E370" s="135"/>
      <c r="F370" s="135"/>
      <c r="G370" s="135"/>
      <c r="H370" s="135"/>
      <c r="I370" s="135"/>
      <c r="J370" s="135"/>
      <c r="K370" s="135"/>
      <c r="L370" s="135"/>
      <c r="M370" s="135"/>
    </row>
    <row r="371" spans="2:16" ht="30" customHeight="1" thickBot="1" x14ac:dyDescent="0.4">
      <c r="B371" s="135"/>
      <c r="C371" s="135"/>
      <c r="D371" s="135"/>
      <c r="E371" s="135"/>
      <c r="F371" s="135"/>
      <c r="G371" s="135"/>
      <c r="H371" s="135"/>
      <c r="I371" s="135"/>
      <c r="J371" s="135"/>
      <c r="K371" s="135"/>
      <c r="L371" s="135"/>
      <c r="M371" s="135"/>
    </row>
    <row r="372" spans="2:16" ht="30" customHeight="1" x14ac:dyDescent="0.3">
      <c r="B372" s="584"/>
      <c r="C372" s="585"/>
      <c r="D372" s="585"/>
      <c r="E372" s="585"/>
      <c r="F372" s="585"/>
      <c r="G372" s="585"/>
      <c r="H372" s="585"/>
      <c r="I372" s="585"/>
      <c r="J372" s="585"/>
      <c r="K372" s="585"/>
      <c r="L372" s="585"/>
      <c r="M372" s="586"/>
      <c r="O372">
        <v>10</v>
      </c>
    </row>
    <row r="373" spans="2:16" ht="30" customHeight="1" x14ac:dyDescent="0.3">
      <c r="B373" s="587" t="s">
        <v>62</v>
      </c>
      <c r="C373" s="588"/>
      <c r="D373" s="588"/>
      <c r="E373" s="588"/>
      <c r="F373" s="588"/>
      <c r="G373" s="588"/>
      <c r="H373" s="588"/>
      <c r="I373" s="588"/>
      <c r="J373" s="588"/>
      <c r="K373" s="588"/>
      <c r="L373" s="588"/>
      <c r="M373" s="589"/>
    </row>
    <row r="374" spans="2:16" ht="30" customHeight="1" x14ac:dyDescent="0.3">
      <c r="B374" s="95" t="s">
        <v>63</v>
      </c>
      <c r="C374" s="570" t="str">
        <f>C328</f>
        <v>Vessel name</v>
      </c>
      <c r="D374" s="570"/>
      <c r="E374" s="570"/>
      <c r="F374" s="96"/>
      <c r="G374" s="570"/>
      <c r="H374" s="570"/>
      <c r="I374" s="570"/>
      <c r="J374" s="96" t="s">
        <v>44</v>
      </c>
      <c r="K374" s="97"/>
      <c r="L374" s="582"/>
      <c r="M374" s="583"/>
    </row>
    <row r="375" spans="2:16" ht="30" customHeight="1" x14ac:dyDescent="0.3">
      <c r="B375" s="98"/>
      <c r="C375" s="96"/>
      <c r="D375" s="96"/>
      <c r="E375" s="99"/>
      <c r="F375" s="100"/>
      <c r="G375" s="100"/>
      <c r="H375" s="100"/>
      <c r="I375" s="96"/>
      <c r="J375" s="96"/>
      <c r="K375" s="97"/>
      <c r="L375" s="97"/>
      <c r="M375" s="101"/>
    </row>
    <row r="376" spans="2:16" ht="30" customHeight="1" x14ac:dyDescent="0.3">
      <c r="B376" s="95" t="s">
        <v>64</v>
      </c>
      <c r="C376" s="570">
        <f>+'PB '!C15</f>
        <v>0</v>
      </c>
      <c r="D376" s="570"/>
      <c r="E376" s="570"/>
      <c r="F376" s="570"/>
      <c r="G376" s="102"/>
      <c r="H376" s="96" t="s">
        <v>21</v>
      </c>
      <c r="I376" s="603" t="s">
        <v>128</v>
      </c>
      <c r="J376" s="570"/>
      <c r="K376" s="96"/>
      <c r="L376" s="582"/>
      <c r="M376" s="583"/>
    </row>
    <row r="377" spans="2:16" ht="30" customHeight="1" x14ac:dyDescent="0.3">
      <c r="B377" s="95"/>
      <c r="C377" s="96"/>
      <c r="D377" s="96"/>
      <c r="E377" s="96"/>
      <c r="F377" s="96"/>
      <c r="G377" s="96" t="s">
        <v>65</v>
      </c>
      <c r="H377" s="96"/>
      <c r="I377" s="96"/>
      <c r="J377" s="96"/>
      <c r="K377" s="96"/>
      <c r="L377" s="96"/>
      <c r="M377" s="101"/>
    </row>
    <row r="378" spans="2:16" ht="30" customHeight="1" x14ac:dyDescent="0.3">
      <c r="B378" s="95"/>
      <c r="C378" s="96"/>
      <c r="D378" s="96"/>
      <c r="E378" s="96"/>
      <c r="F378" s="96"/>
      <c r="G378" s="96" t="s">
        <v>44</v>
      </c>
      <c r="H378" s="96"/>
      <c r="I378" s="96"/>
      <c r="J378" s="96"/>
      <c r="K378" s="96"/>
      <c r="L378" s="96"/>
      <c r="M378" s="101"/>
    </row>
    <row r="379" spans="2:16" ht="30" customHeight="1" x14ac:dyDescent="0.3">
      <c r="B379" s="95"/>
      <c r="C379" s="96"/>
      <c r="D379" s="96"/>
      <c r="E379" s="96"/>
      <c r="F379" s="96"/>
      <c r="G379" s="103" t="s">
        <v>66</v>
      </c>
      <c r="H379" s="104"/>
      <c r="I379" s="103"/>
      <c r="J379" s="103"/>
      <c r="K379" s="96" t="s">
        <v>51</v>
      </c>
      <c r="L379" s="105">
        <f>'PB '!V15</f>
        <v>0</v>
      </c>
      <c r="M379" s="101"/>
    </row>
    <row r="380" spans="2:16" ht="30" customHeight="1" x14ac:dyDescent="0.3">
      <c r="B380" s="95"/>
      <c r="C380" s="96"/>
      <c r="D380" s="96"/>
      <c r="E380" s="96"/>
      <c r="F380" s="96"/>
      <c r="G380" s="96"/>
      <c r="H380" s="96"/>
      <c r="I380" s="96"/>
      <c r="J380" s="96"/>
      <c r="K380" s="96"/>
      <c r="L380" s="96"/>
      <c r="M380" s="101"/>
    </row>
    <row r="381" spans="2:16" ht="30" customHeight="1" x14ac:dyDescent="0.3">
      <c r="B381" s="590" t="s">
        <v>67</v>
      </c>
      <c r="C381" s="591"/>
      <c r="D381" s="592" t="s">
        <v>60</v>
      </c>
      <c r="E381" s="593"/>
      <c r="F381" s="579" t="s">
        <v>61</v>
      </c>
      <c r="G381" s="580"/>
      <c r="H381" s="106" t="s">
        <v>68</v>
      </c>
      <c r="I381" s="107" t="s">
        <v>69</v>
      </c>
      <c r="J381" s="106" t="s">
        <v>51</v>
      </c>
      <c r="K381" s="108"/>
      <c r="L381" s="108"/>
      <c r="M381" s="109"/>
    </row>
    <row r="382" spans="2:16" ht="30" customHeight="1" x14ac:dyDescent="0.3">
      <c r="B382" s="560" t="s">
        <v>70</v>
      </c>
      <c r="C382" s="581"/>
      <c r="D382" s="110">
        <f>'PB '!E15</f>
        <v>28</v>
      </c>
      <c r="E382" s="111">
        <f>'PB '!C1</f>
        <v>0</v>
      </c>
      <c r="F382" s="112">
        <f>'PB '!F15</f>
        <v>31</v>
      </c>
      <c r="G382" s="111">
        <f>E382</f>
        <v>0</v>
      </c>
      <c r="H382" s="113">
        <f>+'PB '!G15</f>
        <v>4</v>
      </c>
      <c r="I382" s="114">
        <v>854</v>
      </c>
      <c r="J382" s="115">
        <f>I382*H382/30</f>
        <v>113.86666666666666</v>
      </c>
      <c r="K382" s="96"/>
      <c r="L382" s="96"/>
      <c r="M382" s="101"/>
      <c r="P382">
        <v>0</v>
      </c>
    </row>
    <row r="383" spans="2:16" ht="30" customHeight="1" x14ac:dyDescent="0.3">
      <c r="B383" s="560" t="s">
        <v>71</v>
      </c>
      <c r="C383" s="581"/>
      <c r="D383" s="110">
        <f>D382</f>
        <v>28</v>
      </c>
      <c r="E383" s="111">
        <f>E382</f>
        <v>0</v>
      </c>
      <c r="F383" s="112">
        <f>F382</f>
        <v>31</v>
      </c>
      <c r="G383" s="111">
        <f>E382</f>
        <v>0</v>
      </c>
      <c r="H383" s="113">
        <f>H382</f>
        <v>4</v>
      </c>
      <c r="I383" s="114">
        <v>534</v>
      </c>
      <c r="J383" s="115">
        <f>I383*H383/30</f>
        <v>71.2</v>
      </c>
      <c r="K383" s="96"/>
      <c r="L383" s="96"/>
      <c r="M383" s="101"/>
    </row>
    <row r="384" spans="2:16" ht="30" customHeight="1" x14ac:dyDescent="0.3">
      <c r="B384" s="557" t="s">
        <v>72</v>
      </c>
      <c r="C384" s="558"/>
      <c r="D384" s="110">
        <f>D382</f>
        <v>28</v>
      </c>
      <c r="E384" s="111">
        <f>E382</f>
        <v>0</v>
      </c>
      <c r="F384" s="112">
        <f>F382</f>
        <v>31</v>
      </c>
      <c r="G384" s="111">
        <f>E382</f>
        <v>0</v>
      </c>
      <c r="H384" s="113">
        <f>H382</f>
        <v>4</v>
      </c>
      <c r="I384" s="114">
        <v>71.17</v>
      </c>
      <c r="J384" s="115">
        <f>I384*H384/30</f>
        <v>9.4893333333333327</v>
      </c>
      <c r="K384" s="96"/>
      <c r="L384" s="96"/>
      <c r="M384" s="101"/>
    </row>
    <row r="385" spans="2:13" ht="30" customHeight="1" x14ac:dyDescent="0.3">
      <c r="B385" s="557" t="s">
        <v>73</v>
      </c>
      <c r="C385" s="558"/>
      <c r="D385" s="110">
        <f>D382</f>
        <v>28</v>
      </c>
      <c r="E385" s="111">
        <f>E382</f>
        <v>0</v>
      </c>
      <c r="F385" s="112">
        <f>F382</f>
        <v>31</v>
      </c>
      <c r="G385" s="111">
        <f>E382</f>
        <v>0</v>
      </c>
      <c r="H385" s="113">
        <f>H382</f>
        <v>4</v>
      </c>
      <c r="I385" s="114">
        <v>1140.83</v>
      </c>
      <c r="J385" s="115">
        <f>I385*H385/30</f>
        <v>152.11066666666665</v>
      </c>
      <c r="K385" s="96"/>
      <c r="L385" s="96"/>
      <c r="M385" s="101"/>
    </row>
    <row r="386" spans="2:13" ht="30" customHeight="1" x14ac:dyDescent="0.3">
      <c r="B386" s="562" t="s">
        <v>74</v>
      </c>
      <c r="C386" s="563"/>
      <c r="D386" s="110"/>
      <c r="E386" s="111"/>
      <c r="F386" s="112"/>
      <c r="G386" s="111"/>
      <c r="H386" s="113"/>
      <c r="I386" s="114"/>
      <c r="J386" s="115">
        <f>'PB '!L15</f>
        <v>28.466666666666665</v>
      </c>
      <c r="K386" s="96"/>
      <c r="L386" s="96"/>
      <c r="M386" s="101"/>
    </row>
    <row r="387" spans="2:13" ht="30" customHeight="1" x14ac:dyDescent="0.3">
      <c r="B387" s="564" t="s">
        <v>160</v>
      </c>
      <c r="C387" s="561"/>
      <c r="D387" s="117"/>
      <c r="E387" s="111"/>
      <c r="F387" s="117"/>
      <c r="G387" s="111"/>
      <c r="H387" s="118"/>
      <c r="I387" s="114"/>
      <c r="J387" s="115">
        <f>'PB '!N15</f>
        <v>0</v>
      </c>
      <c r="K387" s="96"/>
      <c r="L387" s="96"/>
      <c r="M387" s="101"/>
    </row>
    <row r="388" spans="2:13" ht="30" customHeight="1" x14ac:dyDescent="0.3">
      <c r="B388" s="95"/>
      <c r="C388" s="96"/>
      <c r="D388" s="96"/>
      <c r="E388" s="96"/>
      <c r="F388" s="565" t="s">
        <v>76</v>
      </c>
      <c r="G388" s="565"/>
      <c r="H388" s="565"/>
      <c r="I388" s="566"/>
      <c r="J388" s="119">
        <f>SUM(J382:J387)</f>
        <v>375.13333333333327</v>
      </c>
      <c r="K388" s="120" t="s">
        <v>51</v>
      </c>
      <c r="L388" s="121">
        <f>J388</f>
        <v>375.13333333333327</v>
      </c>
      <c r="M388" s="101"/>
    </row>
    <row r="389" spans="2:13" ht="30" customHeight="1" thickBot="1" x14ac:dyDescent="0.35">
      <c r="B389" s="95"/>
      <c r="C389" s="96"/>
      <c r="D389" s="96"/>
      <c r="E389" s="96"/>
      <c r="F389" s="112"/>
      <c r="G389" s="96"/>
      <c r="H389" s="96"/>
      <c r="I389" s="96"/>
      <c r="J389" s="96"/>
      <c r="K389" s="96"/>
      <c r="L389" s="122">
        <f>L379+L388</f>
        <v>375.13333333333327</v>
      </c>
      <c r="M389" s="101"/>
    </row>
    <row r="390" spans="2:13" ht="30" customHeight="1" x14ac:dyDescent="0.3">
      <c r="B390" s="95"/>
      <c r="C390" s="96"/>
      <c r="D390" s="96"/>
      <c r="E390" s="96"/>
      <c r="F390" s="96"/>
      <c r="G390" s="96"/>
      <c r="H390" s="96"/>
      <c r="I390" s="96"/>
      <c r="J390" s="96"/>
      <c r="K390" s="96"/>
      <c r="L390" s="123"/>
      <c r="M390" s="101"/>
    </row>
    <row r="391" spans="2:13" ht="30" customHeight="1" x14ac:dyDescent="0.3">
      <c r="B391" s="95"/>
      <c r="C391" s="96"/>
      <c r="D391" s="96"/>
      <c r="E391" s="96"/>
      <c r="F391" s="96"/>
      <c r="G391" s="96"/>
      <c r="H391" s="96"/>
      <c r="I391" s="96"/>
      <c r="J391" s="96"/>
      <c r="K391" s="96"/>
      <c r="L391" s="123"/>
      <c r="M391" s="101"/>
    </row>
    <row r="392" spans="2:13" ht="30" customHeight="1" x14ac:dyDescent="0.3">
      <c r="B392" s="557" t="s">
        <v>77</v>
      </c>
      <c r="C392" s="558"/>
      <c r="D392" s="558"/>
      <c r="E392" s="558"/>
      <c r="F392" s="558"/>
      <c r="G392" s="558"/>
      <c r="H392" s="558"/>
      <c r="I392" s="559"/>
      <c r="J392" s="124"/>
      <c r="K392" s="96"/>
      <c r="L392" s="123"/>
      <c r="M392" s="101"/>
    </row>
    <row r="393" spans="2:13" ht="30" customHeight="1" x14ac:dyDescent="0.3">
      <c r="B393" s="560" t="s">
        <v>78</v>
      </c>
      <c r="C393" s="561"/>
      <c r="D393" s="561"/>
      <c r="E393" s="561"/>
      <c r="F393" s="561"/>
      <c r="G393" s="561"/>
      <c r="H393" s="561"/>
      <c r="I393" s="561"/>
      <c r="J393" s="114">
        <f>'PB '!Q15</f>
        <v>0</v>
      </c>
      <c r="K393" s="96"/>
      <c r="L393" s="123"/>
      <c r="M393" s="101"/>
    </row>
    <row r="394" spans="2:13" ht="30" customHeight="1" x14ac:dyDescent="0.3">
      <c r="B394" s="560" t="s">
        <v>79</v>
      </c>
      <c r="C394" s="561"/>
      <c r="D394" s="561"/>
      <c r="E394" s="561"/>
      <c r="F394" s="561"/>
      <c r="G394" s="561"/>
      <c r="H394" s="561"/>
      <c r="I394" s="561"/>
      <c r="J394" s="114">
        <f>'PB '!R15</f>
        <v>375.13333333333327</v>
      </c>
      <c r="K394" s="96"/>
      <c r="L394" s="123"/>
      <c r="M394" s="101"/>
    </row>
    <row r="395" spans="2:13" ht="30" customHeight="1" x14ac:dyDescent="0.3">
      <c r="B395" s="560" t="s">
        <v>80</v>
      </c>
      <c r="C395" s="561"/>
      <c r="D395" s="561"/>
      <c r="E395" s="561"/>
      <c r="F395" s="561"/>
      <c r="G395" s="561"/>
      <c r="H395" s="561"/>
      <c r="I395" s="561"/>
      <c r="J395" s="114">
        <f>'PB '!S15</f>
        <v>0</v>
      </c>
      <c r="K395" s="96"/>
      <c r="L395" s="123"/>
      <c r="M395" s="101"/>
    </row>
    <row r="396" spans="2:13" ht="30" customHeight="1" x14ac:dyDescent="0.3">
      <c r="B396" s="560" t="s">
        <v>81</v>
      </c>
      <c r="C396" s="561"/>
      <c r="D396" s="561"/>
      <c r="E396" s="561"/>
      <c r="F396" s="561"/>
      <c r="G396" s="561"/>
      <c r="H396" s="561"/>
      <c r="I396" s="561"/>
      <c r="J396" s="114">
        <v>0</v>
      </c>
      <c r="K396" s="96"/>
      <c r="L396" s="123"/>
      <c r="M396" s="101"/>
    </row>
    <row r="397" spans="2:13" ht="30" customHeight="1" x14ac:dyDescent="0.3">
      <c r="B397" s="557" t="s">
        <v>82</v>
      </c>
      <c r="C397" s="558"/>
      <c r="D397" s="558"/>
      <c r="E397" s="558"/>
      <c r="F397" s="558"/>
      <c r="G397" s="558"/>
      <c r="H397" s="558"/>
      <c r="I397" s="559"/>
      <c r="J397" s="114">
        <f>'PB '!T15</f>
        <v>0</v>
      </c>
      <c r="K397" s="96"/>
      <c r="L397" s="123"/>
      <c r="M397" s="101"/>
    </row>
    <row r="398" spans="2:13" ht="30" customHeight="1" thickBot="1" x14ac:dyDescent="0.35">
      <c r="B398" s="560"/>
      <c r="C398" s="561"/>
      <c r="D398" s="561"/>
      <c r="E398" s="561"/>
      <c r="F398" s="561"/>
      <c r="G398" s="561"/>
      <c r="H398" s="561"/>
      <c r="I398" s="561"/>
      <c r="J398" s="114"/>
      <c r="K398" s="96"/>
      <c r="L398" s="123"/>
      <c r="M398" s="101"/>
    </row>
    <row r="399" spans="2:13" ht="30" customHeight="1" thickBot="1" x14ac:dyDescent="0.35">
      <c r="B399" s="95"/>
      <c r="C399" s="96"/>
      <c r="D399" s="96"/>
      <c r="E399" s="96"/>
      <c r="F399" s="573" t="s">
        <v>83</v>
      </c>
      <c r="G399" s="574"/>
      <c r="H399" s="574"/>
      <c r="I399" s="575"/>
      <c r="J399" s="114">
        <f>SUM(J393:J397)</f>
        <v>375.13333333333327</v>
      </c>
      <c r="K399" s="96" t="s">
        <v>51</v>
      </c>
      <c r="L399" s="125">
        <f>J399</f>
        <v>375.13333333333327</v>
      </c>
      <c r="M399" s="101"/>
    </row>
    <row r="400" spans="2:13" ht="30" customHeight="1" x14ac:dyDescent="0.3">
      <c r="B400" s="95"/>
      <c r="C400" s="96"/>
      <c r="D400" s="96"/>
      <c r="E400" s="96"/>
      <c r="F400" s="96"/>
      <c r="G400" s="96"/>
      <c r="H400" s="96"/>
      <c r="I400" s="96"/>
      <c r="J400" s="96"/>
      <c r="K400" s="96"/>
      <c r="L400" s="123"/>
      <c r="M400" s="101"/>
    </row>
    <row r="401" spans="2:13" ht="30" customHeight="1" x14ac:dyDescent="0.3">
      <c r="B401" s="95"/>
      <c r="C401" s="96"/>
      <c r="D401" s="96"/>
      <c r="E401" s="96"/>
      <c r="F401" s="96"/>
      <c r="G401" s="96"/>
      <c r="H401" s="96"/>
      <c r="I401" s="96"/>
      <c r="J401" s="96"/>
      <c r="K401" s="96"/>
      <c r="L401" s="123"/>
      <c r="M401" s="101"/>
    </row>
    <row r="402" spans="2:13" ht="30" customHeight="1" thickBot="1" x14ac:dyDescent="0.35">
      <c r="B402" s="95"/>
      <c r="C402" s="96"/>
      <c r="D402" s="96"/>
      <c r="E402" s="96"/>
      <c r="F402" s="112" t="s">
        <v>84</v>
      </c>
      <c r="G402" s="112"/>
      <c r="H402" s="112"/>
      <c r="I402" s="112"/>
      <c r="J402" s="112"/>
      <c r="K402" s="96" t="s">
        <v>51</v>
      </c>
      <c r="L402" s="126">
        <f>L389-L399</f>
        <v>0</v>
      </c>
      <c r="M402" s="101"/>
    </row>
    <row r="403" spans="2:13" ht="30" customHeight="1" x14ac:dyDescent="0.3">
      <c r="B403" s="127"/>
      <c r="C403" s="96"/>
      <c r="D403" s="96"/>
      <c r="E403" s="96"/>
      <c r="F403" s="96"/>
      <c r="G403" s="96"/>
      <c r="H403" s="96"/>
      <c r="I403" s="96" t="s">
        <v>44</v>
      </c>
      <c r="J403" s="96" t="s">
        <v>44</v>
      </c>
      <c r="K403" s="96" t="s">
        <v>44</v>
      </c>
      <c r="L403" s="123" t="s">
        <v>44</v>
      </c>
      <c r="M403" s="101"/>
    </row>
    <row r="404" spans="2:13" ht="30" customHeight="1" x14ac:dyDescent="0.3">
      <c r="B404" s="127"/>
      <c r="C404" s="96"/>
      <c r="D404" s="96"/>
      <c r="E404" s="96"/>
      <c r="F404" s="96"/>
      <c r="G404" s="96"/>
      <c r="H404" s="96"/>
      <c r="I404" s="96"/>
      <c r="J404" s="96"/>
      <c r="K404" s="96"/>
      <c r="L404" s="123"/>
      <c r="M404" s="101"/>
    </row>
    <row r="405" spans="2:13" ht="30" customHeight="1" x14ac:dyDescent="0.3">
      <c r="B405" s="127"/>
      <c r="C405" s="96"/>
      <c r="D405" s="96"/>
      <c r="E405" s="96"/>
      <c r="F405" s="96"/>
      <c r="G405" s="96"/>
      <c r="H405" s="96"/>
      <c r="I405" s="96"/>
      <c r="J405" s="96"/>
      <c r="K405" s="96"/>
      <c r="L405" s="123"/>
      <c r="M405" s="101"/>
    </row>
    <row r="406" spans="2:13" ht="30" customHeight="1" x14ac:dyDescent="0.25">
      <c r="B406" s="576" t="s">
        <v>85</v>
      </c>
      <c r="C406" s="577"/>
      <c r="D406" s="577"/>
      <c r="E406" s="577"/>
      <c r="F406" s="577"/>
      <c r="G406" s="577"/>
      <c r="H406" s="577"/>
      <c r="I406" s="577"/>
      <c r="J406" s="577"/>
      <c r="K406" s="577"/>
      <c r="L406" s="577"/>
      <c r="M406" s="578"/>
    </row>
    <row r="407" spans="2:13" ht="30" customHeight="1" x14ac:dyDescent="0.25">
      <c r="B407" s="576" t="s">
        <v>86</v>
      </c>
      <c r="C407" s="577"/>
      <c r="D407" s="577"/>
      <c r="E407" s="577"/>
      <c r="F407" s="577"/>
      <c r="G407" s="577"/>
      <c r="H407" s="577"/>
      <c r="I407" s="577"/>
      <c r="J407" s="577"/>
      <c r="K407" s="577"/>
      <c r="L407" s="577"/>
      <c r="M407" s="578"/>
    </row>
    <row r="408" spans="2:13" ht="30" customHeight="1" x14ac:dyDescent="0.3">
      <c r="B408" s="95"/>
      <c r="C408" s="96"/>
      <c r="D408" s="96"/>
      <c r="E408" s="96"/>
      <c r="F408" s="96"/>
      <c r="G408" s="96"/>
      <c r="H408" s="96"/>
      <c r="I408" s="96"/>
      <c r="J408" s="96"/>
      <c r="K408" s="96"/>
      <c r="L408" s="96"/>
      <c r="M408" s="101"/>
    </row>
    <row r="409" spans="2:13" ht="30" customHeight="1" x14ac:dyDescent="0.3">
      <c r="B409" s="95"/>
      <c r="C409" s="96"/>
      <c r="D409" s="96"/>
      <c r="E409" s="96"/>
      <c r="F409" s="96"/>
      <c r="G409" s="96"/>
      <c r="H409" s="96"/>
      <c r="I409" s="96"/>
      <c r="J409" s="96"/>
      <c r="K409" s="96"/>
      <c r="L409" s="96"/>
      <c r="M409" s="101"/>
    </row>
    <row r="410" spans="2:13" ht="30" customHeight="1" x14ac:dyDescent="0.3">
      <c r="B410" s="567"/>
      <c r="C410" s="568"/>
      <c r="D410" s="568"/>
      <c r="E410" s="96"/>
      <c r="F410" s="96"/>
      <c r="G410" s="96"/>
      <c r="H410" s="96"/>
      <c r="I410" s="96"/>
      <c r="J410" s="568"/>
      <c r="K410" s="568"/>
      <c r="L410" s="568"/>
      <c r="M410" s="101"/>
    </row>
    <row r="411" spans="2:13" ht="30" customHeight="1" x14ac:dyDescent="0.3">
      <c r="B411" s="569" t="s">
        <v>87</v>
      </c>
      <c r="C411" s="570"/>
      <c r="D411" s="570"/>
      <c r="E411" s="96"/>
      <c r="F411" s="96"/>
      <c r="G411" s="96"/>
      <c r="H411" s="96"/>
      <c r="I411" s="128" t="s">
        <v>88</v>
      </c>
      <c r="J411" s="128"/>
      <c r="K411" s="128"/>
      <c r="L411" s="102"/>
      <c r="M411" s="101"/>
    </row>
    <row r="412" spans="2:13" ht="30" customHeight="1" x14ac:dyDescent="0.3">
      <c r="B412" s="95" t="s">
        <v>44</v>
      </c>
      <c r="C412" s="96"/>
      <c r="D412" s="96"/>
      <c r="E412" s="96"/>
      <c r="F412" s="96"/>
      <c r="G412" s="96"/>
      <c r="H412" s="96"/>
      <c r="I412" s="96"/>
      <c r="J412" s="570"/>
      <c r="K412" s="570"/>
      <c r="L412" s="570"/>
      <c r="M412" s="101"/>
    </row>
    <row r="413" spans="2:13" ht="30" customHeight="1" x14ac:dyDescent="0.3">
      <c r="B413" s="95" t="s">
        <v>64</v>
      </c>
      <c r="C413" s="570">
        <f>C376</f>
        <v>0</v>
      </c>
      <c r="D413" s="570"/>
      <c r="E413" s="570"/>
      <c r="F413" s="96"/>
      <c r="G413" s="96"/>
      <c r="H413" s="96"/>
      <c r="I413" s="99" t="s">
        <v>104</v>
      </c>
      <c r="J413" s="571">
        <f>+'PB '!C7</f>
        <v>0</v>
      </c>
      <c r="K413" s="571"/>
      <c r="L413" s="571"/>
      <c r="M413" s="572"/>
    </row>
    <row r="414" spans="2:13" ht="30" customHeight="1" thickBot="1" x14ac:dyDescent="0.35">
      <c r="B414" s="129"/>
      <c r="C414" s="130"/>
      <c r="D414" s="130"/>
      <c r="E414" s="130"/>
      <c r="F414" s="130"/>
      <c r="G414" s="130"/>
      <c r="H414" s="130"/>
      <c r="I414" s="130"/>
      <c r="J414" s="131"/>
      <c r="K414" s="132"/>
      <c r="L414" s="132"/>
      <c r="M414" s="133"/>
    </row>
    <row r="415" spans="2:13" ht="30" customHeight="1" x14ac:dyDescent="0.35">
      <c r="B415" s="135"/>
      <c r="C415" s="135"/>
      <c r="D415" s="135"/>
      <c r="E415" s="135"/>
      <c r="F415" s="135"/>
      <c r="G415" s="135"/>
      <c r="H415" s="135"/>
      <c r="I415" s="135"/>
      <c r="J415" s="135"/>
      <c r="K415" s="135"/>
      <c r="L415" s="135"/>
      <c r="M415" s="135"/>
    </row>
    <row r="416" spans="2:13" ht="30" customHeight="1" x14ac:dyDescent="0.35">
      <c r="B416" s="135"/>
      <c r="C416" s="135"/>
      <c r="D416" s="135"/>
      <c r="E416" s="135"/>
      <c r="F416" s="135"/>
      <c r="G416" s="135"/>
      <c r="H416" s="135"/>
      <c r="I416" s="135"/>
      <c r="J416" s="135"/>
      <c r="K416" s="135"/>
      <c r="L416" s="135"/>
      <c r="M416" s="135"/>
    </row>
    <row r="417" spans="2:15" ht="30" customHeight="1" thickBot="1" x14ac:dyDescent="0.4">
      <c r="B417" s="135"/>
      <c r="C417" s="135"/>
      <c r="D417" s="135"/>
      <c r="E417" s="135"/>
      <c r="F417" s="135"/>
      <c r="G417" s="135"/>
      <c r="H417" s="135"/>
      <c r="I417" s="135"/>
      <c r="J417" s="135"/>
      <c r="K417" s="135"/>
      <c r="L417" s="135"/>
      <c r="M417" s="135"/>
    </row>
    <row r="418" spans="2:15" ht="30" customHeight="1" x14ac:dyDescent="0.3">
      <c r="B418" s="584"/>
      <c r="C418" s="585"/>
      <c r="D418" s="585"/>
      <c r="E418" s="585"/>
      <c r="F418" s="585"/>
      <c r="G418" s="585"/>
      <c r="H418" s="585"/>
      <c r="I418" s="585"/>
      <c r="J418" s="585"/>
      <c r="K418" s="585"/>
      <c r="L418" s="585"/>
      <c r="M418" s="586"/>
      <c r="O418">
        <v>11</v>
      </c>
    </row>
    <row r="419" spans="2:15" ht="30" customHeight="1" x14ac:dyDescent="0.3">
      <c r="B419" s="587" t="s">
        <v>62</v>
      </c>
      <c r="C419" s="588"/>
      <c r="D419" s="588"/>
      <c r="E419" s="588"/>
      <c r="F419" s="588"/>
      <c r="G419" s="588"/>
      <c r="H419" s="588"/>
      <c r="I419" s="588"/>
      <c r="J419" s="588"/>
      <c r="K419" s="588"/>
      <c r="L419" s="588"/>
      <c r="M419" s="589"/>
    </row>
    <row r="420" spans="2:15" ht="30" customHeight="1" x14ac:dyDescent="0.3">
      <c r="B420" s="95" t="s">
        <v>63</v>
      </c>
      <c r="C420" s="570" t="str">
        <f>C374</f>
        <v>Vessel name</v>
      </c>
      <c r="D420" s="570"/>
      <c r="E420" s="570"/>
      <c r="F420" s="96"/>
      <c r="G420" s="570"/>
      <c r="H420" s="570"/>
      <c r="I420" s="570"/>
      <c r="J420" s="96" t="s">
        <v>44</v>
      </c>
      <c r="K420" s="97"/>
      <c r="L420" s="582"/>
      <c r="M420" s="583"/>
    </row>
    <row r="421" spans="2:15" ht="30" customHeight="1" x14ac:dyDescent="0.3">
      <c r="B421" s="98"/>
      <c r="C421" s="96"/>
      <c r="D421" s="96"/>
      <c r="E421" s="99"/>
      <c r="F421" s="100"/>
      <c r="G421" s="100"/>
      <c r="H421" s="100"/>
      <c r="I421" s="96"/>
      <c r="J421" s="96"/>
      <c r="K421" s="97"/>
      <c r="L421" s="97"/>
      <c r="M421" s="101"/>
    </row>
    <row r="422" spans="2:15" ht="30" customHeight="1" x14ac:dyDescent="0.3">
      <c r="B422" s="95" t="s">
        <v>64</v>
      </c>
      <c r="C422" s="570">
        <f>+'PB '!C19</f>
        <v>0</v>
      </c>
      <c r="D422" s="570"/>
      <c r="E422" s="570"/>
      <c r="F422" s="570"/>
      <c r="G422" s="102"/>
      <c r="H422" s="96" t="s">
        <v>21</v>
      </c>
      <c r="I422" s="150" t="s">
        <v>140</v>
      </c>
      <c r="J422" s="136"/>
      <c r="K422" s="96"/>
      <c r="L422" s="137"/>
      <c r="M422" s="138"/>
    </row>
    <row r="423" spans="2:15" ht="30" customHeight="1" x14ac:dyDescent="0.3">
      <c r="B423" s="95"/>
      <c r="C423" s="96"/>
      <c r="D423" s="96"/>
      <c r="E423" s="96"/>
      <c r="F423" s="96"/>
      <c r="G423" s="96" t="s">
        <v>65</v>
      </c>
      <c r="H423" s="96"/>
      <c r="I423" s="96"/>
      <c r="J423" s="96"/>
      <c r="K423" s="96"/>
      <c r="L423" s="96"/>
      <c r="M423" s="101"/>
    </row>
    <row r="424" spans="2:15" ht="30" customHeight="1" x14ac:dyDescent="0.3">
      <c r="B424" s="95"/>
      <c r="C424" s="96"/>
      <c r="D424" s="96"/>
      <c r="E424" s="96"/>
      <c r="F424" s="96"/>
      <c r="G424" s="96" t="s">
        <v>44</v>
      </c>
      <c r="H424" s="96"/>
      <c r="I424" s="96"/>
      <c r="J424" s="96"/>
      <c r="K424" s="96"/>
      <c r="L424" s="96"/>
      <c r="M424" s="101"/>
    </row>
    <row r="425" spans="2:15" ht="30" customHeight="1" x14ac:dyDescent="0.3">
      <c r="B425" s="95"/>
      <c r="C425" s="96"/>
      <c r="D425" s="96"/>
      <c r="E425" s="96"/>
      <c r="F425" s="96"/>
      <c r="G425" s="103" t="s">
        <v>66</v>
      </c>
      <c r="H425" s="104"/>
      <c r="I425" s="103"/>
      <c r="J425" s="103"/>
      <c r="K425" s="96" t="s">
        <v>51</v>
      </c>
      <c r="L425" s="105">
        <f>'PB '!V19</f>
        <v>0</v>
      </c>
      <c r="M425" s="101"/>
    </row>
    <row r="426" spans="2:15" ht="30" customHeight="1" x14ac:dyDescent="0.3">
      <c r="B426" s="95"/>
      <c r="C426" s="96"/>
      <c r="D426" s="96"/>
      <c r="E426" s="96"/>
      <c r="F426" s="96"/>
      <c r="G426" s="96"/>
      <c r="H426" s="96"/>
      <c r="I426" s="96"/>
      <c r="J426" s="96"/>
      <c r="K426" s="96"/>
      <c r="L426" s="96"/>
      <c r="M426" s="101"/>
    </row>
    <row r="427" spans="2:15" ht="30" customHeight="1" x14ac:dyDescent="0.3">
      <c r="B427" s="590" t="s">
        <v>67</v>
      </c>
      <c r="C427" s="591"/>
      <c r="D427" s="592" t="s">
        <v>60</v>
      </c>
      <c r="E427" s="593"/>
      <c r="F427" s="579" t="s">
        <v>61</v>
      </c>
      <c r="G427" s="580"/>
      <c r="H427" s="106" t="s">
        <v>68</v>
      </c>
      <c r="I427" s="107" t="s">
        <v>69</v>
      </c>
      <c r="J427" s="106" t="s">
        <v>51</v>
      </c>
      <c r="K427" s="108"/>
      <c r="L427" s="108"/>
      <c r="M427" s="109"/>
    </row>
    <row r="428" spans="2:15" ht="30" customHeight="1" x14ac:dyDescent="0.3">
      <c r="B428" s="560" t="s">
        <v>70</v>
      </c>
      <c r="C428" s="581"/>
      <c r="D428" s="110">
        <f>'PB '!E19</f>
        <v>1</v>
      </c>
      <c r="E428" s="111">
        <f>'PB '!C1</f>
        <v>0</v>
      </c>
      <c r="F428" s="112">
        <f>'PB '!F19</f>
        <v>31</v>
      </c>
      <c r="G428" s="111">
        <f>E428</f>
        <v>0</v>
      </c>
      <c r="H428" s="113">
        <f>+'PB '!G19</f>
        <v>30</v>
      </c>
      <c r="I428" s="114">
        <v>752</v>
      </c>
      <c r="J428" s="115">
        <f>I428*H428/30</f>
        <v>752</v>
      </c>
      <c r="K428" s="96"/>
      <c r="L428" s="96"/>
      <c r="M428" s="101"/>
    </row>
    <row r="429" spans="2:15" ht="30" customHeight="1" x14ac:dyDescent="0.3">
      <c r="B429" s="560" t="s">
        <v>71</v>
      </c>
      <c r="C429" s="581"/>
      <c r="D429" s="110">
        <f>D428</f>
        <v>1</v>
      </c>
      <c r="E429" s="111">
        <f>E428</f>
        <v>0</v>
      </c>
      <c r="F429" s="112">
        <f>F428</f>
        <v>31</v>
      </c>
      <c r="G429" s="111">
        <f>E428</f>
        <v>0</v>
      </c>
      <c r="H429" s="113">
        <f>H428</f>
        <v>30</v>
      </c>
      <c r="I429" s="114">
        <v>470</v>
      </c>
      <c r="J429" s="115">
        <f>I429*H429/30</f>
        <v>470</v>
      </c>
      <c r="K429" s="96"/>
      <c r="L429" s="96"/>
      <c r="M429" s="101"/>
    </row>
    <row r="430" spans="2:15" ht="30" customHeight="1" x14ac:dyDescent="0.3">
      <c r="B430" s="557" t="s">
        <v>72</v>
      </c>
      <c r="C430" s="558"/>
      <c r="D430" s="110">
        <f>D428</f>
        <v>1</v>
      </c>
      <c r="E430" s="111">
        <f>E428</f>
        <v>0</v>
      </c>
      <c r="F430" s="112">
        <f>F428</f>
        <v>31</v>
      </c>
      <c r="G430" s="111">
        <f>E428</f>
        <v>0</v>
      </c>
      <c r="H430" s="113">
        <f>H428</f>
        <v>30</v>
      </c>
      <c r="I430" s="114">
        <v>62.65</v>
      </c>
      <c r="J430" s="115">
        <f>I430*H430/30</f>
        <v>62.65</v>
      </c>
      <c r="K430" s="96"/>
      <c r="L430" s="96"/>
      <c r="M430" s="101"/>
    </row>
    <row r="431" spans="2:15" ht="30" customHeight="1" x14ac:dyDescent="0.3">
      <c r="B431" s="557" t="s">
        <v>73</v>
      </c>
      <c r="C431" s="558"/>
      <c r="D431" s="110">
        <f>D428</f>
        <v>1</v>
      </c>
      <c r="E431" s="111">
        <f>E428</f>
        <v>0</v>
      </c>
      <c r="F431" s="112">
        <f>F428</f>
        <v>31</v>
      </c>
      <c r="G431" s="111">
        <f>E428</f>
        <v>0</v>
      </c>
      <c r="H431" s="113">
        <f>H428</f>
        <v>30</v>
      </c>
      <c r="I431" s="114">
        <v>1515.35</v>
      </c>
      <c r="J431" s="115">
        <f>I431*H431/30</f>
        <v>1515.35</v>
      </c>
      <c r="K431" s="96"/>
      <c r="L431" s="96"/>
      <c r="M431" s="101"/>
    </row>
    <row r="432" spans="2:15" ht="30" customHeight="1" x14ac:dyDescent="0.3">
      <c r="B432" s="562" t="s">
        <v>74</v>
      </c>
      <c r="C432" s="563"/>
      <c r="D432" s="110"/>
      <c r="E432" s="111"/>
      <c r="F432" s="112"/>
      <c r="G432" s="111"/>
      <c r="H432" s="118"/>
      <c r="I432" s="114"/>
      <c r="J432" s="115">
        <f>'PB '!L19</f>
        <v>0</v>
      </c>
      <c r="K432" s="96"/>
      <c r="L432" s="96"/>
      <c r="M432" s="101"/>
    </row>
    <row r="433" spans="2:13" ht="30" customHeight="1" x14ac:dyDescent="0.3">
      <c r="B433" s="594" t="s">
        <v>170</v>
      </c>
      <c r="C433" s="595"/>
      <c r="D433" s="117"/>
      <c r="E433" s="111"/>
      <c r="F433" s="117"/>
      <c r="G433" s="111"/>
      <c r="H433" s="118"/>
      <c r="I433" s="114"/>
      <c r="J433" s="115">
        <f>'PB '!O19</f>
        <v>0</v>
      </c>
      <c r="K433" s="96"/>
      <c r="L433" s="96"/>
      <c r="M433" s="101"/>
    </row>
    <row r="434" spans="2:13" ht="30" customHeight="1" x14ac:dyDescent="0.3">
      <c r="B434" s="95"/>
      <c r="C434" s="96"/>
      <c r="D434" s="96"/>
      <c r="E434" s="96"/>
      <c r="F434" s="565" t="s">
        <v>76</v>
      </c>
      <c r="G434" s="565"/>
      <c r="H434" s="565"/>
      <c r="I434" s="566"/>
      <c r="J434" s="119">
        <f>SUM(J428:J433)</f>
        <v>2800</v>
      </c>
      <c r="K434" s="120" t="s">
        <v>51</v>
      </c>
      <c r="L434" s="121">
        <f>J434</f>
        <v>2800</v>
      </c>
      <c r="M434" s="101"/>
    </row>
    <row r="435" spans="2:13" ht="30" customHeight="1" thickBot="1" x14ac:dyDescent="0.35">
      <c r="B435" s="95"/>
      <c r="C435" s="96"/>
      <c r="D435" s="96"/>
      <c r="E435" s="96"/>
      <c r="F435" s="96"/>
      <c r="G435" s="96"/>
      <c r="H435" s="96"/>
      <c r="I435" s="96"/>
      <c r="J435" s="96"/>
      <c r="K435" s="96"/>
      <c r="L435" s="122">
        <f>L425+L434</f>
        <v>2800</v>
      </c>
      <c r="M435" s="101"/>
    </row>
    <row r="436" spans="2:13" ht="30" customHeight="1" x14ac:dyDescent="0.3">
      <c r="B436" s="95"/>
      <c r="C436" s="96"/>
      <c r="D436" s="96"/>
      <c r="E436" s="96"/>
      <c r="F436" s="96"/>
      <c r="G436" s="96"/>
      <c r="H436" s="96"/>
      <c r="I436" s="96"/>
      <c r="J436" s="96"/>
      <c r="K436" s="96"/>
      <c r="L436" s="123"/>
      <c r="M436" s="101"/>
    </row>
    <row r="437" spans="2:13" ht="30" customHeight="1" x14ac:dyDescent="0.3">
      <c r="B437" s="95"/>
      <c r="C437" s="96"/>
      <c r="D437" s="96"/>
      <c r="E437" s="96"/>
      <c r="F437" s="96"/>
      <c r="G437" s="96"/>
      <c r="H437" s="96"/>
      <c r="I437" s="96"/>
      <c r="J437" s="96"/>
      <c r="K437" s="96"/>
      <c r="L437" s="123"/>
      <c r="M437" s="101"/>
    </row>
    <row r="438" spans="2:13" ht="30" customHeight="1" x14ac:dyDescent="0.3">
      <c r="B438" s="557" t="s">
        <v>77</v>
      </c>
      <c r="C438" s="558"/>
      <c r="D438" s="558"/>
      <c r="E438" s="558"/>
      <c r="F438" s="558"/>
      <c r="G438" s="558"/>
      <c r="H438" s="558"/>
      <c r="I438" s="559"/>
      <c r="J438" s="124"/>
      <c r="K438" s="96"/>
      <c r="L438" s="123"/>
      <c r="M438" s="101"/>
    </row>
    <row r="439" spans="2:13" ht="30" customHeight="1" x14ac:dyDescent="0.3">
      <c r="B439" s="560" t="s">
        <v>78</v>
      </c>
      <c r="C439" s="561"/>
      <c r="D439" s="561"/>
      <c r="E439" s="561"/>
      <c r="F439" s="561"/>
      <c r="G439" s="561"/>
      <c r="H439" s="561"/>
      <c r="I439" s="561"/>
      <c r="J439" s="114">
        <f>'PB '!Q19</f>
        <v>0</v>
      </c>
      <c r="K439" s="96"/>
      <c r="L439" s="123"/>
      <c r="M439" s="101"/>
    </row>
    <row r="440" spans="2:13" ht="30" customHeight="1" x14ac:dyDescent="0.3">
      <c r="B440" s="560" t="s">
        <v>79</v>
      </c>
      <c r="C440" s="561"/>
      <c r="D440" s="561"/>
      <c r="E440" s="561"/>
      <c r="F440" s="561"/>
      <c r="G440" s="561"/>
      <c r="H440" s="561"/>
      <c r="I440" s="561"/>
      <c r="J440" s="114">
        <f>'PB '!R19</f>
        <v>2800</v>
      </c>
      <c r="K440" s="96"/>
      <c r="L440" s="123"/>
      <c r="M440" s="101"/>
    </row>
    <row r="441" spans="2:13" ht="30" customHeight="1" x14ac:dyDescent="0.3">
      <c r="B441" s="560" t="s">
        <v>80</v>
      </c>
      <c r="C441" s="561"/>
      <c r="D441" s="561"/>
      <c r="E441" s="561"/>
      <c r="F441" s="561"/>
      <c r="G441" s="561"/>
      <c r="H441" s="561"/>
      <c r="I441" s="561"/>
      <c r="J441" s="114">
        <f>'PB '!S19</f>
        <v>0</v>
      </c>
      <c r="K441" s="96"/>
      <c r="L441" s="123"/>
      <c r="M441" s="101"/>
    </row>
    <row r="442" spans="2:13" ht="30" customHeight="1" x14ac:dyDescent="0.3">
      <c r="B442" s="560" t="s">
        <v>81</v>
      </c>
      <c r="C442" s="561"/>
      <c r="D442" s="561"/>
      <c r="E442" s="561"/>
      <c r="F442" s="561"/>
      <c r="G442" s="561"/>
      <c r="H442" s="561"/>
      <c r="I442" s="561"/>
      <c r="J442" s="114">
        <v>0</v>
      </c>
      <c r="K442" s="96"/>
      <c r="L442" s="123"/>
      <c r="M442" s="101"/>
    </row>
    <row r="443" spans="2:13" ht="30" customHeight="1" x14ac:dyDescent="0.3">
      <c r="B443" s="557" t="s">
        <v>106</v>
      </c>
      <c r="C443" s="558"/>
      <c r="D443" s="558"/>
      <c r="E443" s="558"/>
      <c r="F443" s="558"/>
      <c r="G443" s="558"/>
      <c r="H443" s="558"/>
      <c r="I443" s="559"/>
      <c r="J443" s="114">
        <f>'PB '!T19</f>
        <v>0</v>
      </c>
      <c r="K443" s="96"/>
      <c r="L443" s="123"/>
      <c r="M443" s="101"/>
    </row>
    <row r="444" spans="2:13" ht="30" customHeight="1" thickBot="1" x14ac:dyDescent="0.35">
      <c r="B444" s="560"/>
      <c r="C444" s="561"/>
      <c r="D444" s="561"/>
      <c r="E444" s="561"/>
      <c r="F444" s="561"/>
      <c r="G444" s="561"/>
      <c r="H444" s="561"/>
      <c r="I444" s="561"/>
      <c r="J444" s="114"/>
      <c r="K444" s="96"/>
      <c r="L444" s="123"/>
      <c r="M444" s="101"/>
    </row>
    <row r="445" spans="2:13" ht="30" customHeight="1" thickBot="1" x14ac:dyDescent="0.35">
      <c r="B445" s="95"/>
      <c r="C445" s="96"/>
      <c r="D445" s="96"/>
      <c r="E445" s="96"/>
      <c r="F445" s="573" t="s">
        <v>83</v>
      </c>
      <c r="G445" s="574"/>
      <c r="H445" s="574"/>
      <c r="I445" s="575"/>
      <c r="J445" s="114">
        <f>SUM(J439:J443)</f>
        <v>2800</v>
      </c>
      <c r="K445" s="96" t="s">
        <v>51</v>
      </c>
      <c r="L445" s="125">
        <f>J445</f>
        <v>2800</v>
      </c>
      <c r="M445" s="101"/>
    </row>
    <row r="446" spans="2:13" ht="30" customHeight="1" x14ac:dyDescent="0.3">
      <c r="B446" s="95"/>
      <c r="C446" s="96"/>
      <c r="D446" s="96"/>
      <c r="E446" s="96"/>
      <c r="F446" s="96"/>
      <c r="G446" s="96"/>
      <c r="H446" s="96"/>
      <c r="I446" s="96"/>
      <c r="J446" s="96"/>
      <c r="K446" s="96"/>
      <c r="L446" s="123"/>
      <c r="M446" s="101"/>
    </row>
    <row r="447" spans="2:13" ht="30" customHeight="1" x14ac:dyDescent="0.3">
      <c r="B447" s="95"/>
      <c r="C447" s="96"/>
      <c r="D447" s="96"/>
      <c r="E447" s="96"/>
      <c r="F447" s="96"/>
      <c r="G447" s="96"/>
      <c r="H447" s="96"/>
      <c r="I447" s="96"/>
      <c r="J447" s="96"/>
      <c r="K447" s="96"/>
      <c r="L447" s="123"/>
      <c r="M447" s="101"/>
    </row>
    <row r="448" spans="2:13" ht="30" customHeight="1" thickBot="1" x14ac:dyDescent="0.35">
      <c r="B448" s="95"/>
      <c r="C448" s="96"/>
      <c r="D448" s="96"/>
      <c r="E448" s="96"/>
      <c r="F448" s="112" t="s">
        <v>84</v>
      </c>
      <c r="G448" s="112"/>
      <c r="H448" s="112"/>
      <c r="I448" s="112"/>
      <c r="J448" s="112"/>
      <c r="K448" s="96" t="s">
        <v>51</v>
      </c>
      <c r="L448" s="126">
        <f>L435-L445</f>
        <v>0</v>
      </c>
      <c r="M448" s="101"/>
    </row>
    <row r="449" spans="2:13" ht="30" customHeight="1" x14ac:dyDescent="0.3">
      <c r="B449" s="127"/>
      <c r="C449" s="96"/>
      <c r="D449" s="96"/>
      <c r="E449" s="96"/>
      <c r="F449" s="96"/>
      <c r="G449" s="96"/>
      <c r="H449" s="96"/>
      <c r="I449" s="96" t="s">
        <v>44</v>
      </c>
      <c r="J449" s="96" t="s">
        <v>44</v>
      </c>
      <c r="K449" s="96" t="s">
        <v>44</v>
      </c>
      <c r="L449" s="123" t="s">
        <v>44</v>
      </c>
      <c r="M449" s="101"/>
    </row>
    <row r="450" spans="2:13" ht="30" customHeight="1" x14ac:dyDescent="0.3">
      <c r="B450" s="127"/>
      <c r="C450" s="96"/>
      <c r="D450" s="96"/>
      <c r="E450" s="96"/>
      <c r="F450" s="96"/>
      <c r="G450" s="96"/>
      <c r="H450" s="96"/>
      <c r="I450" s="96"/>
      <c r="J450" s="96"/>
      <c r="K450" s="96"/>
      <c r="L450" s="123"/>
      <c r="M450" s="101"/>
    </row>
    <row r="451" spans="2:13" ht="30" customHeight="1" x14ac:dyDescent="0.3">
      <c r="B451" s="127"/>
      <c r="C451" s="96"/>
      <c r="D451" s="96"/>
      <c r="E451" s="96"/>
      <c r="F451" s="96"/>
      <c r="G451" s="96"/>
      <c r="H451" s="96"/>
      <c r="I451" s="96"/>
      <c r="J451" s="96"/>
      <c r="K451" s="96"/>
      <c r="L451" s="123"/>
      <c r="M451" s="101"/>
    </row>
    <row r="452" spans="2:13" ht="30" customHeight="1" x14ac:dyDescent="0.25">
      <c r="B452" s="576" t="s">
        <v>85</v>
      </c>
      <c r="C452" s="577"/>
      <c r="D452" s="577"/>
      <c r="E452" s="577"/>
      <c r="F452" s="577"/>
      <c r="G452" s="577"/>
      <c r="H452" s="577"/>
      <c r="I452" s="577"/>
      <c r="J452" s="577"/>
      <c r="K452" s="577"/>
      <c r="L452" s="577"/>
      <c r="M452" s="578"/>
    </row>
    <row r="453" spans="2:13" ht="30" customHeight="1" x14ac:dyDescent="0.25">
      <c r="B453" s="576" t="s">
        <v>86</v>
      </c>
      <c r="C453" s="577"/>
      <c r="D453" s="577"/>
      <c r="E453" s="577"/>
      <c r="F453" s="577"/>
      <c r="G453" s="577"/>
      <c r="H453" s="577"/>
      <c r="I453" s="577"/>
      <c r="J453" s="577"/>
      <c r="K453" s="577"/>
      <c r="L453" s="577"/>
      <c r="M453" s="578"/>
    </row>
    <row r="454" spans="2:13" ht="30" customHeight="1" x14ac:dyDescent="0.3">
      <c r="B454" s="95"/>
      <c r="C454" s="96"/>
      <c r="D454" s="96"/>
      <c r="E454" s="96"/>
      <c r="F454" s="96"/>
      <c r="G454" s="96"/>
      <c r="H454" s="96"/>
      <c r="I454" s="96"/>
      <c r="J454" s="96"/>
      <c r="K454" s="96"/>
      <c r="L454" s="96"/>
      <c r="M454" s="101"/>
    </row>
    <row r="455" spans="2:13" ht="30" customHeight="1" x14ac:dyDescent="0.3">
      <c r="B455" s="95"/>
      <c r="C455" s="96"/>
      <c r="D455" s="96"/>
      <c r="E455" s="96"/>
      <c r="F455" s="96"/>
      <c r="G455" s="96"/>
      <c r="H455" s="96"/>
      <c r="I455" s="96"/>
      <c r="J455" s="96"/>
      <c r="K455" s="96"/>
      <c r="L455" s="96"/>
      <c r="M455" s="101"/>
    </row>
    <row r="456" spans="2:13" ht="30" customHeight="1" x14ac:dyDescent="0.3">
      <c r="B456" s="567"/>
      <c r="C456" s="568"/>
      <c r="D456" s="568"/>
      <c r="E456" s="96"/>
      <c r="F456" s="96"/>
      <c r="G456" s="96"/>
      <c r="H456" s="96"/>
      <c r="I456" s="96"/>
      <c r="J456" s="568"/>
      <c r="K456" s="568"/>
      <c r="L456" s="568"/>
      <c r="M456" s="101"/>
    </row>
    <row r="457" spans="2:13" ht="30" customHeight="1" x14ac:dyDescent="0.3">
      <c r="B457" s="569" t="s">
        <v>87</v>
      </c>
      <c r="C457" s="570"/>
      <c r="D457" s="570"/>
      <c r="E457" s="96"/>
      <c r="F457" s="96"/>
      <c r="G457" s="96"/>
      <c r="H457" s="96"/>
      <c r="I457" s="128" t="s">
        <v>88</v>
      </c>
      <c r="J457" s="128"/>
      <c r="K457" s="128"/>
      <c r="L457" s="102"/>
      <c r="M457" s="101"/>
    </row>
    <row r="458" spans="2:13" ht="30" customHeight="1" x14ac:dyDescent="0.3">
      <c r="B458" s="95" t="s">
        <v>44</v>
      </c>
      <c r="C458" s="96"/>
      <c r="D458" s="96"/>
      <c r="E458" s="96"/>
      <c r="F458" s="96"/>
      <c r="G458" s="96"/>
      <c r="H458" s="96"/>
      <c r="I458" s="96"/>
      <c r="J458" s="570"/>
      <c r="K458" s="570"/>
      <c r="L458" s="570"/>
      <c r="M458" s="101"/>
    </row>
    <row r="459" spans="2:13" ht="30" customHeight="1" x14ac:dyDescent="0.3">
      <c r="B459" s="95" t="s">
        <v>64</v>
      </c>
      <c r="C459" s="570">
        <f>C422</f>
        <v>0</v>
      </c>
      <c r="D459" s="570"/>
      <c r="E459" s="570"/>
      <c r="F459" s="96"/>
      <c r="G459" s="96"/>
      <c r="H459" s="96"/>
      <c r="I459" s="99" t="s">
        <v>104</v>
      </c>
      <c r="J459" s="571">
        <f>+'PB '!C7</f>
        <v>0</v>
      </c>
      <c r="K459" s="571"/>
      <c r="L459" s="571"/>
      <c r="M459" s="572"/>
    </row>
    <row r="460" spans="2:13" ht="30" customHeight="1" thickBot="1" x14ac:dyDescent="0.35">
      <c r="B460" s="129"/>
      <c r="C460" s="130"/>
      <c r="D460" s="130"/>
      <c r="E460" s="130"/>
      <c r="F460" s="130"/>
      <c r="G460" s="130"/>
      <c r="H460" s="130"/>
      <c r="I460" s="130"/>
      <c r="J460" s="131"/>
      <c r="K460" s="132"/>
      <c r="L460" s="132"/>
      <c r="M460" s="133"/>
    </row>
    <row r="461" spans="2:13" ht="30" customHeight="1" x14ac:dyDescent="0.35">
      <c r="B461" s="135"/>
      <c r="C461" s="135"/>
      <c r="D461" s="135"/>
      <c r="E461" s="135"/>
      <c r="F461" s="135"/>
      <c r="G461" s="135"/>
      <c r="H461" s="135"/>
      <c r="I461" s="135"/>
      <c r="J461" s="135"/>
      <c r="K461" s="135"/>
      <c r="L461" s="135"/>
      <c r="M461" s="135"/>
    </row>
    <row r="462" spans="2:13" ht="30" customHeight="1" x14ac:dyDescent="0.35">
      <c r="B462" s="135"/>
      <c r="C462" s="135"/>
      <c r="D462" s="135"/>
      <c r="E462" s="135"/>
      <c r="F462" s="135"/>
      <c r="G462" s="135"/>
      <c r="H462" s="135"/>
      <c r="I462" s="135"/>
      <c r="J462" s="135"/>
      <c r="K462" s="135"/>
      <c r="L462" s="135"/>
      <c r="M462" s="135"/>
    </row>
    <row r="463" spans="2:13" ht="30" customHeight="1" thickBot="1" x14ac:dyDescent="0.4">
      <c r="B463" s="135"/>
      <c r="C463" s="135"/>
      <c r="D463" s="135"/>
      <c r="E463" s="135"/>
      <c r="F463" s="135"/>
      <c r="G463" s="135"/>
      <c r="H463" s="135"/>
      <c r="I463" s="135"/>
      <c r="J463" s="135"/>
      <c r="K463" s="135"/>
      <c r="L463" s="135"/>
      <c r="M463" s="135"/>
    </row>
    <row r="464" spans="2:13" ht="30" customHeight="1" x14ac:dyDescent="0.3">
      <c r="B464" s="584"/>
      <c r="C464" s="585"/>
      <c r="D464" s="585"/>
      <c r="E464" s="585"/>
      <c r="F464" s="585"/>
      <c r="G464" s="585"/>
      <c r="H464" s="585"/>
      <c r="I464" s="585"/>
      <c r="J464" s="585"/>
      <c r="K464" s="585"/>
      <c r="L464" s="585"/>
      <c r="M464" s="586"/>
    </row>
    <row r="465" spans="2:13" ht="30" customHeight="1" x14ac:dyDescent="0.3">
      <c r="B465" s="587" t="s">
        <v>62</v>
      </c>
      <c r="C465" s="588"/>
      <c r="D465" s="588"/>
      <c r="E465" s="588"/>
      <c r="F465" s="588"/>
      <c r="G465" s="588"/>
      <c r="H465" s="588"/>
      <c r="I465" s="588"/>
      <c r="J465" s="588"/>
      <c r="K465" s="588"/>
      <c r="L465" s="588"/>
      <c r="M465" s="589"/>
    </row>
    <row r="466" spans="2:13" ht="30" customHeight="1" x14ac:dyDescent="0.3">
      <c r="B466" s="95" t="s">
        <v>63</v>
      </c>
      <c r="C466" s="570" t="str">
        <f>C420</f>
        <v>Vessel name</v>
      </c>
      <c r="D466" s="570"/>
      <c r="E466" s="570"/>
      <c r="F466" s="96"/>
      <c r="G466" s="570"/>
      <c r="H466" s="570"/>
      <c r="I466" s="570"/>
      <c r="J466" s="96" t="s">
        <v>44</v>
      </c>
      <c r="K466" s="97"/>
      <c r="L466" s="582"/>
      <c r="M466" s="583"/>
    </row>
    <row r="467" spans="2:13" ht="30" customHeight="1" x14ac:dyDescent="0.3">
      <c r="B467" s="98"/>
      <c r="C467" s="96"/>
      <c r="D467" s="96"/>
      <c r="E467" s="99"/>
      <c r="F467" s="100"/>
      <c r="G467" s="100"/>
      <c r="H467" s="100"/>
      <c r="I467" s="96"/>
      <c r="J467" s="96"/>
      <c r="K467" s="97"/>
      <c r="L467" s="97"/>
      <c r="M467" s="101"/>
    </row>
    <row r="468" spans="2:13" ht="30" customHeight="1" x14ac:dyDescent="0.3">
      <c r="B468" s="95" t="s">
        <v>64</v>
      </c>
      <c r="C468" s="570">
        <f>+'PB '!C16</f>
        <v>0</v>
      </c>
      <c r="D468" s="570"/>
      <c r="E468" s="570"/>
      <c r="F468" s="570"/>
      <c r="G468" s="102"/>
      <c r="H468" s="96" t="s">
        <v>21</v>
      </c>
      <c r="I468" s="150" t="s">
        <v>144</v>
      </c>
      <c r="J468" s="136"/>
      <c r="K468" s="96"/>
      <c r="L468" s="582"/>
      <c r="M468" s="583"/>
    </row>
    <row r="469" spans="2:13" ht="30" customHeight="1" x14ac:dyDescent="0.3">
      <c r="B469" s="95"/>
      <c r="C469" s="96"/>
      <c r="D469" s="96"/>
      <c r="E469" s="96"/>
      <c r="F469" s="96"/>
      <c r="G469" s="96" t="s">
        <v>65</v>
      </c>
      <c r="H469" s="96"/>
      <c r="I469" s="96"/>
      <c r="J469" s="96"/>
      <c r="K469" s="96"/>
      <c r="L469" s="96"/>
      <c r="M469" s="101"/>
    </row>
    <row r="470" spans="2:13" ht="30" customHeight="1" x14ac:dyDescent="0.3">
      <c r="B470" s="95"/>
      <c r="C470" s="96"/>
      <c r="D470" s="96"/>
      <c r="E470" s="96"/>
      <c r="F470" s="96"/>
      <c r="G470" s="96" t="s">
        <v>44</v>
      </c>
      <c r="H470" s="96"/>
      <c r="I470" s="96"/>
      <c r="J470" s="96"/>
      <c r="K470" s="96"/>
      <c r="L470" s="96"/>
      <c r="M470" s="101"/>
    </row>
    <row r="471" spans="2:13" ht="30" customHeight="1" x14ac:dyDescent="0.3">
      <c r="B471" s="95"/>
      <c r="C471" s="96"/>
      <c r="D471" s="96"/>
      <c r="E471" s="96"/>
      <c r="F471" s="96"/>
      <c r="G471" s="103" t="s">
        <v>66</v>
      </c>
      <c r="H471" s="104"/>
      <c r="I471" s="103"/>
      <c r="J471" s="103"/>
      <c r="K471" s="96" t="s">
        <v>51</v>
      </c>
      <c r="L471" s="105">
        <f>'PB '!V16</f>
        <v>0</v>
      </c>
      <c r="M471" s="101"/>
    </row>
    <row r="472" spans="2:13" ht="30" customHeight="1" x14ac:dyDescent="0.3">
      <c r="B472" s="95"/>
      <c r="C472" s="96"/>
      <c r="D472" s="96"/>
      <c r="E472" s="96"/>
      <c r="F472" s="96"/>
      <c r="G472" s="96"/>
      <c r="H472" s="96"/>
      <c r="I472" s="96"/>
      <c r="J472" s="96"/>
      <c r="K472" s="96"/>
      <c r="L472" s="96"/>
      <c r="M472" s="101"/>
    </row>
    <row r="473" spans="2:13" ht="30" customHeight="1" x14ac:dyDescent="0.3">
      <c r="B473" s="590" t="s">
        <v>67</v>
      </c>
      <c r="C473" s="591"/>
      <c r="D473" s="592" t="s">
        <v>60</v>
      </c>
      <c r="E473" s="593"/>
      <c r="F473" s="579" t="s">
        <v>61</v>
      </c>
      <c r="G473" s="580"/>
      <c r="H473" s="106" t="s">
        <v>68</v>
      </c>
      <c r="I473" s="107" t="s">
        <v>69</v>
      </c>
      <c r="J473" s="106" t="s">
        <v>51</v>
      </c>
      <c r="K473" s="108"/>
      <c r="L473" s="108"/>
      <c r="M473" s="109"/>
    </row>
    <row r="474" spans="2:13" ht="30" customHeight="1" x14ac:dyDescent="0.3">
      <c r="B474" s="560" t="s">
        <v>70</v>
      </c>
      <c r="C474" s="581"/>
      <c r="D474" s="110">
        <f>'PB '!E16</f>
        <v>1</v>
      </c>
      <c r="E474" s="111">
        <f>'PB '!C1</f>
        <v>0</v>
      </c>
      <c r="F474" s="112">
        <f>'PB '!F16</f>
        <v>31</v>
      </c>
      <c r="G474" s="111">
        <f>'PB '!C1</f>
        <v>0</v>
      </c>
      <c r="H474" s="113">
        <f>+'PB '!G16</f>
        <v>30</v>
      </c>
      <c r="I474" s="114">
        <v>199</v>
      </c>
      <c r="J474" s="115">
        <f>I474*H474/30</f>
        <v>199</v>
      </c>
      <c r="K474" s="96"/>
      <c r="L474" s="96"/>
      <c r="M474" s="101"/>
    </row>
    <row r="475" spans="2:13" ht="30" customHeight="1" x14ac:dyDescent="0.3">
      <c r="B475" s="560" t="s">
        <v>71</v>
      </c>
      <c r="C475" s="581"/>
      <c r="D475" s="110">
        <f>D474</f>
        <v>1</v>
      </c>
      <c r="E475" s="111">
        <f>E474</f>
        <v>0</v>
      </c>
      <c r="F475" s="112">
        <f>F474</f>
        <v>31</v>
      </c>
      <c r="G475" s="111">
        <f>E474</f>
        <v>0</v>
      </c>
      <c r="H475" s="113">
        <f>H474</f>
        <v>30</v>
      </c>
      <c r="I475" s="114">
        <v>125</v>
      </c>
      <c r="J475" s="115">
        <f>I475*H475/30</f>
        <v>125</v>
      </c>
      <c r="K475" s="96"/>
      <c r="L475" s="96"/>
      <c r="M475" s="101"/>
    </row>
    <row r="476" spans="2:13" ht="30" customHeight="1" x14ac:dyDescent="0.3">
      <c r="B476" s="557" t="s">
        <v>72</v>
      </c>
      <c r="C476" s="558"/>
      <c r="D476" s="110">
        <f>D474</f>
        <v>1</v>
      </c>
      <c r="E476" s="111">
        <f>E474</f>
        <v>0</v>
      </c>
      <c r="F476" s="112">
        <f>F474</f>
        <v>31</v>
      </c>
      <c r="G476" s="111">
        <f>E474</f>
        <v>0</v>
      </c>
      <c r="H476" s="113">
        <f>H474</f>
        <v>30</v>
      </c>
      <c r="I476" s="114">
        <v>26</v>
      </c>
      <c r="J476" s="115">
        <f>I476*H476/30</f>
        <v>26</v>
      </c>
      <c r="K476" s="96"/>
      <c r="L476" s="96"/>
      <c r="M476" s="101"/>
    </row>
    <row r="477" spans="2:13" ht="30" customHeight="1" x14ac:dyDescent="0.3">
      <c r="B477" s="557" t="s">
        <v>73</v>
      </c>
      <c r="C477" s="558"/>
      <c r="D477" s="110">
        <f>D474</f>
        <v>1</v>
      </c>
      <c r="E477" s="111">
        <f>E474</f>
        <v>0</v>
      </c>
      <c r="F477" s="112">
        <f>F474</f>
        <v>31</v>
      </c>
      <c r="G477" s="111">
        <f>E474</f>
        <v>0</v>
      </c>
      <c r="H477" s="113">
        <f>H474</f>
        <v>30</v>
      </c>
      <c r="I477" s="114">
        <v>0</v>
      </c>
      <c r="J477" s="115">
        <f>I477*H477/30</f>
        <v>0</v>
      </c>
      <c r="K477" s="96"/>
      <c r="L477" s="96"/>
      <c r="M477" s="101"/>
    </row>
    <row r="478" spans="2:13" ht="30" customHeight="1" x14ac:dyDescent="0.3">
      <c r="B478" s="562" t="s">
        <v>74</v>
      </c>
      <c r="C478" s="563"/>
      <c r="D478" s="110"/>
      <c r="E478" s="111"/>
      <c r="F478" s="112"/>
      <c r="G478" s="111"/>
      <c r="H478" s="118"/>
      <c r="I478" s="114"/>
      <c r="J478" s="115">
        <f>'PB '!L16</f>
        <v>0</v>
      </c>
      <c r="K478" s="96"/>
      <c r="L478" s="96"/>
      <c r="M478" s="101"/>
    </row>
    <row r="479" spans="2:13" ht="30" customHeight="1" x14ac:dyDescent="0.3">
      <c r="B479" s="564" t="str">
        <f>'PB '!M5</f>
        <v>HRA</v>
      </c>
      <c r="C479" s="561"/>
      <c r="D479" s="117"/>
      <c r="E479" s="111"/>
      <c r="F479" s="117"/>
      <c r="G479" s="111"/>
      <c r="H479" s="118"/>
      <c r="I479" s="114"/>
      <c r="J479" s="115">
        <f>'PB '!M16</f>
        <v>0</v>
      </c>
      <c r="K479" s="96"/>
      <c r="L479" s="96"/>
      <c r="M479" s="101"/>
    </row>
    <row r="480" spans="2:13" ht="30" customHeight="1" x14ac:dyDescent="0.3">
      <c r="B480" s="95"/>
      <c r="C480" s="96"/>
      <c r="D480" s="96"/>
      <c r="E480" s="96"/>
      <c r="F480" s="565" t="s">
        <v>76</v>
      </c>
      <c r="G480" s="565"/>
      <c r="H480" s="565"/>
      <c r="I480" s="566"/>
      <c r="J480" s="119">
        <f>SUM(J474:J479)</f>
        <v>350</v>
      </c>
      <c r="K480" s="120" t="s">
        <v>51</v>
      </c>
      <c r="L480" s="121">
        <f>J480</f>
        <v>350</v>
      </c>
      <c r="M480" s="101"/>
    </row>
    <row r="481" spans="2:13" ht="30" customHeight="1" thickBot="1" x14ac:dyDescent="0.35">
      <c r="B481" s="95"/>
      <c r="C481" s="96"/>
      <c r="D481" s="96"/>
      <c r="E481" s="96"/>
      <c r="F481" s="96"/>
      <c r="G481" s="96"/>
      <c r="H481" s="96"/>
      <c r="I481" s="96"/>
      <c r="J481" s="96"/>
      <c r="K481" s="96"/>
      <c r="L481" s="122">
        <f>L471+L480</f>
        <v>350</v>
      </c>
      <c r="M481" s="101"/>
    </row>
    <row r="482" spans="2:13" ht="30" customHeight="1" x14ac:dyDescent="0.3">
      <c r="B482" s="95"/>
      <c r="C482" s="96"/>
      <c r="D482" s="96"/>
      <c r="E482" s="96"/>
      <c r="F482" s="96"/>
      <c r="G482" s="96"/>
      <c r="H482" s="96"/>
      <c r="I482" s="96"/>
      <c r="J482" s="96"/>
      <c r="K482" s="96"/>
      <c r="L482" s="123"/>
      <c r="M482" s="101"/>
    </row>
    <row r="483" spans="2:13" ht="30" customHeight="1" x14ac:dyDescent="0.3">
      <c r="B483" s="95"/>
      <c r="C483" s="96"/>
      <c r="D483" s="96"/>
      <c r="E483" s="96"/>
      <c r="F483" s="96"/>
      <c r="G483" s="96"/>
      <c r="H483" s="96"/>
      <c r="I483" s="96"/>
      <c r="J483" s="96"/>
      <c r="K483" s="96"/>
      <c r="L483" s="123"/>
      <c r="M483" s="101"/>
    </row>
    <row r="484" spans="2:13" ht="30" customHeight="1" x14ac:dyDescent="0.3">
      <c r="B484" s="557" t="s">
        <v>77</v>
      </c>
      <c r="C484" s="558"/>
      <c r="D484" s="558"/>
      <c r="E484" s="558"/>
      <c r="F484" s="558"/>
      <c r="G484" s="558"/>
      <c r="H484" s="558"/>
      <c r="I484" s="559"/>
      <c r="J484" s="124"/>
      <c r="K484" s="96"/>
      <c r="L484" s="123"/>
      <c r="M484" s="101"/>
    </row>
    <row r="485" spans="2:13" ht="30" customHeight="1" x14ac:dyDescent="0.3">
      <c r="B485" s="560" t="s">
        <v>78</v>
      </c>
      <c r="C485" s="561"/>
      <c r="D485" s="561"/>
      <c r="E485" s="561"/>
      <c r="F485" s="561"/>
      <c r="G485" s="561"/>
      <c r="H485" s="561"/>
      <c r="I485" s="561"/>
      <c r="J485" s="114">
        <f>'PB '!Q16</f>
        <v>0</v>
      </c>
      <c r="K485" s="96"/>
      <c r="L485" s="123"/>
      <c r="M485" s="101"/>
    </row>
    <row r="486" spans="2:13" ht="30" customHeight="1" x14ac:dyDescent="0.3">
      <c r="B486" s="560" t="s">
        <v>79</v>
      </c>
      <c r="C486" s="561"/>
      <c r="D486" s="561"/>
      <c r="E486" s="561"/>
      <c r="F486" s="561"/>
      <c r="G486" s="561"/>
      <c r="H486" s="561"/>
      <c r="I486" s="561"/>
      <c r="J486" s="114">
        <f>'PB '!R16</f>
        <v>350</v>
      </c>
      <c r="K486" s="96"/>
      <c r="L486" s="123"/>
      <c r="M486" s="101"/>
    </row>
    <row r="487" spans="2:13" ht="30" customHeight="1" x14ac:dyDescent="0.3">
      <c r="B487" s="560" t="s">
        <v>80</v>
      </c>
      <c r="C487" s="561"/>
      <c r="D487" s="561"/>
      <c r="E487" s="561"/>
      <c r="F487" s="561"/>
      <c r="G487" s="561"/>
      <c r="H487" s="561"/>
      <c r="I487" s="561"/>
      <c r="J487" s="114">
        <f>'PB '!S16</f>
        <v>0</v>
      </c>
      <c r="K487" s="96"/>
      <c r="L487" s="123"/>
      <c r="M487" s="101"/>
    </row>
    <row r="488" spans="2:13" ht="30" customHeight="1" x14ac:dyDescent="0.3">
      <c r="B488" s="560" t="s">
        <v>81</v>
      </c>
      <c r="C488" s="561"/>
      <c r="D488" s="561"/>
      <c r="E488" s="561"/>
      <c r="F488" s="561"/>
      <c r="G488" s="561"/>
      <c r="H488" s="561"/>
      <c r="I488" s="561"/>
      <c r="J488" s="114">
        <v>0</v>
      </c>
      <c r="K488" s="96"/>
      <c r="L488" s="123"/>
      <c r="M488" s="101"/>
    </row>
    <row r="489" spans="2:13" ht="30" customHeight="1" x14ac:dyDescent="0.3">
      <c r="B489" s="557" t="s">
        <v>82</v>
      </c>
      <c r="C489" s="558"/>
      <c r="D489" s="558"/>
      <c r="E489" s="558"/>
      <c r="F489" s="558"/>
      <c r="G489" s="558"/>
      <c r="H489" s="558"/>
      <c r="I489" s="559"/>
      <c r="J489" s="114">
        <f>'PB '!T16</f>
        <v>0</v>
      </c>
      <c r="K489" s="96"/>
      <c r="L489" s="123"/>
      <c r="M489" s="101"/>
    </row>
    <row r="490" spans="2:13" ht="30" customHeight="1" thickBot="1" x14ac:dyDescent="0.35">
      <c r="B490" s="560"/>
      <c r="C490" s="561"/>
      <c r="D490" s="561"/>
      <c r="E490" s="561"/>
      <c r="F490" s="561"/>
      <c r="G490" s="561"/>
      <c r="H490" s="561"/>
      <c r="I490" s="561"/>
      <c r="J490" s="114"/>
      <c r="K490" s="96"/>
      <c r="L490" s="123"/>
      <c r="M490" s="101"/>
    </row>
    <row r="491" spans="2:13" ht="30" customHeight="1" thickBot="1" x14ac:dyDescent="0.35">
      <c r="B491" s="95"/>
      <c r="C491" s="96"/>
      <c r="D491" s="96"/>
      <c r="E491" s="96"/>
      <c r="F491" s="573" t="s">
        <v>83</v>
      </c>
      <c r="G491" s="574"/>
      <c r="H491" s="574"/>
      <c r="I491" s="575"/>
      <c r="J491" s="114">
        <f>SUM(J485:J489)</f>
        <v>350</v>
      </c>
      <c r="K491" s="96" t="s">
        <v>51</v>
      </c>
      <c r="L491" s="125">
        <f>J491</f>
        <v>350</v>
      </c>
      <c r="M491" s="101"/>
    </row>
    <row r="492" spans="2:13" ht="30" customHeight="1" x14ac:dyDescent="0.3">
      <c r="B492" s="95"/>
      <c r="C492" s="96"/>
      <c r="D492" s="96"/>
      <c r="E492" s="96"/>
      <c r="F492" s="96"/>
      <c r="G492" s="96"/>
      <c r="H492" s="96"/>
      <c r="I492" s="96"/>
      <c r="J492" s="96"/>
      <c r="K492" s="96"/>
      <c r="L492" s="123"/>
      <c r="M492" s="101"/>
    </row>
    <row r="493" spans="2:13" ht="30" customHeight="1" x14ac:dyDescent="0.3">
      <c r="B493" s="95"/>
      <c r="C493" s="96"/>
      <c r="D493" s="96"/>
      <c r="E493" s="96"/>
      <c r="F493" s="96"/>
      <c r="G493" s="96"/>
      <c r="H493" s="96"/>
      <c r="I493" s="96"/>
      <c r="J493" s="96"/>
      <c r="K493" s="96"/>
      <c r="L493" s="123"/>
      <c r="M493" s="101"/>
    </row>
    <row r="494" spans="2:13" ht="30" customHeight="1" thickBot="1" x14ac:dyDescent="0.35">
      <c r="B494" s="95"/>
      <c r="C494" s="96"/>
      <c r="D494" s="96"/>
      <c r="E494" s="96"/>
      <c r="F494" s="112" t="s">
        <v>84</v>
      </c>
      <c r="G494" s="112"/>
      <c r="H494" s="112"/>
      <c r="I494" s="112"/>
      <c r="J494" s="112"/>
      <c r="K494" s="96" t="s">
        <v>51</v>
      </c>
      <c r="L494" s="126">
        <f>L481-L491</f>
        <v>0</v>
      </c>
      <c r="M494" s="101"/>
    </row>
    <row r="495" spans="2:13" ht="30" customHeight="1" x14ac:dyDescent="0.3">
      <c r="B495" s="127"/>
      <c r="C495" s="96"/>
      <c r="D495" s="96"/>
      <c r="E495" s="96"/>
      <c r="F495" s="96"/>
      <c r="G495" s="96"/>
      <c r="H495" s="96"/>
      <c r="I495" s="96" t="s">
        <v>44</v>
      </c>
      <c r="J495" s="96" t="s">
        <v>44</v>
      </c>
      <c r="K495" s="96" t="s">
        <v>44</v>
      </c>
      <c r="L495" s="123" t="s">
        <v>44</v>
      </c>
      <c r="M495" s="101"/>
    </row>
    <row r="496" spans="2:13" ht="30" customHeight="1" x14ac:dyDescent="0.3">
      <c r="B496" s="127"/>
      <c r="C496" s="96"/>
      <c r="D496" s="96"/>
      <c r="E496" s="96"/>
      <c r="F496" s="96"/>
      <c r="G496" s="96"/>
      <c r="H496" s="96"/>
      <c r="I496" s="96"/>
      <c r="J496" s="96"/>
      <c r="K496" s="96"/>
      <c r="L496" s="123"/>
      <c r="M496" s="101"/>
    </row>
    <row r="497" spans="2:15" ht="30" customHeight="1" x14ac:dyDescent="0.3">
      <c r="B497" s="127"/>
      <c r="C497" s="96"/>
      <c r="D497" s="96"/>
      <c r="E497" s="96"/>
      <c r="F497" s="96"/>
      <c r="G497" s="96"/>
      <c r="H497" s="96"/>
      <c r="I497" s="96"/>
      <c r="J497" s="96"/>
      <c r="K497" s="96"/>
      <c r="L497" s="123"/>
      <c r="M497" s="101"/>
    </row>
    <row r="498" spans="2:15" ht="30" customHeight="1" x14ac:dyDescent="0.25">
      <c r="B498" s="576" t="s">
        <v>85</v>
      </c>
      <c r="C498" s="577"/>
      <c r="D498" s="577"/>
      <c r="E498" s="577"/>
      <c r="F498" s="577"/>
      <c r="G498" s="577"/>
      <c r="H498" s="577"/>
      <c r="I498" s="577"/>
      <c r="J498" s="577"/>
      <c r="K498" s="577"/>
      <c r="L498" s="577"/>
      <c r="M498" s="578"/>
    </row>
    <row r="499" spans="2:15" ht="30" customHeight="1" x14ac:dyDescent="0.25">
      <c r="B499" s="576" t="s">
        <v>86</v>
      </c>
      <c r="C499" s="577"/>
      <c r="D499" s="577"/>
      <c r="E499" s="577"/>
      <c r="F499" s="577"/>
      <c r="G499" s="577"/>
      <c r="H499" s="577"/>
      <c r="I499" s="577"/>
      <c r="J499" s="577"/>
      <c r="K499" s="577"/>
      <c r="L499" s="577"/>
      <c r="M499" s="578"/>
    </row>
    <row r="500" spans="2:15" ht="30" customHeight="1" x14ac:dyDescent="0.3">
      <c r="B500" s="95"/>
      <c r="C500" s="96"/>
      <c r="D500" s="96"/>
      <c r="E500" s="96"/>
      <c r="F500" s="96"/>
      <c r="G500" s="96"/>
      <c r="H500" s="96"/>
      <c r="I500" s="96"/>
      <c r="J500" s="96"/>
      <c r="K500" s="96"/>
      <c r="L500" s="96"/>
      <c r="M500" s="101"/>
    </row>
    <row r="501" spans="2:15" ht="30" customHeight="1" x14ac:dyDescent="0.3">
      <c r="B501" s="95"/>
      <c r="C501" s="96"/>
      <c r="D501" s="96"/>
      <c r="E501" s="96"/>
      <c r="F501" s="96"/>
      <c r="G501" s="96"/>
      <c r="H501" s="96"/>
      <c r="I501" s="96"/>
      <c r="J501" s="96"/>
      <c r="K501" s="96"/>
      <c r="L501" s="96"/>
      <c r="M501" s="101"/>
    </row>
    <row r="502" spans="2:15" ht="30" customHeight="1" x14ac:dyDescent="0.3">
      <c r="B502" s="567"/>
      <c r="C502" s="568"/>
      <c r="D502" s="568"/>
      <c r="E502" s="96"/>
      <c r="F502" s="96"/>
      <c r="G502" s="96"/>
      <c r="H502" s="96"/>
      <c r="I502" s="96"/>
      <c r="J502" s="568"/>
      <c r="K502" s="568"/>
      <c r="L502" s="568"/>
      <c r="M502" s="101"/>
    </row>
    <row r="503" spans="2:15" ht="30" customHeight="1" x14ac:dyDescent="0.3">
      <c r="B503" s="569" t="s">
        <v>87</v>
      </c>
      <c r="C503" s="570"/>
      <c r="D503" s="570"/>
      <c r="E503" s="96"/>
      <c r="F503" s="96"/>
      <c r="G503" s="96"/>
      <c r="H503" s="96"/>
      <c r="I503" s="128" t="s">
        <v>88</v>
      </c>
      <c r="J503" s="128"/>
      <c r="K503" s="128"/>
      <c r="L503" s="102"/>
      <c r="M503" s="101"/>
    </row>
    <row r="504" spans="2:15" ht="30" customHeight="1" x14ac:dyDescent="0.3">
      <c r="B504" s="95" t="s">
        <v>44</v>
      </c>
      <c r="C504" s="96"/>
      <c r="D504" s="96"/>
      <c r="E504" s="96"/>
      <c r="F504" s="96"/>
      <c r="G504" s="96"/>
      <c r="H504" s="96"/>
      <c r="I504" s="96"/>
      <c r="J504" s="570"/>
      <c r="K504" s="570"/>
      <c r="L504" s="570"/>
      <c r="M504" s="101"/>
    </row>
    <row r="505" spans="2:15" ht="30" customHeight="1" x14ac:dyDescent="0.3">
      <c r="B505" s="95" t="s">
        <v>64</v>
      </c>
      <c r="C505" s="570">
        <f>C468</f>
        <v>0</v>
      </c>
      <c r="D505" s="570"/>
      <c r="E505" s="570"/>
      <c r="F505" s="96"/>
      <c r="G505" s="96"/>
      <c r="H505" s="96"/>
      <c r="I505" s="99" t="s">
        <v>104</v>
      </c>
      <c r="J505" s="571">
        <f>+'PB '!C7</f>
        <v>0</v>
      </c>
      <c r="K505" s="571"/>
      <c r="L505" s="571"/>
      <c r="M505" s="572"/>
    </row>
    <row r="506" spans="2:15" ht="30" customHeight="1" thickBot="1" x14ac:dyDescent="0.35">
      <c r="B506" s="129"/>
      <c r="C506" s="130"/>
      <c r="D506" s="130"/>
      <c r="E506" s="130"/>
      <c r="F506" s="130"/>
      <c r="G506" s="130"/>
      <c r="H506" s="130"/>
      <c r="I506" s="130"/>
      <c r="J506" s="131"/>
      <c r="K506" s="132"/>
      <c r="L506" s="132"/>
      <c r="M506" s="133"/>
    </row>
    <row r="507" spans="2:15" ht="30" customHeight="1" x14ac:dyDescent="0.35">
      <c r="B507" s="135"/>
      <c r="C507" s="135"/>
      <c r="D507" s="135"/>
      <c r="E507" s="135"/>
      <c r="F507" s="135"/>
      <c r="G507" s="135"/>
      <c r="H507" s="135"/>
      <c r="I507" s="135"/>
      <c r="J507" s="135"/>
      <c r="K507" s="135"/>
      <c r="L507" s="135"/>
      <c r="M507" s="135"/>
    </row>
    <row r="508" spans="2:15" ht="30" customHeight="1" x14ac:dyDescent="0.35">
      <c r="B508" s="135"/>
      <c r="C508" s="135"/>
      <c r="D508" s="135"/>
      <c r="E508" s="135"/>
      <c r="F508" s="135"/>
      <c r="G508" s="135"/>
      <c r="H508" s="135"/>
      <c r="I508" s="135"/>
      <c r="J508" s="135"/>
      <c r="K508" s="135"/>
      <c r="L508" s="135"/>
      <c r="M508" s="135"/>
    </row>
    <row r="509" spans="2:15" ht="30" customHeight="1" thickBot="1" x14ac:dyDescent="0.4">
      <c r="B509" s="135"/>
      <c r="C509" s="135"/>
      <c r="D509" s="135"/>
      <c r="E509" s="135"/>
      <c r="F509" s="135"/>
      <c r="G509" s="135"/>
      <c r="H509" s="135"/>
      <c r="I509" s="135"/>
      <c r="J509" s="135"/>
      <c r="K509" s="135"/>
      <c r="L509" s="135"/>
      <c r="M509" s="135"/>
    </row>
    <row r="510" spans="2:15" ht="30" customHeight="1" x14ac:dyDescent="0.3">
      <c r="B510" s="584"/>
      <c r="C510" s="585"/>
      <c r="D510" s="585"/>
      <c r="E510" s="585"/>
      <c r="F510" s="585"/>
      <c r="G510" s="585"/>
      <c r="H510" s="585"/>
      <c r="I510" s="585"/>
      <c r="J510" s="585"/>
      <c r="K510" s="585"/>
      <c r="L510" s="585"/>
      <c r="M510" s="586"/>
    </row>
    <row r="511" spans="2:15" ht="30" customHeight="1" x14ac:dyDescent="0.3">
      <c r="B511" s="587" t="s">
        <v>62</v>
      </c>
      <c r="C511" s="588"/>
      <c r="D511" s="588"/>
      <c r="E511" s="588"/>
      <c r="F511" s="588"/>
      <c r="G511" s="588"/>
      <c r="H511" s="588"/>
      <c r="I511" s="588"/>
      <c r="J511" s="588"/>
      <c r="K511" s="588"/>
      <c r="L511" s="588"/>
      <c r="M511" s="589"/>
      <c r="O511">
        <v>14</v>
      </c>
    </row>
    <row r="512" spans="2:15" ht="30" customHeight="1" x14ac:dyDescent="0.3">
      <c r="B512" s="95" t="s">
        <v>63</v>
      </c>
      <c r="C512" s="570" t="str">
        <f>C466</f>
        <v>Vessel name</v>
      </c>
      <c r="D512" s="570"/>
      <c r="E512" s="570"/>
      <c r="F512" s="96"/>
      <c r="G512" s="570"/>
      <c r="H512" s="570"/>
      <c r="I512" s="570"/>
      <c r="J512" s="96" t="s">
        <v>44</v>
      </c>
      <c r="K512" s="97"/>
      <c r="L512" s="582"/>
      <c r="M512" s="583"/>
    </row>
    <row r="513" spans="2:13" ht="30" customHeight="1" x14ac:dyDescent="0.3">
      <c r="B513" s="98"/>
      <c r="C513" s="96"/>
      <c r="D513" s="96"/>
      <c r="E513" s="99"/>
      <c r="F513" s="100"/>
      <c r="G513" s="100"/>
      <c r="H513" s="100"/>
      <c r="I513" s="96"/>
      <c r="J513" s="96"/>
      <c r="K513" s="97"/>
      <c r="L513" s="97"/>
      <c r="M513" s="101"/>
    </row>
    <row r="514" spans="2:13" ht="30" customHeight="1" x14ac:dyDescent="0.3">
      <c r="B514" s="95" t="s">
        <v>64</v>
      </c>
      <c r="C514" s="570">
        <f>+'PB '!C17</f>
        <v>0</v>
      </c>
      <c r="D514" s="570"/>
      <c r="E514" s="570"/>
      <c r="F514" s="570"/>
      <c r="G514" s="102"/>
      <c r="H514" s="96" t="s">
        <v>21</v>
      </c>
      <c r="I514" s="103" t="s">
        <v>145</v>
      </c>
      <c r="J514" s="136"/>
      <c r="K514" s="96"/>
      <c r="L514" s="582"/>
      <c r="M514" s="583"/>
    </row>
    <row r="515" spans="2:13" ht="30" customHeight="1" x14ac:dyDescent="0.3">
      <c r="B515" s="95"/>
      <c r="C515" s="96"/>
      <c r="D515" s="96"/>
      <c r="E515" s="96"/>
      <c r="F515" s="96"/>
      <c r="G515" s="96" t="s">
        <v>65</v>
      </c>
      <c r="H515" s="96"/>
      <c r="I515" s="96"/>
      <c r="J515" s="96"/>
      <c r="K515" s="96"/>
      <c r="L515" s="96"/>
      <c r="M515" s="101"/>
    </row>
    <row r="516" spans="2:13" ht="30" customHeight="1" x14ac:dyDescent="0.3">
      <c r="B516" s="95"/>
      <c r="C516" s="96"/>
      <c r="D516" s="96"/>
      <c r="E516" s="96"/>
      <c r="F516" s="96"/>
      <c r="G516" s="96" t="s">
        <v>44</v>
      </c>
      <c r="H516" s="96"/>
      <c r="I516" s="96"/>
      <c r="J516" s="96"/>
      <c r="K516" s="96"/>
      <c r="L516" s="96"/>
      <c r="M516" s="101"/>
    </row>
    <row r="517" spans="2:13" ht="30" customHeight="1" x14ac:dyDescent="0.3">
      <c r="B517" s="95"/>
      <c r="C517" s="96"/>
      <c r="D517" s="96"/>
      <c r="E517" s="96"/>
      <c r="F517" s="96"/>
      <c r="G517" s="103" t="s">
        <v>66</v>
      </c>
      <c r="H517" s="104"/>
      <c r="I517" s="103"/>
      <c r="J517" s="103"/>
      <c r="K517" s="96" t="s">
        <v>51</v>
      </c>
      <c r="L517" s="105">
        <f>'PB '!V17</f>
        <v>0</v>
      </c>
      <c r="M517" s="101"/>
    </row>
    <row r="518" spans="2:13" ht="30" customHeight="1" x14ac:dyDescent="0.3">
      <c r="B518" s="95"/>
      <c r="C518" s="96"/>
      <c r="D518" s="96"/>
      <c r="E518" s="96"/>
      <c r="F518" s="96"/>
      <c r="G518" s="96"/>
      <c r="H518" s="96"/>
      <c r="I518" s="96"/>
      <c r="J518" s="96"/>
      <c r="K518" s="96"/>
      <c r="L518" s="96"/>
      <c r="M518" s="101"/>
    </row>
    <row r="519" spans="2:13" ht="30" customHeight="1" x14ac:dyDescent="0.3">
      <c r="B519" s="590" t="s">
        <v>67</v>
      </c>
      <c r="C519" s="591"/>
      <c r="D519" s="592" t="s">
        <v>60</v>
      </c>
      <c r="E519" s="593"/>
      <c r="F519" s="579" t="s">
        <v>61</v>
      </c>
      <c r="G519" s="580"/>
      <c r="H519" s="106" t="s">
        <v>68</v>
      </c>
      <c r="I519" s="107" t="s">
        <v>69</v>
      </c>
      <c r="J519" s="106" t="s">
        <v>51</v>
      </c>
      <c r="K519" s="108"/>
      <c r="L519" s="108"/>
      <c r="M519" s="109"/>
    </row>
    <row r="520" spans="2:13" ht="30" customHeight="1" x14ac:dyDescent="0.3">
      <c r="B520" s="560" t="s">
        <v>70</v>
      </c>
      <c r="C520" s="581"/>
      <c r="D520" s="110">
        <f>'PB '!E17</f>
        <v>1</v>
      </c>
      <c r="E520" s="111">
        <f>'PB '!C1</f>
        <v>0</v>
      </c>
      <c r="F520" s="112">
        <f>'PB '!F17</f>
        <v>31</v>
      </c>
      <c r="G520" s="111">
        <f>E520</f>
        <v>0</v>
      </c>
      <c r="H520" s="113">
        <f>+'PB '!G17</f>
        <v>30</v>
      </c>
      <c r="I520" s="114">
        <v>1172</v>
      </c>
      <c r="J520" s="115">
        <f>I520*H520/30</f>
        <v>1172</v>
      </c>
      <c r="K520" s="96"/>
      <c r="L520" s="96"/>
      <c r="M520" s="101"/>
    </row>
    <row r="521" spans="2:13" ht="30" customHeight="1" x14ac:dyDescent="0.3">
      <c r="B521" s="560" t="s">
        <v>71</v>
      </c>
      <c r="C521" s="581"/>
      <c r="D521" s="110">
        <f>D520</f>
        <v>1</v>
      </c>
      <c r="E521" s="111">
        <f>E520</f>
        <v>0</v>
      </c>
      <c r="F521" s="112">
        <f>F520</f>
        <v>31</v>
      </c>
      <c r="G521" s="111">
        <f>E520</f>
        <v>0</v>
      </c>
      <c r="H521" s="113">
        <f>H520</f>
        <v>30</v>
      </c>
      <c r="I521" s="114">
        <v>733</v>
      </c>
      <c r="J521" s="115">
        <f>I521*H521/30</f>
        <v>733</v>
      </c>
      <c r="K521" s="96"/>
      <c r="L521" s="96"/>
      <c r="M521" s="101"/>
    </row>
    <row r="522" spans="2:13" ht="30" customHeight="1" x14ac:dyDescent="0.3">
      <c r="B522" s="557" t="s">
        <v>72</v>
      </c>
      <c r="C522" s="558"/>
      <c r="D522" s="110">
        <f>D520</f>
        <v>1</v>
      </c>
      <c r="E522" s="111">
        <f>E520</f>
        <v>0</v>
      </c>
      <c r="F522" s="112">
        <f>F520</f>
        <v>31</v>
      </c>
      <c r="G522" s="111">
        <f>E520</f>
        <v>0</v>
      </c>
      <c r="H522" s="113">
        <f>H521</f>
        <v>30</v>
      </c>
      <c r="I522" s="114">
        <v>97.7</v>
      </c>
      <c r="J522" s="115">
        <f>I522*H522/30</f>
        <v>97.7</v>
      </c>
      <c r="K522" s="96"/>
      <c r="L522" s="96"/>
      <c r="M522" s="101"/>
    </row>
    <row r="523" spans="2:13" ht="30" customHeight="1" x14ac:dyDescent="0.3">
      <c r="B523" s="557" t="s">
        <v>73</v>
      </c>
      <c r="C523" s="558"/>
      <c r="D523" s="110">
        <f>D520</f>
        <v>1</v>
      </c>
      <c r="E523" s="111">
        <f>E520</f>
        <v>0</v>
      </c>
      <c r="F523" s="112">
        <f>F520</f>
        <v>31</v>
      </c>
      <c r="G523" s="111">
        <f>E520</f>
        <v>0</v>
      </c>
      <c r="H523" s="113">
        <f>H522</f>
        <v>30</v>
      </c>
      <c r="I523" s="114">
        <v>4997.3</v>
      </c>
      <c r="J523" s="115">
        <f>I523*H523/30</f>
        <v>4997.3</v>
      </c>
      <c r="K523" s="96"/>
      <c r="L523" s="96"/>
      <c r="M523" s="101"/>
    </row>
    <row r="524" spans="2:13" ht="30" customHeight="1" x14ac:dyDescent="0.3">
      <c r="B524" s="562" t="s">
        <v>74</v>
      </c>
      <c r="C524" s="563"/>
      <c r="D524" s="110"/>
      <c r="E524" s="111"/>
      <c r="F524" s="112"/>
      <c r="G524" s="111"/>
      <c r="H524" s="113"/>
      <c r="I524" s="114"/>
      <c r="J524" s="115">
        <f>'PB '!L17</f>
        <v>0</v>
      </c>
      <c r="K524" s="96"/>
      <c r="L524" s="96"/>
      <c r="M524" s="101"/>
    </row>
    <row r="525" spans="2:13" ht="30" customHeight="1" x14ac:dyDescent="0.3">
      <c r="B525" s="564" t="s">
        <v>153</v>
      </c>
      <c r="C525" s="561"/>
      <c r="D525" s="117"/>
      <c r="E525" s="111"/>
      <c r="F525" s="117"/>
      <c r="G525" s="111"/>
      <c r="H525" s="118"/>
      <c r="I525" s="114"/>
      <c r="J525" s="115">
        <f>'PB '!N17</f>
        <v>0</v>
      </c>
      <c r="K525" s="96"/>
      <c r="L525" s="96"/>
      <c r="M525" s="101"/>
    </row>
    <row r="526" spans="2:13" ht="30" customHeight="1" x14ac:dyDescent="0.3">
      <c r="B526" s="95"/>
      <c r="C526" s="96"/>
      <c r="D526" s="96"/>
      <c r="E526" s="96"/>
      <c r="F526" s="565" t="s">
        <v>76</v>
      </c>
      <c r="G526" s="565"/>
      <c r="H526" s="565"/>
      <c r="I526" s="566"/>
      <c r="J526" s="119">
        <f>SUM(J520:J525)</f>
        <v>7000</v>
      </c>
      <c r="K526" s="120" t="s">
        <v>51</v>
      </c>
      <c r="L526" s="121">
        <f>J526</f>
        <v>7000</v>
      </c>
      <c r="M526" s="101"/>
    </row>
    <row r="527" spans="2:13" ht="30" customHeight="1" thickBot="1" x14ac:dyDescent="0.35">
      <c r="B527" s="95"/>
      <c r="C527" s="96"/>
      <c r="D527" s="96"/>
      <c r="E527" s="96"/>
      <c r="F527" s="96"/>
      <c r="G527" s="96"/>
      <c r="H527" s="96"/>
      <c r="I527" s="96"/>
      <c r="J527" s="96"/>
      <c r="K527" s="96"/>
      <c r="L527" s="122">
        <f>L517+L526</f>
        <v>7000</v>
      </c>
      <c r="M527" s="101"/>
    </row>
    <row r="528" spans="2:13" ht="30" customHeight="1" x14ac:dyDescent="0.3">
      <c r="B528" s="95"/>
      <c r="C528" s="96"/>
      <c r="D528" s="96"/>
      <c r="E528" s="96"/>
      <c r="F528" s="96"/>
      <c r="G528" s="96"/>
      <c r="H528" s="96"/>
      <c r="I528" s="96"/>
      <c r="J528" s="96"/>
      <c r="K528" s="96"/>
      <c r="L528" s="123"/>
      <c r="M528" s="101"/>
    </row>
    <row r="529" spans="2:13" ht="30" customHeight="1" x14ac:dyDescent="0.3">
      <c r="B529" s="95"/>
      <c r="C529" s="96"/>
      <c r="D529" s="96"/>
      <c r="E529" s="96"/>
      <c r="F529" s="96"/>
      <c r="G529" s="96"/>
      <c r="H529" s="96"/>
      <c r="I529" s="96"/>
      <c r="J529" s="96"/>
      <c r="K529" s="96"/>
      <c r="L529" s="123"/>
      <c r="M529" s="101"/>
    </row>
    <row r="530" spans="2:13" ht="30" customHeight="1" x14ac:dyDescent="0.3">
      <c r="B530" s="557" t="s">
        <v>77</v>
      </c>
      <c r="C530" s="558"/>
      <c r="D530" s="558"/>
      <c r="E530" s="558"/>
      <c r="F530" s="558"/>
      <c r="G530" s="558"/>
      <c r="H530" s="558"/>
      <c r="I530" s="559"/>
      <c r="J530" s="124"/>
      <c r="K530" s="96"/>
      <c r="L530" s="123"/>
      <c r="M530" s="101"/>
    </row>
    <row r="531" spans="2:13" ht="30" customHeight="1" x14ac:dyDescent="0.3">
      <c r="B531" s="560" t="s">
        <v>78</v>
      </c>
      <c r="C531" s="561"/>
      <c r="D531" s="561"/>
      <c r="E531" s="561"/>
      <c r="F531" s="561"/>
      <c r="G531" s="561"/>
      <c r="H531" s="561"/>
      <c r="I531" s="561"/>
      <c r="J531" s="114">
        <f>'PB '!Q17</f>
        <v>500</v>
      </c>
      <c r="K531" s="96"/>
      <c r="L531" s="123"/>
      <c r="M531" s="101"/>
    </row>
    <row r="532" spans="2:13" ht="30" customHeight="1" x14ac:dyDescent="0.3">
      <c r="B532" s="560" t="s">
        <v>79</v>
      </c>
      <c r="C532" s="561"/>
      <c r="D532" s="561"/>
      <c r="E532" s="561"/>
      <c r="F532" s="561"/>
      <c r="G532" s="561"/>
      <c r="H532" s="561"/>
      <c r="I532" s="561"/>
      <c r="J532" s="114">
        <f>'PB '!R17</f>
        <v>6472.32</v>
      </c>
      <c r="K532" s="96"/>
      <c r="L532" s="123"/>
      <c r="M532" s="101"/>
    </row>
    <row r="533" spans="2:13" ht="30" customHeight="1" x14ac:dyDescent="0.3">
      <c r="B533" s="560" t="s">
        <v>80</v>
      </c>
      <c r="C533" s="561"/>
      <c r="D533" s="561"/>
      <c r="E533" s="561"/>
      <c r="F533" s="561"/>
      <c r="G533" s="561"/>
      <c r="H533" s="561"/>
      <c r="I533" s="561"/>
      <c r="J533" s="114">
        <f>'PB '!S17</f>
        <v>27.68</v>
      </c>
      <c r="K533" s="96"/>
      <c r="L533" s="123"/>
      <c r="M533" s="101"/>
    </row>
    <row r="534" spans="2:13" ht="30" customHeight="1" x14ac:dyDescent="0.3">
      <c r="B534" s="560" t="s">
        <v>81</v>
      </c>
      <c r="C534" s="561"/>
      <c r="D534" s="561"/>
      <c r="E534" s="561"/>
      <c r="F534" s="561"/>
      <c r="G534" s="561"/>
      <c r="H534" s="561"/>
      <c r="I534" s="561"/>
      <c r="J534" s="114">
        <v>0</v>
      </c>
      <c r="K534" s="96"/>
      <c r="L534" s="123"/>
      <c r="M534" s="101"/>
    </row>
    <row r="535" spans="2:13" ht="30" customHeight="1" x14ac:dyDescent="0.3">
      <c r="B535" s="557" t="s">
        <v>82</v>
      </c>
      <c r="C535" s="558"/>
      <c r="D535" s="558"/>
      <c r="E535" s="558"/>
      <c r="F535" s="558"/>
      <c r="G535" s="558"/>
      <c r="H535" s="558"/>
      <c r="I535" s="559"/>
      <c r="J535" s="114">
        <f>'PB '!T17</f>
        <v>0</v>
      </c>
      <c r="K535" s="96"/>
      <c r="L535" s="123"/>
      <c r="M535" s="101"/>
    </row>
    <row r="536" spans="2:13" ht="30" customHeight="1" thickBot="1" x14ac:dyDescent="0.35">
      <c r="B536" s="560"/>
      <c r="C536" s="561"/>
      <c r="D536" s="561"/>
      <c r="E536" s="561"/>
      <c r="F536" s="561"/>
      <c r="G536" s="561"/>
      <c r="H536" s="561"/>
      <c r="I536" s="561"/>
      <c r="J536" s="114"/>
      <c r="K536" s="96"/>
      <c r="L536" s="123"/>
      <c r="M536" s="101"/>
    </row>
    <row r="537" spans="2:13" ht="30" customHeight="1" thickBot="1" x14ac:dyDescent="0.35">
      <c r="B537" s="95"/>
      <c r="C537" s="96"/>
      <c r="D537" s="96"/>
      <c r="E537" s="96"/>
      <c r="F537" s="573" t="s">
        <v>83</v>
      </c>
      <c r="G537" s="574"/>
      <c r="H537" s="574"/>
      <c r="I537" s="575"/>
      <c r="J537" s="114">
        <f>SUM(J531:J535)</f>
        <v>7000</v>
      </c>
      <c r="K537" s="96" t="s">
        <v>51</v>
      </c>
      <c r="L537" s="125">
        <f>J537</f>
        <v>7000</v>
      </c>
      <c r="M537" s="101"/>
    </row>
    <row r="538" spans="2:13" ht="30" customHeight="1" x14ac:dyDescent="0.3">
      <c r="B538" s="95"/>
      <c r="C538" s="96"/>
      <c r="D538" s="96"/>
      <c r="E538" s="96"/>
      <c r="F538" s="96"/>
      <c r="G538" s="96"/>
      <c r="H538" s="96"/>
      <c r="I538" s="96"/>
      <c r="J538" s="96"/>
      <c r="K538" s="96"/>
      <c r="L538" s="123"/>
      <c r="M538" s="101"/>
    </row>
    <row r="539" spans="2:13" ht="30" customHeight="1" x14ac:dyDescent="0.3">
      <c r="B539" s="95"/>
      <c r="C539" s="96"/>
      <c r="D539" s="96"/>
      <c r="E539" s="96"/>
      <c r="F539" s="96"/>
      <c r="G539" s="96"/>
      <c r="H539" s="96"/>
      <c r="I539" s="96"/>
      <c r="J539" s="96"/>
      <c r="K539" s="96"/>
      <c r="L539" s="123"/>
      <c r="M539" s="101"/>
    </row>
    <row r="540" spans="2:13" ht="30" customHeight="1" thickBot="1" x14ac:dyDescent="0.35">
      <c r="B540" s="95"/>
      <c r="C540" s="96"/>
      <c r="D540" s="96"/>
      <c r="E540" s="96"/>
      <c r="F540" s="112" t="s">
        <v>84</v>
      </c>
      <c r="G540" s="112"/>
      <c r="H540" s="112"/>
      <c r="I540" s="112"/>
      <c r="J540" s="112"/>
      <c r="K540" s="96" t="s">
        <v>51</v>
      </c>
      <c r="L540" s="126">
        <f>L527-L537</f>
        <v>0</v>
      </c>
      <c r="M540" s="101"/>
    </row>
    <row r="541" spans="2:13" ht="30" customHeight="1" x14ac:dyDescent="0.3">
      <c r="B541" s="127"/>
      <c r="C541" s="96"/>
      <c r="D541" s="96"/>
      <c r="E541" s="96"/>
      <c r="F541" s="96"/>
      <c r="G541" s="96"/>
      <c r="H541" s="96"/>
      <c r="I541" s="96" t="s">
        <v>44</v>
      </c>
      <c r="J541" s="96" t="s">
        <v>44</v>
      </c>
      <c r="K541" s="96" t="s">
        <v>44</v>
      </c>
      <c r="L541" s="123" t="s">
        <v>44</v>
      </c>
      <c r="M541" s="101"/>
    </row>
    <row r="542" spans="2:13" ht="30" customHeight="1" x14ac:dyDescent="0.3">
      <c r="B542" s="127"/>
      <c r="C542" s="96"/>
      <c r="D542" s="96"/>
      <c r="E542" s="96"/>
      <c r="F542" s="96"/>
      <c r="G542" s="96"/>
      <c r="H542" s="96"/>
      <c r="I542" s="96"/>
      <c r="J542" s="96"/>
      <c r="K542" s="96"/>
      <c r="L542" s="123"/>
      <c r="M542" s="101"/>
    </row>
    <row r="543" spans="2:13" ht="30" customHeight="1" x14ac:dyDescent="0.3">
      <c r="B543" s="127"/>
      <c r="C543" s="96"/>
      <c r="D543" s="96"/>
      <c r="E543" s="96"/>
      <c r="F543" s="96"/>
      <c r="G543" s="96"/>
      <c r="H543" s="96"/>
      <c r="I543" s="96"/>
      <c r="J543" s="96"/>
      <c r="K543" s="96"/>
      <c r="L543" s="123"/>
      <c r="M543" s="101"/>
    </row>
    <row r="544" spans="2:13" ht="30" customHeight="1" x14ac:dyDescent="0.25">
      <c r="B544" s="576" t="s">
        <v>85</v>
      </c>
      <c r="C544" s="577"/>
      <c r="D544" s="577"/>
      <c r="E544" s="577"/>
      <c r="F544" s="577"/>
      <c r="G544" s="577"/>
      <c r="H544" s="577"/>
      <c r="I544" s="577"/>
      <c r="J544" s="577"/>
      <c r="K544" s="577"/>
      <c r="L544" s="577"/>
      <c r="M544" s="578"/>
    </row>
    <row r="545" spans="2:13" ht="30" customHeight="1" x14ac:dyDescent="0.25">
      <c r="B545" s="576" t="s">
        <v>86</v>
      </c>
      <c r="C545" s="577"/>
      <c r="D545" s="577"/>
      <c r="E545" s="577"/>
      <c r="F545" s="577"/>
      <c r="G545" s="577"/>
      <c r="H545" s="577"/>
      <c r="I545" s="577"/>
      <c r="J545" s="577"/>
      <c r="K545" s="577"/>
      <c r="L545" s="577"/>
      <c r="M545" s="578"/>
    </row>
    <row r="546" spans="2:13" ht="30" customHeight="1" x14ac:dyDescent="0.3">
      <c r="B546" s="95"/>
      <c r="C546" s="96"/>
      <c r="D546" s="96"/>
      <c r="E546" s="96"/>
      <c r="F546" s="96"/>
      <c r="G546" s="96"/>
      <c r="H546" s="96"/>
      <c r="I546" s="96"/>
      <c r="J546" s="96"/>
      <c r="K546" s="96"/>
      <c r="L546" s="96"/>
      <c r="M546" s="101"/>
    </row>
    <row r="547" spans="2:13" ht="30" customHeight="1" x14ac:dyDescent="0.3">
      <c r="B547" s="95"/>
      <c r="C547" s="96"/>
      <c r="D547" s="96"/>
      <c r="E547" s="96"/>
      <c r="F547" s="96"/>
      <c r="G547" s="96"/>
      <c r="H547" s="96"/>
      <c r="I547" s="96"/>
      <c r="J547" s="96"/>
      <c r="K547" s="96"/>
      <c r="L547" s="96"/>
      <c r="M547" s="101"/>
    </row>
    <row r="548" spans="2:13" ht="30" customHeight="1" x14ac:dyDescent="0.3">
      <c r="B548" s="567"/>
      <c r="C548" s="568"/>
      <c r="D548" s="568"/>
      <c r="E548" s="96"/>
      <c r="F548" s="96"/>
      <c r="G548" s="96"/>
      <c r="H548" s="96"/>
      <c r="I548" s="96"/>
      <c r="J548" s="568"/>
      <c r="K548" s="568"/>
      <c r="L548" s="568"/>
      <c r="M548" s="101"/>
    </row>
    <row r="549" spans="2:13" ht="30" customHeight="1" x14ac:dyDescent="0.3">
      <c r="B549" s="569" t="s">
        <v>87</v>
      </c>
      <c r="C549" s="570"/>
      <c r="D549" s="570"/>
      <c r="E549" s="96"/>
      <c r="F549" s="96"/>
      <c r="G549" s="96"/>
      <c r="H549" s="96"/>
      <c r="I549" s="128" t="s">
        <v>88</v>
      </c>
      <c r="J549" s="128"/>
      <c r="K549" s="128"/>
      <c r="L549" s="102"/>
      <c r="M549" s="101"/>
    </row>
    <row r="550" spans="2:13" ht="30" customHeight="1" x14ac:dyDescent="0.3">
      <c r="B550" s="95" t="s">
        <v>44</v>
      </c>
      <c r="C550" s="96"/>
      <c r="D550" s="96"/>
      <c r="E550" s="96"/>
      <c r="F550" s="96"/>
      <c r="G550" s="96"/>
      <c r="H550" s="96"/>
      <c r="I550" s="96"/>
      <c r="J550" s="570"/>
      <c r="K550" s="570"/>
      <c r="L550" s="570"/>
      <c r="M550" s="101"/>
    </row>
    <row r="551" spans="2:13" ht="30" customHeight="1" x14ac:dyDescent="0.3">
      <c r="B551" s="95" t="s">
        <v>64</v>
      </c>
      <c r="C551" s="570">
        <f>C514</f>
        <v>0</v>
      </c>
      <c r="D551" s="570"/>
      <c r="E551" s="570"/>
      <c r="F551" s="96"/>
      <c r="G551" s="96"/>
      <c r="H551" s="96"/>
      <c r="I551" s="99" t="s">
        <v>104</v>
      </c>
      <c r="J551" s="571">
        <f>+'PB '!C7</f>
        <v>0</v>
      </c>
      <c r="K551" s="571"/>
      <c r="L551" s="571"/>
      <c r="M551" s="572"/>
    </row>
    <row r="552" spans="2:13" ht="30" customHeight="1" thickBot="1" x14ac:dyDescent="0.35">
      <c r="B552" s="129"/>
      <c r="C552" s="130"/>
      <c r="D552" s="130"/>
      <c r="E552" s="130"/>
      <c r="F552" s="130"/>
      <c r="G552" s="130"/>
      <c r="H552" s="130"/>
      <c r="I552" s="130"/>
      <c r="J552" s="131"/>
      <c r="K552" s="132"/>
      <c r="L552" s="132"/>
      <c r="M552" s="133"/>
    </row>
    <row r="553" spans="2:13" ht="30" customHeight="1" x14ac:dyDescent="0.35">
      <c r="B553" s="135"/>
      <c r="C553" s="135"/>
      <c r="D553" s="135"/>
      <c r="E553" s="135"/>
      <c r="F553" s="135"/>
      <c r="G553" s="135"/>
      <c r="H553" s="135"/>
      <c r="I553" s="135"/>
      <c r="J553" s="135"/>
      <c r="K553" s="135"/>
      <c r="L553" s="135"/>
      <c r="M553" s="135"/>
    </row>
    <row r="554" spans="2:13" ht="30" customHeight="1" x14ac:dyDescent="0.35">
      <c r="B554" s="135"/>
      <c r="C554" s="135"/>
      <c r="D554" s="135"/>
      <c r="E554" s="135"/>
      <c r="F554" s="135"/>
      <c r="G554" s="135"/>
      <c r="H554" s="135"/>
      <c r="I554" s="135"/>
      <c r="J554" s="135"/>
      <c r="K554" s="135"/>
      <c r="L554" s="135"/>
      <c r="M554" s="135"/>
    </row>
    <row r="555" spans="2:13" ht="30" customHeight="1" x14ac:dyDescent="0.35">
      <c r="B555" s="135"/>
      <c r="C555" s="135"/>
      <c r="D555" s="135"/>
      <c r="E555" s="135"/>
      <c r="F555" s="135"/>
      <c r="G555" s="135"/>
      <c r="H555" s="135"/>
      <c r="I555" s="135"/>
      <c r="J555" s="135"/>
      <c r="K555" s="135"/>
      <c r="L555" s="135"/>
      <c r="M555" s="135"/>
    </row>
    <row r="556" spans="2:13" ht="30" customHeight="1" thickBot="1" x14ac:dyDescent="0.4">
      <c r="B556" s="135"/>
      <c r="C556" s="135"/>
      <c r="D556" s="135"/>
      <c r="E556" s="135"/>
      <c r="F556" s="135"/>
      <c r="G556" s="135"/>
      <c r="H556" s="135"/>
      <c r="I556" s="135"/>
      <c r="J556" s="135"/>
      <c r="K556" s="135"/>
      <c r="L556" s="135"/>
      <c r="M556" s="135"/>
    </row>
    <row r="557" spans="2:13" ht="30" customHeight="1" x14ac:dyDescent="0.3">
      <c r="B557" s="584"/>
      <c r="C557" s="585"/>
      <c r="D557" s="585"/>
      <c r="E557" s="585"/>
      <c r="F557" s="585"/>
      <c r="G557" s="585"/>
      <c r="H557" s="585"/>
      <c r="I557" s="585"/>
      <c r="J557" s="585"/>
      <c r="K557" s="585"/>
      <c r="L557" s="585"/>
      <c r="M557" s="586"/>
    </row>
    <row r="558" spans="2:13" ht="30" customHeight="1" x14ac:dyDescent="0.3">
      <c r="B558" s="587" t="s">
        <v>62</v>
      </c>
      <c r="C558" s="588"/>
      <c r="D558" s="588"/>
      <c r="E558" s="588"/>
      <c r="F558" s="588"/>
      <c r="G558" s="588"/>
      <c r="H558" s="588"/>
      <c r="I558" s="588"/>
      <c r="J558" s="588"/>
      <c r="K558" s="588"/>
      <c r="L558" s="588"/>
      <c r="M558" s="589"/>
    </row>
    <row r="559" spans="2:13" ht="30" customHeight="1" x14ac:dyDescent="0.3">
      <c r="B559" s="95" t="s">
        <v>63</v>
      </c>
      <c r="C559" s="570" t="str">
        <f>C512</f>
        <v>Vessel name</v>
      </c>
      <c r="D559" s="570"/>
      <c r="E559" s="570"/>
      <c r="F559" s="96"/>
      <c r="G559" s="570"/>
      <c r="H559" s="570"/>
      <c r="I559" s="570"/>
      <c r="J559" s="96" t="s">
        <v>44</v>
      </c>
      <c r="K559" s="97"/>
      <c r="L559" s="582"/>
      <c r="M559" s="583"/>
    </row>
    <row r="560" spans="2:13" ht="30" customHeight="1" x14ac:dyDescent="0.3">
      <c r="B560" s="98"/>
      <c r="C560" s="96"/>
      <c r="D560" s="96"/>
      <c r="E560" s="99"/>
      <c r="F560" s="100"/>
      <c r="G560" s="100"/>
      <c r="H560" s="100"/>
      <c r="I560" s="96"/>
      <c r="J560" s="96"/>
      <c r="K560" s="97"/>
      <c r="L560" s="97"/>
      <c r="M560" s="101"/>
    </row>
    <row r="561" spans="2:13" ht="39" customHeight="1" x14ac:dyDescent="0.3">
      <c r="B561" s="95" t="s">
        <v>64</v>
      </c>
      <c r="C561" s="570">
        <f>+'PB '!C20</f>
        <v>0</v>
      </c>
      <c r="D561" s="570"/>
      <c r="E561" s="570"/>
      <c r="F561" s="570"/>
      <c r="G561" s="102"/>
      <c r="H561" s="96" t="s">
        <v>21</v>
      </c>
      <c r="I561" s="150" t="str">
        <f>'PB '!D20</f>
        <v>Bosun</v>
      </c>
      <c r="J561" s="136"/>
      <c r="K561" s="96"/>
      <c r="L561" s="582"/>
      <c r="M561" s="583"/>
    </row>
    <row r="562" spans="2:13" ht="30" customHeight="1" x14ac:dyDescent="0.3">
      <c r="B562" s="95"/>
      <c r="C562" s="96"/>
      <c r="D562" s="96"/>
      <c r="E562" s="96"/>
      <c r="F562" s="96"/>
      <c r="G562" s="96" t="s">
        <v>65</v>
      </c>
      <c r="H562" s="96"/>
      <c r="I562" s="96"/>
      <c r="J562" s="96"/>
      <c r="K562" s="96"/>
      <c r="L562" s="96"/>
      <c r="M562" s="101"/>
    </row>
    <row r="563" spans="2:13" ht="30" customHeight="1" x14ac:dyDescent="0.3">
      <c r="B563" s="95"/>
      <c r="C563" s="96"/>
      <c r="D563" s="96"/>
      <c r="E563" s="96"/>
      <c r="F563" s="96"/>
      <c r="G563" s="96" t="s">
        <v>44</v>
      </c>
      <c r="H563" s="96"/>
      <c r="I563" s="96"/>
      <c r="J563" s="96"/>
      <c r="K563" s="96"/>
      <c r="L563" s="96"/>
      <c r="M563" s="101"/>
    </row>
    <row r="564" spans="2:13" ht="30" customHeight="1" x14ac:dyDescent="0.3">
      <c r="B564" s="95"/>
      <c r="C564" s="96"/>
      <c r="D564" s="96"/>
      <c r="E564" s="96"/>
      <c r="F564" s="96"/>
      <c r="G564" s="103" t="s">
        <v>66</v>
      </c>
      <c r="H564" s="104"/>
      <c r="I564" s="103"/>
      <c r="J564" s="103"/>
      <c r="K564" s="96" t="s">
        <v>51</v>
      </c>
      <c r="L564" s="105">
        <f>'PB '!V64</f>
        <v>0</v>
      </c>
      <c r="M564" s="101"/>
    </row>
    <row r="565" spans="2:13" ht="30" customHeight="1" x14ac:dyDescent="0.3">
      <c r="B565" s="95"/>
      <c r="C565" s="96"/>
      <c r="D565" s="96"/>
      <c r="E565" s="96"/>
      <c r="F565" s="96"/>
      <c r="G565" s="96"/>
      <c r="H565" s="96"/>
      <c r="I565" s="96"/>
      <c r="J565" s="96"/>
      <c r="K565" s="96"/>
      <c r="L565" s="96"/>
      <c r="M565" s="101"/>
    </row>
    <row r="566" spans="2:13" ht="30" customHeight="1" x14ac:dyDescent="0.3">
      <c r="B566" s="590" t="s">
        <v>67</v>
      </c>
      <c r="C566" s="591"/>
      <c r="D566" s="592" t="s">
        <v>60</v>
      </c>
      <c r="E566" s="593"/>
      <c r="F566" s="579" t="s">
        <v>61</v>
      </c>
      <c r="G566" s="580"/>
      <c r="H566" s="106" t="s">
        <v>68</v>
      </c>
      <c r="I566" s="107" t="s">
        <v>69</v>
      </c>
      <c r="J566" s="106" t="s">
        <v>51</v>
      </c>
      <c r="K566" s="108"/>
      <c r="L566" s="108"/>
      <c r="M566" s="109"/>
    </row>
    <row r="567" spans="2:13" ht="30" customHeight="1" x14ac:dyDescent="0.3">
      <c r="B567" s="560" t="s">
        <v>70</v>
      </c>
      <c r="C567" s="581"/>
      <c r="D567" s="110">
        <f>'PB '!E20</f>
        <v>1</v>
      </c>
      <c r="E567" s="111">
        <f>'PB '!C1</f>
        <v>0</v>
      </c>
      <c r="F567" s="112">
        <f>'PB '!F20</f>
        <v>31</v>
      </c>
      <c r="G567" s="111">
        <f>E567</f>
        <v>0</v>
      </c>
      <c r="H567" s="113">
        <f>'PB '!G20</f>
        <v>30</v>
      </c>
      <c r="I567" s="114">
        <v>752</v>
      </c>
      <c r="J567" s="115">
        <f>I567*H567/30</f>
        <v>752</v>
      </c>
      <c r="K567" s="96"/>
      <c r="L567" s="96"/>
      <c r="M567" s="101"/>
    </row>
    <row r="568" spans="2:13" ht="30" customHeight="1" x14ac:dyDescent="0.3">
      <c r="B568" s="560" t="s">
        <v>71</v>
      </c>
      <c r="C568" s="581"/>
      <c r="D568" s="110">
        <f>D567</f>
        <v>1</v>
      </c>
      <c r="E568" s="111">
        <f>E567</f>
        <v>0</v>
      </c>
      <c r="F568" s="112">
        <f>F567</f>
        <v>31</v>
      </c>
      <c r="G568" s="111">
        <f>E567</f>
        <v>0</v>
      </c>
      <c r="H568" s="113">
        <f>H567</f>
        <v>30</v>
      </c>
      <c r="I568" s="114">
        <v>470</v>
      </c>
      <c r="J568" s="115">
        <f>I568*H568/30</f>
        <v>470</v>
      </c>
      <c r="K568" s="96"/>
      <c r="L568" s="96"/>
      <c r="M568" s="101"/>
    </row>
    <row r="569" spans="2:13" ht="30" customHeight="1" x14ac:dyDescent="0.3">
      <c r="B569" s="557" t="s">
        <v>72</v>
      </c>
      <c r="C569" s="558"/>
      <c r="D569" s="110">
        <f>D567</f>
        <v>1</v>
      </c>
      <c r="E569" s="111">
        <f>E567</f>
        <v>0</v>
      </c>
      <c r="F569" s="112">
        <f>F567</f>
        <v>31</v>
      </c>
      <c r="G569" s="111">
        <f>E567</f>
        <v>0</v>
      </c>
      <c r="H569" s="113">
        <f>H568</f>
        <v>30</v>
      </c>
      <c r="I569" s="114">
        <v>62.65</v>
      </c>
      <c r="J569" s="115">
        <f>I569*H569/30</f>
        <v>62.65</v>
      </c>
      <c r="K569" s="96"/>
      <c r="L569" s="96"/>
      <c r="M569" s="101"/>
    </row>
    <row r="570" spans="2:13" ht="30" customHeight="1" x14ac:dyDescent="0.3">
      <c r="B570" s="557" t="s">
        <v>73</v>
      </c>
      <c r="C570" s="558"/>
      <c r="D570" s="110">
        <f>D567</f>
        <v>1</v>
      </c>
      <c r="E570" s="111">
        <f>E567</f>
        <v>0</v>
      </c>
      <c r="F570" s="112">
        <f>F567</f>
        <v>31</v>
      </c>
      <c r="G570" s="111">
        <f>E567</f>
        <v>0</v>
      </c>
      <c r="H570" s="113">
        <f>H569</f>
        <v>30</v>
      </c>
      <c r="I570" s="114">
        <v>715.35</v>
      </c>
      <c r="J570" s="115">
        <f>I570*H570/30</f>
        <v>715.35</v>
      </c>
      <c r="K570" s="96"/>
      <c r="L570" s="96"/>
      <c r="M570" s="101"/>
    </row>
    <row r="571" spans="2:13" ht="30" customHeight="1" x14ac:dyDescent="0.3">
      <c r="B571" s="562" t="s">
        <v>74</v>
      </c>
      <c r="C571" s="563"/>
      <c r="D571" s="110"/>
      <c r="E571" s="111"/>
      <c r="F571" s="112"/>
      <c r="G571" s="111"/>
      <c r="H571" s="113"/>
      <c r="I571" s="114"/>
      <c r="J571" s="115">
        <f>'PB '!L20</f>
        <v>0</v>
      </c>
      <c r="K571" s="96"/>
      <c r="L571" s="96"/>
      <c r="M571" s="101"/>
    </row>
    <row r="572" spans="2:13" ht="30" customHeight="1" x14ac:dyDescent="0.3">
      <c r="B572" s="594" t="s">
        <v>170</v>
      </c>
      <c r="C572" s="595"/>
      <c r="D572" s="117"/>
      <c r="E572" s="111"/>
      <c r="F572" s="117"/>
      <c r="G572" s="111"/>
      <c r="H572" s="118"/>
      <c r="I572" s="114"/>
      <c r="J572" s="115">
        <f>'PB '!O20</f>
        <v>16.600000000000001</v>
      </c>
      <c r="K572" s="96"/>
      <c r="L572" s="96"/>
      <c r="M572" s="101"/>
    </row>
    <row r="573" spans="2:13" ht="30" customHeight="1" x14ac:dyDescent="0.3">
      <c r="B573" s="95"/>
      <c r="C573" s="96"/>
      <c r="D573" s="96"/>
      <c r="E573" s="96"/>
      <c r="F573" s="565" t="s">
        <v>76</v>
      </c>
      <c r="G573" s="565"/>
      <c r="H573" s="565"/>
      <c r="I573" s="566"/>
      <c r="J573" s="119">
        <f>SUM(J567:J572)</f>
        <v>2016.6</v>
      </c>
      <c r="K573" s="120" t="s">
        <v>51</v>
      </c>
      <c r="L573" s="121">
        <f>J573</f>
        <v>2016.6</v>
      </c>
      <c r="M573" s="101"/>
    </row>
    <row r="574" spans="2:13" ht="30" customHeight="1" thickBot="1" x14ac:dyDescent="0.35">
      <c r="B574" s="95"/>
      <c r="C574" s="96"/>
      <c r="D574" s="96"/>
      <c r="E574" s="96"/>
      <c r="F574" s="96"/>
      <c r="G574" s="96"/>
      <c r="H574" s="96"/>
      <c r="I574" s="96"/>
      <c r="J574" s="96"/>
      <c r="K574" s="96"/>
      <c r="L574" s="122">
        <f>L564+L573</f>
        <v>2016.6</v>
      </c>
      <c r="M574" s="101"/>
    </row>
    <row r="575" spans="2:13" ht="30" customHeight="1" x14ac:dyDescent="0.3">
      <c r="B575" s="95"/>
      <c r="C575" s="96"/>
      <c r="D575" s="96"/>
      <c r="E575" s="96"/>
      <c r="F575" s="96"/>
      <c r="G575" s="96"/>
      <c r="H575" s="96"/>
      <c r="I575" s="96"/>
      <c r="J575" s="96"/>
      <c r="K575" s="96"/>
      <c r="L575" s="123"/>
      <c r="M575" s="101"/>
    </row>
    <row r="576" spans="2:13" ht="30" customHeight="1" x14ac:dyDescent="0.3">
      <c r="B576" s="95"/>
      <c r="C576" s="96"/>
      <c r="D576" s="96"/>
      <c r="E576" s="96"/>
      <c r="F576" s="96"/>
      <c r="G576" s="96"/>
      <c r="H576" s="96"/>
      <c r="I576" s="96"/>
      <c r="J576" s="96"/>
      <c r="K576" s="96"/>
      <c r="L576" s="123"/>
      <c r="M576" s="101"/>
    </row>
    <row r="577" spans="2:13" ht="30" customHeight="1" x14ac:dyDescent="0.3">
      <c r="B577" s="557" t="s">
        <v>77</v>
      </c>
      <c r="C577" s="558"/>
      <c r="D577" s="558"/>
      <c r="E577" s="558"/>
      <c r="F577" s="558"/>
      <c r="G577" s="558"/>
      <c r="H577" s="558"/>
      <c r="I577" s="559"/>
      <c r="J577" s="124"/>
      <c r="K577" s="96"/>
      <c r="L577" s="123"/>
      <c r="M577" s="101"/>
    </row>
    <row r="578" spans="2:13" ht="30" customHeight="1" x14ac:dyDescent="0.3">
      <c r="B578" s="560" t="s">
        <v>78</v>
      </c>
      <c r="C578" s="561"/>
      <c r="D578" s="561"/>
      <c r="E578" s="561"/>
      <c r="F578" s="561"/>
      <c r="G578" s="561"/>
      <c r="H578" s="561"/>
      <c r="I578" s="561"/>
      <c r="J578" s="114">
        <f>'PB '!Q20</f>
        <v>0</v>
      </c>
      <c r="K578" s="96"/>
      <c r="L578" s="123"/>
      <c r="M578" s="101"/>
    </row>
    <row r="579" spans="2:13" ht="30" customHeight="1" x14ac:dyDescent="0.3">
      <c r="B579" s="560" t="s">
        <v>79</v>
      </c>
      <c r="C579" s="561"/>
      <c r="D579" s="561"/>
      <c r="E579" s="561"/>
      <c r="F579" s="561"/>
      <c r="G579" s="561"/>
      <c r="H579" s="561"/>
      <c r="I579" s="561"/>
      <c r="J579" s="114">
        <f>'PB '!R20</f>
        <v>2016.6</v>
      </c>
      <c r="K579" s="96"/>
      <c r="L579" s="123"/>
      <c r="M579" s="101"/>
    </row>
    <row r="580" spans="2:13" ht="30" customHeight="1" x14ac:dyDescent="0.3">
      <c r="B580" s="560" t="s">
        <v>80</v>
      </c>
      <c r="C580" s="561"/>
      <c r="D580" s="561"/>
      <c r="E580" s="561"/>
      <c r="F580" s="561"/>
      <c r="G580" s="561"/>
      <c r="H580" s="561"/>
      <c r="I580" s="561"/>
      <c r="J580" s="114">
        <f>'PB '!S20</f>
        <v>0</v>
      </c>
      <c r="K580" s="96"/>
      <c r="L580" s="123"/>
      <c r="M580" s="101"/>
    </row>
    <row r="581" spans="2:13" ht="30" customHeight="1" x14ac:dyDescent="0.3">
      <c r="B581" s="560" t="s">
        <v>81</v>
      </c>
      <c r="C581" s="561"/>
      <c r="D581" s="561"/>
      <c r="E581" s="561"/>
      <c r="F581" s="561"/>
      <c r="G581" s="561"/>
      <c r="H581" s="561"/>
      <c r="I581" s="561"/>
      <c r="J581" s="114">
        <v>0</v>
      </c>
      <c r="K581" s="96"/>
      <c r="L581" s="123"/>
      <c r="M581" s="101"/>
    </row>
    <row r="582" spans="2:13" ht="30" customHeight="1" x14ac:dyDescent="0.3">
      <c r="B582" s="557" t="s">
        <v>82</v>
      </c>
      <c r="C582" s="558"/>
      <c r="D582" s="558"/>
      <c r="E582" s="558"/>
      <c r="F582" s="558"/>
      <c r="G582" s="558"/>
      <c r="H582" s="558"/>
      <c r="I582" s="559"/>
      <c r="J582" s="114">
        <f>'PB '!T20</f>
        <v>0</v>
      </c>
      <c r="K582" s="96"/>
      <c r="L582" s="123"/>
      <c r="M582" s="101"/>
    </row>
    <row r="583" spans="2:13" ht="30" customHeight="1" thickBot="1" x14ac:dyDescent="0.35">
      <c r="B583" s="560" t="s">
        <v>119</v>
      </c>
      <c r="C583" s="561"/>
      <c r="D583" s="561"/>
      <c r="E583" s="561"/>
      <c r="F583" s="561"/>
      <c r="G583" s="561"/>
      <c r="H583" s="561"/>
      <c r="I583" s="561"/>
      <c r="J583" s="114">
        <v>0</v>
      </c>
      <c r="K583" s="96"/>
      <c r="L583" s="123"/>
      <c r="M583" s="101"/>
    </row>
    <row r="584" spans="2:13" ht="30" customHeight="1" thickBot="1" x14ac:dyDescent="0.35">
      <c r="B584" s="95"/>
      <c r="C584" s="96"/>
      <c r="D584" s="96"/>
      <c r="E584" s="96"/>
      <c r="F584" s="573" t="s">
        <v>83</v>
      </c>
      <c r="G584" s="574"/>
      <c r="H584" s="574"/>
      <c r="I584" s="575"/>
      <c r="J584" s="114">
        <f>SUM(J578:J583)</f>
        <v>2016.6</v>
      </c>
      <c r="K584" s="96" t="s">
        <v>51</v>
      </c>
      <c r="L584" s="125">
        <f>J584</f>
        <v>2016.6</v>
      </c>
      <c r="M584" s="101"/>
    </row>
    <row r="585" spans="2:13" ht="30" customHeight="1" x14ac:dyDescent="0.3">
      <c r="B585" s="95"/>
      <c r="C585" s="96"/>
      <c r="D585" s="96"/>
      <c r="E585" s="96"/>
      <c r="F585" s="96"/>
      <c r="G585" s="96"/>
      <c r="H585" s="96"/>
      <c r="I585" s="96"/>
      <c r="J585" s="96"/>
      <c r="K585" s="96"/>
      <c r="L585" s="123"/>
      <c r="M585" s="101"/>
    </row>
    <row r="586" spans="2:13" ht="30" customHeight="1" x14ac:dyDescent="0.3">
      <c r="B586" s="95"/>
      <c r="C586" s="96"/>
      <c r="D586" s="96"/>
      <c r="E586" s="96"/>
      <c r="F586" s="96"/>
      <c r="G586" s="96"/>
      <c r="H586" s="96"/>
      <c r="I586" s="96"/>
      <c r="J586" s="96"/>
      <c r="K586" s="96"/>
      <c r="L586" s="123"/>
      <c r="M586" s="101"/>
    </row>
    <row r="587" spans="2:13" ht="30" customHeight="1" thickBot="1" x14ac:dyDescent="0.35">
      <c r="B587" s="95"/>
      <c r="C587" s="96"/>
      <c r="D587" s="96"/>
      <c r="E587" s="96"/>
      <c r="F587" s="112" t="s">
        <v>84</v>
      </c>
      <c r="G587" s="112"/>
      <c r="H587" s="112"/>
      <c r="I587" s="112"/>
      <c r="J587" s="112"/>
      <c r="K587" s="96" t="s">
        <v>51</v>
      </c>
      <c r="L587" s="126">
        <f>L574-L584</f>
        <v>0</v>
      </c>
      <c r="M587" s="101"/>
    </row>
    <row r="588" spans="2:13" ht="30" customHeight="1" x14ac:dyDescent="0.3">
      <c r="B588" s="127"/>
      <c r="C588" s="96"/>
      <c r="D588" s="96"/>
      <c r="E588" s="96"/>
      <c r="F588" s="96"/>
      <c r="G588" s="96"/>
      <c r="H588" s="96"/>
      <c r="I588" s="96" t="s">
        <v>44</v>
      </c>
      <c r="J588" s="96" t="s">
        <v>44</v>
      </c>
      <c r="K588" s="96" t="s">
        <v>44</v>
      </c>
      <c r="L588" s="123" t="s">
        <v>44</v>
      </c>
      <c r="M588" s="101"/>
    </row>
    <row r="589" spans="2:13" ht="30" customHeight="1" x14ac:dyDescent="0.3">
      <c r="B589" s="127"/>
      <c r="C589" s="96"/>
      <c r="D589" s="96"/>
      <c r="E589" s="96"/>
      <c r="F589" s="96"/>
      <c r="G589" s="96"/>
      <c r="H589" s="96"/>
      <c r="I589" s="96"/>
      <c r="J589" s="96"/>
      <c r="K589" s="96"/>
      <c r="L589" s="123"/>
      <c r="M589" s="101"/>
    </row>
    <row r="590" spans="2:13" ht="30" customHeight="1" x14ac:dyDescent="0.3">
      <c r="B590" s="127"/>
      <c r="C590" s="96"/>
      <c r="D590" s="96"/>
      <c r="E590" s="96"/>
      <c r="F590" s="96"/>
      <c r="G590" s="96"/>
      <c r="H590" s="96"/>
      <c r="I590" s="96"/>
      <c r="J590" s="96"/>
      <c r="K590" s="96"/>
      <c r="L590" s="123"/>
      <c r="M590" s="101"/>
    </row>
    <row r="591" spans="2:13" ht="30" customHeight="1" x14ac:dyDescent="0.25">
      <c r="B591" s="576" t="s">
        <v>85</v>
      </c>
      <c r="C591" s="577"/>
      <c r="D591" s="577"/>
      <c r="E591" s="577"/>
      <c r="F591" s="577"/>
      <c r="G591" s="577"/>
      <c r="H591" s="577"/>
      <c r="I591" s="577"/>
      <c r="J591" s="577"/>
      <c r="K591" s="577"/>
      <c r="L591" s="577"/>
      <c r="M591" s="578"/>
    </row>
    <row r="592" spans="2:13" ht="30" customHeight="1" x14ac:dyDescent="0.25">
      <c r="B592" s="576" t="s">
        <v>86</v>
      </c>
      <c r="C592" s="577"/>
      <c r="D592" s="577"/>
      <c r="E592" s="577"/>
      <c r="F592" s="577"/>
      <c r="G592" s="577"/>
      <c r="H592" s="577"/>
      <c r="I592" s="577"/>
      <c r="J592" s="577"/>
      <c r="K592" s="577"/>
      <c r="L592" s="577"/>
      <c r="M592" s="578"/>
    </row>
    <row r="593" spans="2:15" ht="30" customHeight="1" x14ac:dyDescent="0.3">
      <c r="B593" s="95"/>
      <c r="C593" s="96"/>
      <c r="D593" s="96"/>
      <c r="E593" s="96"/>
      <c r="F593" s="96"/>
      <c r="G593" s="96"/>
      <c r="H593" s="96"/>
      <c r="I593" s="96"/>
      <c r="J593" s="96"/>
      <c r="K593" s="96"/>
      <c r="L593" s="96"/>
      <c r="M593" s="101"/>
    </row>
    <row r="594" spans="2:15" ht="30" customHeight="1" x14ac:dyDescent="0.3">
      <c r="B594" s="95"/>
      <c r="C594" s="96"/>
      <c r="D594" s="96"/>
      <c r="E594" s="96"/>
      <c r="F594" s="96"/>
      <c r="G594" s="96"/>
      <c r="H594" s="96"/>
      <c r="I594" s="96"/>
      <c r="J594" s="96"/>
      <c r="K594" s="96"/>
      <c r="L594" s="96"/>
      <c r="M594" s="101"/>
    </row>
    <row r="595" spans="2:15" ht="30" customHeight="1" x14ac:dyDescent="0.3">
      <c r="B595" s="567"/>
      <c r="C595" s="568"/>
      <c r="D595" s="568"/>
      <c r="E595" s="96"/>
      <c r="F595" s="96"/>
      <c r="G595" s="96"/>
      <c r="H595" s="96"/>
      <c r="I595" s="96"/>
      <c r="J595" s="568"/>
      <c r="K595" s="568"/>
      <c r="L595" s="568"/>
      <c r="M595" s="101"/>
    </row>
    <row r="596" spans="2:15" ht="30" customHeight="1" x14ac:dyDescent="0.3">
      <c r="B596" s="569" t="s">
        <v>87</v>
      </c>
      <c r="C596" s="570"/>
      <c r="D596" s="570"/>
      <c r="E596" s="96"/>
      <c r="F596" s="96"/>
      <c r="G596" s="96"/>
      <c r="H596" s="96"/>
      <c r="I596" s="128" t="s">
        <v>88</v>
      </c>
      <c r="J596" s="128"/>
      <c r="K596" s="128"/>
      <c r="L596" s="102"/>
      <c r="M596" s="101"/>
    </row>
    <row r="597" spans="2:15" ht="12" customHeight="1" x14ac:dyDescent="0.3">
      <c r="B597" s="95" t="s">
        <v>44</v>
      </c>
      <c r="C597" s="96"/>
      <c r="D597" s="96"/>
      <c r="E597" s="96"/>
      <c r="F597" s="96"/>
      <c r="G597" s="96"/>
      <c r="H597" s="96"/>
      <c r="I597" s="96"/>
      <c r="J597" s="570"/>
      <c r="K597" s="570"/>
      <c r="L597" s="570"/>
      <c r="M597" s="101"/>
    </row>
    <row r="598" spans="2:15" ht="46.5" customHeight="1" x14ac:dyDescent="0.3">
      <c r="B598" s="95" t="s">
        <v>64</v>
      </c>
      <c r="C598" s="570">
        <f>C561</f>
        <v>0</v>
      </c>
      <c r="D598" s="570"/>
      <c r="E598" s="570"/>
      <c r="F598" s="96"/>
      <c r="G598" s="96"/>
      <c r="H598" s="96"/>
      <c r="I598" s="99" t="s">
        <v>104</v>
      </c>
      <c r="J598" s="571">
        <f>+'PB '!C7</f>
        <v>0</v>
      </c>
      <c r="K598" s="571"/>
      <c r="L598" s="571"/>
      <c r="M598" s="572"/>
    </row>
    <row r="599" spans="2:15" ht="30" customHeight="1" thickBot="1" x14ac:dyDescent="0.35">
      <c r="B599" s="129"/>
      <c r="C599" s="130"/>
      <c r="D599" s="130"/>
      <c r="E599" s="130"/>
      <c r="F599" s="130"/>
      <c r="G599" s="130"/>
      <c r="H599" s="130"/>
      <c r="I599" s="130"/>
      <c r="J599" s="131"/>
      <c r="K599" s="132"/>
      <c r="L599" s="132"/>
      <c r="M599" s="133"/>
    </row>
    <row r="600" spans="2:15" ht="30" customHeight="1" x14ac:dyDescent="0.35">
      <c r="B600" s="135"/>
      <c r="C600" s="135"/>
      <c r="D600" s="135"/>
      <c r="E600" s="135"/>
      <c r="F600" s="135"/>
      <c r="G600" s="135"/>
      <c r="H600" s="135"/>
      <c r="I600" s="135"/>
      <c r="J600" s="135"/>
      <c r="K600" s="135"/>
      <c r="L600" s="135"/>
      <c r="M600" s="135"/>
    </row>
    <row r="601" spans="2:15" ht="30" customHeight="1" x14ac:dyDescent="0.35">
      <c r="B601" s="135"/>
      <c r="C601" s="135"/>
      <c r="D601" s="135"/>
      <c r="E601" s="135"/>
      <c r="F601" s="135"/>
      <c r="G601" s="135"/>
      <c r="H601" s="135"/>
      <c r="I601" s="135"/>
      <c r="J601" s="135"/>
      <c r="K601" s="135"/>
      <c r="L601" s="135"/>
      <c r="M601" s="135"/>
    </row>
    <row r="602" spans="2:15" ht="30" customHeight="1" x14ac:dyDescent="0.35">
      <c r="B602" s="135"/>
      <c r="C602" s="135"/>
      <c r="D602" s="135"/>
      <c r="E602" s="135"/>
      <c r="F602" s="135"/>
      <c r="G602" s="135"/>
      <c r="H602" s="135"/>
      <c r="I602" s="135"/>
      <c r="J602" s="135"/>
      <c r="K602" s="135"/>
      <c r="L602" s="135"/>
      <c r="M602" s="135"/>
    </row>
    <row r="603" spans="2:15" ht="30" customHeight="1" thickBot="1" x14ac:dyDescent="0.4">
      <c r="B603" s="135"/>
      <c r="C603" s="135"/>
      <c r="D603" s="135"/>
      <c r="E603" s="135"/>
      <c r="F603" s="135"/>
      <c r="G603" s="135"/>
      <c r="H603" s="135"/>
      <c r="I603" s="135"/>
      <c r="J603" s="135"/>
      <c r="K603" s="135"/>
      <c r="L603" s="135"/>
      <c r="M603" s="135"/>
    </row>
    <row r="604" spans="2:15" ht="30" customHeight="1" x14ac:dyDescent="0.3">
      <c r="B604" s="584"/>
      <c r="C604" s="585"/>
      <c r="D604" s="585"/>
      <c r="E604" s="585"/>
      <c r="F604" s="585"/>
      <c r="G604" s="585"/>
      <c r="H604" s="585"/>
      <c r="I604" s="585"/>
      <c r="J604" s="585"/>
      <c r="K604" s="585"/>
      <c r="L604" s="585"/>
      <c r="M604" s="586"/>
      <c r="O604">
        <v>16</v>
      </c>
    </row>
    <row r="605" spans="2:15" ht="30" customHeight="1" x14ac:dyDescent="0.3">
      <c r="B605" s="587" t="s">
        <v>62</v>
      </c>
      <c r="C605" s="588"/>
      <c r="D605" s="588"/>
      <c r="E605" s="588"/>
      <c r="F605" s="588"/>
      <c r="G605" s="588"/>
      <c r="H605" s="588"/>
      <c r="I605" s="588"/>
      <c r="J605" s="588"/>
      <c r="K605" s="588"/>
      <c r="L605" s="588"/>
      <c r="M605" s="589"/>
    </row>
    <row r="606" spans="2:15" ht="17.25" customHeight="1" x14ac:dyDescent="0.3">
      <c r="B606" s="95" t="s">
        <v>63</v>
      </c>
      <c r="C606" s="570" t="str">
        <f>C559</f>
        <v>Vessel name</v>
      </c>
      <c r="D606" s="570"/>
      <c r="E606" s="570"/>
      <c r="F606" s="96"/>
      <c r="G606" s="570"/>
      <c r="H606" s="570"/>
      <c r="I606" s="570"/>
      <c r="J606" s="96" t="s">
        <v>44</v>
      </c>
      <c r="K606" s="97"/>
      <c r="L606" s="582"/>
      <c r="M606" s="583"/>
    </row>
    <row r="607" spans="2:15" ht="36" customHeight="1" x14ac:dyDescent="0.3">
      <c r="B607" s="98"/>
      <c r="C607" s="96"/>
      <c r="D607" s="96"/>
      <c r="E607" s="99"/>
      <c r="F607" s="100"/>
      <c r="G607" s="100"/>
      <c r="H607" s="100"/>
      <c r="I607" s="96"/>
      <c r="J607" s="96"/>
      <c r="K607" s="97"/>
      <c r="L607" s="97"/>
      <c r="M607" s="101"/>
    </row>
    <row r="608" spans="2:15" ht="30" customHeight="1" x14ac:dyDescent="0.3">
      <c r="B608" s="95" t="s">
        <v>64</v>
      </c>
      <c r="C608" s="570">
        <f>+'PB '!C21</f>
        <v>0</v>
      </c>
      <c r="D608" s="570"/>
      <c r="E608" s="570"/>
      <c r="F608" s="570"/>
      <c r="G608" s="102"/>
      <c r="H608" s="96" t="s">
        <v>21</v>
      </c>
      <c r="I608" s="150" t="str">
        <f>'PB '!D21</f>
        <v>AB 1</v>
      </c>
      <c r="J608" s="136"/>
      <c r="K608" s="96"/>
      <c r="L608" s="582"/>
      <c r="M608" s="583"/>
    </row>
    <row r="609" spans="2:13" ht="30" customHeight="1" x14ac:dyDescent="0.3">
      <c r="B609" s="95"/>
      <c r="C609" s="96"/>
      <c r="D609" s="96"/>
      <c r="E609" s="96"/>
      <c r="F609" s="96"/>
      <c r="G609" s="96" t="s">
        <v>65</v>
      </c>
      <c r="H609" s="96"/>
      <c r="I609" s="96"/>
      <c r="J609" s="96"/>
      <c r="K609" s="96"/>
      <c r="L609" s="96"/>
      <c r="M609" s="101"/>
    </row>
    <row r="610" spans="2:13" ht="30" customHeight="1" x14ac:dyDescent="0.3">
      <c r="B610" s="95"/>
      <c r="C610" s="96"/>
      <c r="D610" s="96"/>
      <c r="E610" s="96"/>
      <c r="F610" s="96"/>
      <c r="G610" s="96" t="s">
        <v>44</v>
      </c>
      <c r="H610" s="96"/>
      <c r="I610" s="96"/>
      <c r="J610" s="96"/>
      <c r="K610" s="96"/>
      <c r="L610" s="96"/>
      <c r="M610" s="101"/>
    </row>
    <row r="611" spans="2:13" ht="30" customHeight="1" x14ac:dyDescent="0.3">
      <c r="B611" s="95"/>
      <c r="C611" s="96"/>
      <c r="D611" s="96"/>
      <c r="E611" s="96"/>
      <c r="F611" s="96"/>
      <c r="G611" s="103" t="s">
        <v>66</v>
      </c>
      <c r="H611" s="104"/>
      <c r="I611" s="103"/>
      <c r="J611" s="103"/>
      <c r="K611" s="96" t="s">
        <v>51</v>
      </c>
      <c r="L611" s="105">
        <f>'PB '!V21</f>
        <v>0</v>
      </c>
      <c r="M611" s="101"/>
    </row>
    <row r="612" spans="2:13" ht="30" customHeight="1" x14ac:dyDescent="0.3">
      <c r="B612" s="95"/>
      <c r="C612" s="96"/>
      <c r="D612" s="96"/>
      <c r="E612" s="96"/>
      <c r="F612" s="96"/>
      <c r="G612" s="96"/>
      <c r="H612" s="96"/>
      <c r="I612" s="96"/>
      <c r="J612" s="96"/>
      <c r="K612" s="96"/>
      <c r="L612" s="96"/>
      <c r="M612" s="101"/>
    </row>
    <row r="613" spans="2:13" ht="30" customHeight="1" x14ac:dyDescent="0.3">
      <c r="B613" s="590" t="s">
        <v>67</v>
      </c>
      <c r="C613" s="591"/>
      <c r="D613" s="592" t="s">
        <v>60</v>
      </c>
      <c r="E613" s="593"/>
      <c r="F613" s="579" t="s">
        <v>61</v>
      </c>
      <c r="G613" s="580"/>
      <c r="H613" s="106" t="s">
        <v>68</v>
      </c>
      <c r="I613" s="107" t="s">
        <v>69</v>
      </c>
      <c r="J613" s="106" t="s">
        <v>51</v>
      </c>
      <c r="K613" s="108"/>
      <c r="L613" s="108"/>
      <c r="M613" s="109"/>
    </row>
    <row r="614" spans="2:13" ht="30" customHeight="1" x14ac:dyDescent="0.3">
      <c r="B614" s="560" t="s">
        <v>70</v>
      </c>
      <c r="C614" s="581"/>
      <c r="D614" s="110">
        <f>'PB '!E21</f>
        <v>1</v>
      </c>
      <c r="E614" s="111">
        <f>'PB '!C1</f>
        <v>0</v>
      </c>
      <c r="F614" s="112">
        <f>'PB '!F21</f>
        <v>31</v>
      </c>
      <c r="G614" s="111">
        <f>E614</f>
        <v>0</v>
      </c>
      <c r="H614" s="113">
        <f>+'PB '!G21</f>
        <v>30</v>
      </c>
      <c r="I614" s="114">
        <v>673</v>
      </c>
      <c r="J614" s="115">
        <f>I614*H614/30</f>
        <v>673</v>
      </c>
      <c r="K614" s="96"/>
      <c r="L614" s="96"/>
      <c r="M614" s="101"/>
    </row>
    <row r="615" spans="2:13" ht="30" customHeight="1" x14ac:dyDescent="0.3">
      <c r="B615" s="560" t="s">
        <v>71</v>
      </c>
      <c r="C615" s="581"/>
      <c r="D615" s="110">
        <f>D614</f>
        <v>1</v>
      </c>
      <c r="E615" s="111">
        <f>E614</f>
        <v>0</v>
      </c>
      <c r="F615" s="112">
        <f>F614</f>
        <v>31</v>
      </c>
      <c r="G615" s="111">
        <f>E614</f>
        <v>0</v>
      </c>
      <c r="H615" s="113">
        <f>H614</f>
        <v>30</v>
      </c>
      <c r="I615" s="114">
        <v>421</v>
      </c>
      <c r="J615" s="115">
        <f>I615*H615/30</f>
        <v>421</v>
      </c>
      <c r="K615" s="96"/>
      <c r="L615" s="96"/>
      <c r="M615" s="101"/>
    </row>
    <row r="616" spans="2:13" ht="30" customHeight="1" x14ac:dyDescent="0.3">
      <c r="B616" s="557" t="s">
        <v>72</v>
      </c>
      <c r="C616" s="558"/>
      <c r="D616" s="110">
        <f>D614</f>
        <v>1</v>
      </c>
      <c r="E616" s="111">
        <f>E614</f>
        <v>0</v>
      </c>
      <c r="F616" s="112">
        <f>F614</f>
        <v>31</v>
      </c>
      <c r="G616" s="111">
        <f>E614</f>
        <v>0</v>
      </c>
      <c r="H616" s="113">
        <f>H614</f>
        <v>30</v>
      </c>
      <c r="I616" s="114">
        <v>88.44</v>
      </c>
      <c r="J616" s="115">
        <f>I616*H616/30</f>
        <v>88.44</v>
      </c>
      <c r="K616" s="96"/>
      <c r="L616" s="96"/>
      <c r="M616" s="101"/>
    </row>
    <row r="617" spans="2:13" ht="30" customHeight="1" x14ac:dyDescent="0.3">
      <c r="B617" s="557" t="s">
        <v>73</v>
      </c>
      <c r="C617" s="558"/>
      <c r="D617" s="110">
        <f>D614</f>
        <v>1</v>
      </c>
      <c r="E617" s="111">
        <f>E614</f>
        <v>0</v>
      </c>
      <c r="F617" s="112">
        <f>F614</f>
        <v>31</v>
      </c>
      <c r="G617" s="111">
        <f>E614</f>
        <v>0</v>
      </c>
      <c r="H617" s="113">
        <f>H614</f>
        <v>30</v>
      </c>
      <c r="I617" s="114">
        <v>367.56</v>
      </c>
      <c r="J617" s="115">
        <f>I617*H617/30</f>
        <v>367.56</v>
      </c>
      <c r="K617" s="96"/>
      <c r="L617" s="96"/>
      <c r="M617" s="101"/>
    </row>
    <row r="618" spans="2:13" ht="30" customHeight="1" x14ac:dyDescent="0.3">
      <c r="B618" s="562" t="s">
        <v>74</v>
      </c>
      <c r="C618" s="563"/>
      <c r="D618" s="110"/>
      <c r="E618" s="111"/>
      <c r="F618" s="112"/>
      <c r="G618" s="111"/>
      <c r="H618" s="118"/>
      <c r="I618" s="114"/>
      <c r="J618" s="115">
        <f>'PB '!L21</f>
        <v>0</v>
      </c>
      <c r="K618" s="96"/>
      <c r="L618" s="96"/>
      <c r="M618" s="101"/>
    </row>
    <row r="619" spans="2:13" ht="30" customHeight="1" x14ac:dyDescent="0.3">
      <c r="B619" s="594" t="s">
        <v>170</v>
      </c>
      <c r="C619" s="595"/>
      <c r="D619" s="117"/>
      <c r="E619" s="111"/>
      <c r="F619" s="117"/>
      <c r="G619" s="111"/>
      <c r="H619" s="118"/>
      <c r="I619" s="114"/>
      <c r="J619" s="114">
        <f>'PB '!O21</f>
        <v>16.600000000000001</v>
      </c>
      <c r="K619" s="96"/>
      <c r="L619" s="96"/>
      <c r="M619" s="101"/>
    </row>
    <row r="620" spans="2:13" ht="30" customHeight="1" x14ac:dyDescent="0.3">
      <c r="B620" s="95"/>
      <c r="C620" s="96"/>
      <c r="D620" s="96"/>
      <c r="E620" s="96"/>
      <c r="F620" s="565" t="s">
        <v>76</v>
      </c>
      <c r="G620" s="565"/>
      <c r="H620" s="565"/>
      <c r="I620" s="566"/>
      <c r="J620" s="119">
        <f>SUM(J614:J619)</f>
        <v>1566.6</v>
      </c>
      <c r="K620" s="120" t="s">
        <v>51</v>
      </c>
      <c r="L620" s="121">
        <f>J620</f>
        <v>1566.6</v>
      </c>
      <c r="M620" s="101"/>
    </row>
    <row r="621" spans="2:13" ht="30" customHeight="1" thickBot="1" x14ac:dyDescent="0.35">
      <c r="B621" s="95"/>
      <c r="C621" s="96"/>
      <c r="D621" s="96"/>
      <c r="E621" s="96"/>
      <c r="F621" s="96"/>
      <c r="G621" s="96"/>
      <c r="H621" s="96"/>
      <c r="I621" s="96"/>
      <c r="J621" s="96"/>
      <c r="K621" s="96"/>
      <c r="L621" s="122">
        <f>L611+L620</f>
        <v>1566.6</v>
      </c>
      <c r="M621" s="101"/>
    </row>
    <row r="622" spans="2:13" ht="30" customHeight="1" x14ac:dyDescent="0.3">
      <c r="B622" s="95"/>
      <c r="C622" s="96"/>
      <c r="D622" s="96"/>
      <c r="E622" s="96"/>
      <c r="F622" s="96"/>
      <c r="G622" s="96"/>
      <c r="H622" s="96"/>
      <c r="I622" s="96"/>
      <c r="J622" s="96"/>
      <c r="K622" s="96"/>
      <c r="L622" s="123"/>
      <c r="M622" s="101"/>
    </row>
    <row r="623" spans="2:13" ht="30" customHeight="1" x14ac:dyDescent="0.3">
      <c r="B623" s="95"/>
      <c r="C623" s="96"/>
      <c r="D623" s="96"/>
      <c r="E623" s="96"/>
      <c r="F623" s="96"/>
      <c r="G623" s="96"/>
      <c r="H623" s="96"/>
      <c r="I623" s="96"/>
      <c r="J623" s="96"/>
      <c r="K623" s="96"/>
      <c r="L623" s="123"/>
      <c r="M623" s="101"/>
    </row>
    <row r="624" spans="2:13" ht="30" customHeight="1" x14ac:dyDescent="0.3">
      <c r="B624" s="557" t="s">
        <v>77</v>
      </c>
      <c r="C624" s="558"/>
      <c r="D624" s="558"/>
      <c r="E624" s="558"/>
      <c r="F624" s="558"/>
      <c r="G624" s="558"/>
      <c r="H624" s="558"/>
      <c r="I624" s="559"/>
      <c r="J624" s="124"/>
      <c r="K624" s="96"/>
      <c r="L624" s="123"/>
      <c r="M624" s="101"/>
    </row>
    <row r="625" spans="2:13" ht="30" customHeight="1" x14ac:dyDescent="0.3">
      <c r="B625" s="560" t="s">
        <v>78</v>
      </c>
      <c r="C625" s="561"/>
      <c r="D625" s="561"/>
      <c r="E625" s="561"/>
      <c r="F625" s="561"/>
      <c r="G625" s="561"/>
      <c r="H625" s="561"/>
      <c r="I625" s="561"/>
      <c r="J625" s="114">
        <f>'PB '!Q21</f>
        <v>0</v>
      </c>
      <c r="K625" s="96"/>
      <c r="L625" s="123"/>
      <c r="M625" s="101"/>
    </row>
    <row r="626" spans="2:13" ht="30" customHeight="1" x14ac:dyDescent="0.3">
      <c r="B626" s="560" t="s">
        <v>79</v>
      </c>
      <c r="C626" s="561"/>
      <c r="D626" s="561"/>
      <c r="E626" s="561"/>
      <c r="F626" s="561"/>
      <c r="G626" s="561"/>
      <c r="H626" s="561"/>
      <c r="I626" s="561"/>
      <c r="J626" s="114">
        <f>'PB '!R21</f>
        <v>1566.6</v>
      </c>
      <c r="K626" s="96"/>
      <c r="L626" s="123"/>
      <c r="M626" s="101"/>
    </row>
    <row r="627" spans="2:13" ht="30" customHeight="1" x14ac:dyDescent="0.3">
      <c r="B627" s="560" t="s">
        <v>80</v>
      </c>
      <c r="C627" s="561"/>
      <c r="D627" s="561"/>
      <c r="E627" s="561"/>
      <c r="F627" s="561"/>
      <c r="G627" s="561"/>
      <c r="H627" s="561"/>
      <c r="I627" s="561"/>
      <c r="J627" s="114">
        <f>'PB '!S21</f>
        <v>0</v>
      </c>
      <c r="K627" s="96"/>
      <c r="L627" s="123"/>
      <c r="M627" s="101"/>
    </row>
    <row r="628" spans="2:13" ht="30" customHeight="1" x14ac:dyDescent="0.3">
      <c r="B628" s="560" t="s">
        <v>81</v>
      </c>
      <c r="C628" s="561"/>
      <c r="D628" s="561"/>
      <c r="E628" s="561"/>
      <c r="F628" s="561"/>
      <c r="G628" s="561"/>
      <c r="H628" s="561"/>
      <c r="I628" s="561"/>
      <c r="J628" s="114">
        <v>0</v>
      </c>
      <c r="K628" s="96"/>
      <c r="L628" s="123"/>
      <c r="M628" s="101"/>
    </row>
    <row r="629" spans="2:13" ht="30" customHeight="1" x14ac:dyDescent="0.3">
      <c r="B629" s="557" t="s">
        <v>82</v>
      </c>
      <c r="C629" s="558"/>
      <c r="D629" s="558"/>
      <c r="E629" s="558"/>
      <c r="F629" s="558"/>
      <c r="G629" s="558"/>
      <c r="H629" s="558"/>
      <c r="I629" s="559"/>
      <c r="J629" s="114">
        <f>'PB '!T21</f>
        <v>0</v>
      </c>
      <c r="K629" s="96"/>
      <c r="L629" s="123"/>
      <c r="M629" s="101"/>
    </row>
    <row r="630" spans="2:13" ht="30" customHeight="1" thickBot="1" x14ac:dyDescent="0.35">
      <c r="B630" s="560" t="s">
        <v>119</v>
      </c>
      <c r="C630" s="561"/>
      <c r="D630" s="561"/>
      <c r="E630" s="561"/>
      <c r="F630" s="561"/>
      <c r="G630" s="561"/>
      <c r="H630" s="561"/>
      <c r="I630" s="561"/>
      <c r="J630" s="114">
        <v>0</v>
      </c>
      <c r="K630" s="96"/>
      <c r="L630" s="123"/>
      <c r="M630" s="101"/>
    </row>
    <row r="631" spans="2:13" ht="30" customHeight="1" thickBot="1" x14ac:dyDescent="0.35">
      <c r="B631" s="95"/>
      <c r="C631" s="96"/>
      <c r="D631" s="96"/>
      <c r="E631" s="96"/>
      <c r="F631" s="573" t="s">
        <v>83</v>
      </c>
      <c r="G631" s="574"/>
      <c r="H631" s="574"/>
      <c r="I631" s="575"/>
      <c r="J631" s="114">
        <f>SUM(J625:J630)</f>
        <v>1566.6</v>
      </c>
      <c r="K631" s="96" t="s">
        <v>51</v>
      </c>
      <c r="L631" s="125">
        <f>J631</f>
        <v>1566.6</v>
      </c>
      <c r="M631" s="101"/>
    </row>
    <row r="632" spans="2:13" ht="30" customHeight="1" x14ac:dyDescent="0.3">
      <c r="B632" s="95"/>
      <c r="C632" s="96"/>
      <c r="D632" s="96"/>
      <c r="E632" s="96"/>
      <c r="F632" s="96"/>
      <c r="G632" s="96"/>
      <c r="H632" s="96"/>
      <c r="I632" s="96"/>
      <c r="J632" s="96"/>
      <c r="K632" s="96"/>
      <c r="L632" s="123"/>
      <c r="M632" s="101"/>
    </row>
    <row r="633" spans="2:13" ht="30" customHeight="1" x14ac:dyDescent="0.3">
      <c r="B633" s="95"/>
      <c r="C633" s="96"/>
      <c r="D633" s="96"/>
      <c r="E633" s="96"/>
      <c r="F633" s="96"/>
      <c r="G633" s="96"/>
      <c r="H633" s="96"/>
      <c r="I633" s="96"/>
      <c r="J633" s="96"/>
      <c r="K633" s="96"/>
      <c r="L633" s="123"/>
      <c r="M633" s="101"/>
    </row>
    <row r="634" spans="2:13" ht="30" customHeight="1" thickBot="1" x14ac:dyDescent="0.35">
      <c r="B634" s="95"/>
      <c r="C634" s="96"/>
      <c r="D634" s="96"/>
      <c r="E634" s="96"/>
      <c r="F634" s="112" t="s">
        <v>84</v>
      </c>
      <c r="G634" s="112"/>
      <c r="H634" s="112"/>
      <c r="I634" s="112"/>
      <c r="J634" s="112"/>
      <c r="K634" s="96" t="s">
        <v>51</v>
      </c>
      <c r="L634" s="126">
        <f>L621-L631</f>
        <v>0</v>
      </c>
      <c r="M634" s="101"/>
    </row>
    <row r="635" spans="2:13" ht="30" customHeight="1" x14ac:dyDescent="0.3">
      <c r="B635" s="127"/>
      <c r="C635" s="96"/>
      <c r="D635" s="96"/>
      <c r="E635" s="96"/>
      <c r="F635" s="96"/>
      <c r="G635" s="96"/>
      <c r="H635" s="96"/>
      <c r="I635" s="96" t="s">
        <v>44</v>
      </c>
      <c r="J635" s="96" t="s">
        <v>44</v>
      </c>
      <c r="K635" s="96" t="s">
        <v>44</v>
      </c>
      <c r="L635" s="123" t="s">
        <v>44</v>
      </c>
      <c r="M635" s="101"/>
    </row>
    <row r="636" spans="2:13" ht="30" customHeight="1" x14ac:dyDescent="0.3">
      <c r="B636" s="127"/>
      <c r="C636" s="96"/>
      <c r="D636" s="96"/>
      <c r="E636" s="96"/>
      <c r="F636" s="96"/>
      <c r="G636" s="96"/>
      <c r="H636" s="96"/>
      <c r="I636" s="96"/>
      <c r="J636" s="96"/>
      <c r="K636" s="96"/>
      <c r="L636" s="123"/>
      <c r="M636" s="101"/>
    </row>
    <row r="637" spans="2:13" ht="30" customHeight="1" x14ac:dyDescent="0.3">
      <c r="B637" s="127"/>
      <c r="C637" s="96"/>
      <c r="D637" s="96"/>
      <c r="E637" s="96"/>
      <c r="F637" s="96"/>
      <c r="G637" s="96"/>
      <c r="H637" s="96"/>
      <c r="I637" s="96"/>
      <c r="J637" s="96"/>
      <c r="K637" s="96"/>
      <c r="L637" s="123"/>
      <c r="M637" s="101"/>
    </row>
    <row r="638" spans="2:13" ht="30" customHeight="1" x14ac:dyDescent="0.25">
      <c r="B638" s="576" t="s">
        <v>85</v>
      </c>
      <c r="C638" s="577"/>
      <c r="D638" s="577"/>
      <c r="E638" s="577"/>
      <c r="F638" s="577"/>
      <c r="G638" s="577"/>
      <c r="H638" s="577"/>
      <c r="I638" s="577"/>
      <c r="J638" s="577"/>
      <c r="K638" s="577"/>
      <c r="L638" s="577"/>
      <c r="M638" s="578"/>
    </row>
    <row r="639" spans="2:13" ht="30" customHeight="1" x14ac:dyDescent="0.25">
      <c r="B639" s="576" t="s">
        <v>86</v>
      </c>
      <c r="C639" s="577"/>
      <c r="D639" s="577"/>
      <c r="E639" s="577"/>
      <c r="F639" s="577"/>
      <c r="G639" s="577"/>
      <c r="H639" s="577"/>
      <c r="I639" s="577"/>
      <c r="J639" s="577"/>
      <c r="K639" s="577"/>
      <c r="L639" s="577"/>
      <c r="M639" s="578"/>
    </row>
    <row r="640" spans="2:13" ht="30" customHeight="1" x14ac:dyDescent="0.3">
      <c r="B640" s="95"/>
      <c r="C640" s="96"/>
      <c r="D640" s="96"/>
      <c r="E640" s="96"/>
      <c r="F640" s="96"/>
      <c r="G640" s="96"/>
      <c r="H640" s="96"/>
      <c r="I640" s="96"/>
      <c r="J640" s="96"/>
      <c r="K640" s="96"/>
      <c r="L640" s="96"/>
      <c r="M640" s="101"/>
    </row>
    <row r="641" spans="2:15" ht="30" customHeight="1" x14ac:dyDescent="0.3">
      <c r="B641" s="95"/>
      <c r="C641" s="96"/>
      <c r="D641" s="96"/>
      <c r="E641" s="96"/>
      <c r="F641" s="96"/>
      <c r="G641" s="96"/>
      <c r="H641" s="96"/>
      <c r="I641" s="96"/>
      <c r="J641" s="96"/>
      <c r="K641" s="96"/>
      <c r="L641" s="96"/>
      <c r="M641" s="101"/>
    </row>
    <row r="642" spans="2:15" ht="30" customHeight="1" x14ac:dyDescent="0.3">
      <c r="B642" s="567"/>
      <c r="C642" s="568"/>
      <c r="D642" s="568"/>
      <c r="E642" s="96"/>
      <c r="F642" s="96"/>
      <c r="G642" s="96"/>
      <c r="H642" s="96"/>
      <c r="I642" s="96"/>
      <c r="J642" s="568"/>
      <c r="K642" s="568"/>
      <c r="L642" s="568"/>
      <c r="M642" s="101"/>
    </row>
    <row r="643" spans="2:15" ht="30" customHeight="1" x14ac:dyDescent="0.3">
      <c r="B643" s="569" t="s">
        <v>87</v>
      </c>
      <c r="C643" s="570"/>
      <c r="D643" s="570"/>
      <c r="E643" s="96"/>
      <c r="F643" s="96"/>
      <c r="G643" s="96"/>
      <c r="H643" s="96"/>
      <c r="I643" s="128" t="s">
        <v>88</v>
      </c>
      <c r="J643" s="128"/>
      <c r="K643" s="128"/>
      <c r="L643" s="102"/>
      <c r="M643" s="101"/>
    </row>
    <row r="644" spans="2:15" ht="39.75" customHeight="1" x14ac:dyDescent="0.3">
      <c r="B644" s="95" t="s">
        <v>44</v>
      </c>
      <c r="C644" s="96"/>
      <c r="D644" s="96"/>
      <c r="E644" s="96"/>
      <c r="F644" s="96"/>
      <c r="G644" s="96"/>
      <c r="H644" s="96"/>
      <c r="I644" s="96"/>
      <c r="J644" s="570"/>
      <c r="K644" s="570"/>
      <c r="L644" s="570"/>
      <c r="M644" s="101"/>
    </row>
    <row r="645" spans="2:15" ht="30" customHeight="1" x14ac:dyDescent="0.3">
      <c r="B645" s="95" t="s">
        <v>64</v>
      </c>
      <c r="C645" s="570">
        <f>C608</f>
        <v>0</v>
      </c>
      <c r="D645" s="570"/>
      <c r="E645" s="570"/>
      <c r="F645" s="96"/>
      <c r="G645" s="96"/>
      <c r="H645" s="96"/>
      <c r="I645" s="99" t="s">
        <v>104</v>
      </c>
      <c r="J645" s="571">
        <f>+'PB '!C7</f>
        <v>0</v>
      </c>
      <c r="K645" s="571"/>
      <c r="L645" s="571"/>
      <c r="M645" s="572"/>
    </row>
    <row r="646" spans="2:15" ht="30" customHeight="1" thickBot="1" x14ac:dyDescent="0.35">
      <c r="B646" s="129"/>
      <c r="C646" s="130"/>
      <c r="D646" s="130"/>
      <c r="E646" s="130"/>
      <c r="F646" s="130"/>
      <c r="G646" s="130"/>
      <c r="H646" s="130"/>
      <c r="I646" s="130"/>
      <c r="J646" s="131"/>
      <c r="K646" s="132"/>
      <c r="L646" s="132"/>
      <c r="M646" s="133"/>
    </row>
    <row r="647" spans="2:15" ht="30" customHeight="1" x14ac:dyDescent="0.35">
      <c r="B647" s="135"/>
      <c r="C647" s="135"/>
      <c r="D647" s="135"/>
      <c r="E647" s="135"/>
      <c r="F647" s="135"/>
      <c r="G647" s="135"/>
      <c r="H647" s="135"/>
      <c r="I647" s="135"/>
      <c r="J647" s="135"/>
      <c r="K647" s="135"/>
      <c r="L647" s="135"/>
      <c r="M647" s="135"/>
    </row>
    <row r="648" spans="2:15" ht="30" customHeight="1" x14ac:dyDescent="0.35">
      <c r="B648" s="135"/>
      <c r="C648" s="135"/>
      <c r="D648" s="135"/>
      <c r="E648" s="135"/>
      <c r="F648" s="135"/>
      <c r="G648" s="135"/>
      <c r="H648" s="135"/>
      <c r="I648" s="135"/>
      <c r="J648" s="135"/>
      <c r="K648" s="135"/>
      <c r="L648" s="135"/>
      <c r="M648" s="135"/>
    </row>
    <row r="649" spans="2:15" ht="30" customHeight="1" thickBot="1" x14ac:dyDescent="0.4">
      <c r="B649" s="135"/>
      <c r="C649" s="135"/>
      <c r="D649" s="135"/>
      <c r="E649" s="135"/>
      <c r="F649" s="135"/>
      <c r="G649" s="135"/>
      <c r="H649" s="135"/>
      <c r="I649" s="135"/>
      <c r="J649" s="135"/>
      <c r="K649" s="135"/>
      <c r="L649" s="135"/>
      <c r="M649" s="135"/>
    </row>
    <row r="650" spans="2:15" ht="30" customHeight="1" x14ac:dyDescent="0.3">
      <c r="B650" s="584"/>
      <c r="C650" s="585"/>
      <c r="D650" s="585"/>
      <c r="E650" s="585"/>
      <c r="F650" s="585"/>
      <c r="G650" s="585"/>
      <c r="H650" s="585"/>
      <c r="I650" s="585"/>
      <c r="J650" s="585"/>
      <c r="K650" s="585"/>
      <c r="L650" s="585"/>
      <c r="M650" s="586"/>
    </row>
    <row r="651" spans="2:15" ht="30" customHeight="1" x14ac:dyDescent="0.3">
      <c r="B651" s="587" t="s">
        <v>62</v>
      </c>
      <c r="C651" s="588"/>
      <c r="D651" s="588"/>
      <c r="E651" s="588"/>
      <c r="F651" s="588"/>
      <c r="G651" s="588"/>
      <c r="H651" s="588"/>
      <c r="I651" s="588"/>
      <c r="J651" s="588"/>
      <c r="K651" s="588"/>
      <c r="L651" s="588"/>
      <c r="M651" s="589"/>
      <c r="O651">
        <v>17</v>
      </c>
    </row>
    <row r="652" spans="2:15" ht="30" customHeight="1" x14ac:dyDescent="0.3">
      <c r="B652" s="95" t="s">
        <v>63</v>
      </c>
      <c r="C652" s="570" t="str">
        <f>C606</f>
        <v>Vessel name</v>
      </c>
      <c r="D652" s="570"/>
      <c r="E652" s="570"/>
      <c r="F652" s="96"/>
      <c r="G652" s="570"/>
      <c r="H652" s="570"/>
      <c r="I652" s="570"/>
      <c r="J652" s="96" t="s">
        <v>44</v>
      </c>
      <c r="K652" s="97"/>
      <c r="L652" s="582"/>
      <c r="M652" s="583"/>
    </row>
    <row r="653" spans="2:15" ht="30" customHeight="1" x14ac:dyDescent="0.3">
      <c r="B653" s="98"/>
      <c r="C653" s="96"/>
      <c r="D653" s="96"/>
      <c r="E653" s="99"/>
      <c r="F653" s="100"/>
      <c r="G653" s="100"/>
      <c r="H653" s="100"/>
      <c r="I653" s="96"/>
      <c r="J653" s="96"/>
      <c r="K653" s="97"/>
      <c r="L653" s="97"/>
      <c r="M653" s="101"/>
    </row>
    <row r="654" spans="2:15" ht="42.75" customHeight="1" x14ac:dyDescent="0.3">
      <c r="B654" s="95" t="s">
        <v>64</v>
      </c>
      <c r="C654" s="602">
        <f>+'PB '!C22</f>
        <v>0</v>
      </c>
      <c r="D654" s="602"/>
      <c r="E654" s="602"/>
      <c r="F654" s="602"/>
      <c r="G654" s="102"/>
      <c r="H654" s="96" t="s">
        <v>21</v>
      </c>
      <c r="I654" s="150" t="str">
        <f>'PB '!D22</f>
        <v>AB 2</v>
      </c>
      <c r="J654" s="136"/>
      <c r="K654" s="96"/>
      <c r="L654" s="582"/>
      <c r="M654" s="583"/>
    </row>
    <row r="655" spans="2:15" ht="30" customHeight="1" x14ac:dyDescent="0.3">
      <c r="B655" s="95"/>
      <c r="C655" s="96"/>
      <c r="D655" s="96"/>
      <c r="E655" s="96"/>
      <c r="F655" s="96"/>
      <c r="G655" s="96" t="s">
        <v>65</v>
      </c>
      <c r="H655" s="96"/>
      <c r="I655" s="96"/>
      <c r="J655" s="96"/>
      <c r="K655" s="96"/>
      <c r="L655" s="96"/>
      <c r="M655" s="101"/>
    </row>
    <row r="656" spans="2:15" ht="30" customHeight="1" x14ac:dyDescent="0.3">
      <c r="B656" s="95"/>
      <c r="C656" s="96"/>
      <c r="D656" s="96"/>
      <c r="E656" s="96"/>
      <c r="F656" s="96"/>
      <c r="G656" s="96" t="s">
        <v>44</v>
      </c>
      <c r="H656" s="96"/>
      <c r="I656" s="96"/>
      <c r="J656" s="96"/>
      <c r="K656" s="96"/>
      <c r="L656" s="96"/>
      <c r="M656" s="101"/>
    </row>
    <row r="657" spans="2:13" ht="30" customHeight="1" x14ac:dyDescent="0.3">
      <c r="B657" s="95"/>
      <c r="C657" s="96"/>
      <c r="D657" s="96"/>
      <c r="E657" s="96"/>
      <c r="F657" s="96"/>
      <c r="G657" s="103" t="s">
        <v>66</v>
      </c>
      <c r="H657" s="104"/>
      <c r="I657" s="103"/>
      <c r="J657" s="103"/>
      <c r="K657" s="96" t="s">
        <v>51</v>
      </c>
      <c r="L657" s="105">
        <f>'PB '!V22</f>
        <v>0</v>
      </c>
      <c r="M657" s="101"/>
    </row>
    <row r="658" spans="2:13" ht="30" customHeight="1" x14ac:dyDescent="0.3">
      <c r="B658" s="95"/>
      <c r="C658" s="96"/>
      <c r="D658" s="96"/>
      <c r="E658" s="96"/>
      <c r="F658" s="96"/>
      <c r="G658" s="96"/>
      <c r="H658" s="96"/>
      <c r="I658" s="96"/>
      <c r="J658" s="96"/>
      <c r="K658" s="96"/>
      <c r="L658" s="96"/>
      <c r="M658" s="101"/>
    </row>
    <row r="659" spans="2:13" ht="30" customHeight="1" x14ac:dyDescent="0.3">
      <c r="B659" s="590" t="s">
        <v>67</v>
      </c>
      <c r="C659" s="591"/>
      <c r="D659" s="592" t="s">
        <v>60</v>
      </c>
      <c r="E659" s="593"/>
      <c r="F659" s="579" t="s">
        <v>61</v>
      </c>
      <c r="G659" s="580"/>
      <c r="H659" s="106" t="s">
        <v>68</v>
      </c>
      <c r="I659" s="107" t="s">
        <v>69</v>
      </c>
      <c r="J659" s="106" t="s">
        <v>51</v>
      </c>
      <c r="K659" s="108"/>
      <c r="L659" s="108"/>
      <c r="M659" s="109"/>
    </row>
    <row r="660" spans="2:13" ht="30" customHeight="1" x14ac:dyDescent="0.3">
      <c r="B660" s="560" t="s">
        <v>70</v>
      </c>
      <c r="C660" s="581"/>
      <c r="D660" s="110">
        <f>'PB '!E22</f>
        <v>1</v>
      </c>
      <c r="E660" s="111">
        <f>'PB '!C1</f>
        <v>0</v>
      </c>
      <c r="F660" s="112">
        <f>'PB '!F22</f>
        <v>31</v>
      </c>
      <c r="G660" s="111">
        <f>E660</f>
        <v>0</v>
      </c>
      <c r="H660" s="113">
        <f>+'PB '!G22</f>
        <v>30</v>
      </c>
      <c r="I660" s="114">
        <v>673</v>
      </c>
      <c r="J660" s="115">
        <f>I660*H660/30</f>
        <v>673</v>
      </c>
      <c r="K660" s="96"/>
      <c r="L660" s="96"/>
      <c r="M660" s="101"/>
    </row>
    <row r="661" spans="2:13" ht="30" customHeight="1" x14ac:dyDescent="0.3">
      <c r="B661" s="560" t="s">
        <v>71</v>
      </c>
      <c r="C661" s="581"/>
      <c r="D661" s="110">
        <f>D660</f>
        <v>1</v>
      </c>
      <c r="E661" s="111">
        <f>E660</f>
        <v>0</v>
      </c>
      <c r="F661" s="112">
        <f>F660</f>
        <v>31</v>
      </c>
      <c r="G661" s="111">
        <f>E660</f>
        <v>0</v>
      </c>
      <c r="H661" s="113">
        <f>H660</f>
        <v>30</v>
      </c>
      <c r="I661" s="114">
        <v>421</v>
      </c>
      <c r="J661" s="115">
        <f>I661*H661/30</f>
        <v>421</v>
      </c>
      <c r="K661" s="96"/>
      <c r="L661" s="96"/>
      <c r="M661" s="101"/>
    </row>
    <row r="662" spans="2:13" ht="30" customHeight="1" x14ac:dyDescent="0.3">
      <c r="B662" s="557" t="s">
        <v>72</v>
      </c>
      <c r="C662" s="558"/>
      <c r="D662" s="110">
        <f>D660</f>
        <v>1</v>
      </c>
      <c r="E662" s="111">
        <f>E660</f>
        <v>0</v>
      </c>
      <c r="F662" s="112">
        <f>F660</f>
        <v>31</v>
      </c>
      <c r="G662" s="111">
        <f>E660</f>
        <v>0</v>
      </c>
      <c r="H662" s="113">
        <f>H660</f>
        <v>30</v>
      </c>
      <c r="I662" s="114">
        <v>88.44</v>
      </c>
      <c r="J662" s="115">
        <f>I662*H662/30</f>
        <v>88.44</v>
      </c>
      <c r="K662" s="96"/>
      <c r="L662" s="96"/>
      <c r="M662" s="101"/>
    </row>
    <row r="663" spans="2:13" ht="30" customHeight="1" x14ac:dyDescent="0.3">
      <c r="B663" s="557" t="s">
        <v>73</v>
      </c>
      <c r="C663" s="558"/>
      <c r="D663" s="110">
        <f>D660</f>
        <v>1</v>
      </c>
      <c r="E663" s="111">
        <f>E660</f>
        <v>0</v>
      </c>
      <c r="F663" s="112">
        <f>F660</f>
        <v>31</v>
      </c>
      <c r="G663" s="111">
        <f>E660</f>
        <v>0</v>
      </c>
      <c r="H663" s="113">
        <f>H660</f>
        <v>30</v>
      </c>
      <c r="I663" s="114">
        <v>267.56</v>
      </c>
      <c r="J663" s="115">
        <f>I663*H663/30</f>
        <v>267.56</v>
      </c>
      <c r="K663" s="96"/>
      <c r="L663" s="96"/>
      <c r="M663" s="101"/>
    </row>
    <row r="664" spans="2:13" ht="30" customHeight="1" x14ac:dyDescent="0.3">
      <c r="B664" s="562" t="s">
        <v>74</v>
      </c>
      <c r="C664" s="563"/>
      <c r="D664" s="110"/>
      <c r="E664" s="111"/>
      <c r="F664" s="112"/>
      <c r="G664" s="111"/>
      <c r="H664" s="118"/>
      <c r="I664" s="114"/>
      <c r="J664" s="115">
        <f>'PB '!L22</f>
        <v>0</v>
      </c>
      <c r="K664" s="96"/>
      <c r="L664" s="96"/>
      <c r="M664" s="101"/>
    </row>
    <row r="665" spans="2:13" ht="30" customHeight="1" x14ac:dyDescent="0.3">
      <c r="B665" s="594" t="s">
        <v>170</v>
      </c>
      <c r="C665" s="595"/>
      <c r="D665" s="117"/>
      <c r="E665" s="111"/>
      <c r="F665" s="117"/>
      <c r="G665" s="111"/>
      <c r="H665" s="118"/>
      <c r="I665" s="114">
        <v>0</v>
      </c>
      <c r="J665" s="115">
        <f>'PB '!O22</f>
        <v>16.600000000000001</v>
      </c>
      <c r="K665" s="96"/>
      <c r="L665" s="96"/>
      <c r="M665" s="101"/>
    </row>
    <row r="666" spans="2:13" ht="30" customHeight="1" x14ac:dyDescent="0.3">
      <c r="B666" s="95"/>
      <c r="C666" s="96"/>
      <c r="D666" s="96"/>
      <c r="E666" s="96"/>
      <c r="F666" s="565" t="s">
        <v>76</v>
      </c>
      <c r="G666" s="565"/>
      <c r="H666" s="565"/>
      <c r="I666" s="566"/>
      <c r="J666" s="119">
        <f>SUM(J660:J665)</f>
        <v>1466.6</v>
      </c>
      <c r="K666" s="120" t="s">
        <v>51</v>
      </c>
      <c r="L666" s="121">
        <f>J666</f>
        <v>1466.6</v>
      </c>
      <c r="M666" s="101"/>
    </row>
    <row r="667" spans="2:13" ht="30" customHeight="1" thickBot="1" x14ac:dyDescent="0.35">
      <c r="B667" s="95"/>
      <c r="C667" s="96"/>
      <c r="D667" s="96"/>
      <c r="E667" s="96"/>
      <c r="F667" s="96"/>
      <c r="G667" s="96"/>
      <c r="H667" s="96"/>
      <c r="I667" s="96"/>
      <c r="J667" s="96"/>
      <c r="K667" s="96"/>
      <c r="L667" s="122">
        <f>L657+L666</f>
        <v>1466.6</v>
      </c>
      <c r="M667" s="101"/>
    </row>
    <row r="668" spans="2:13" ht="30" customHeight="1" x14ac:dyDescent="0.3">
      <c r="B668" s="95"/>
      <c r="C668" s="96"/>
      <c r="D668" s="96"/>
      <c r="E668" s="96"/>
      <c r="F668" s="96"/>
      <c r="G668" s="96"/>
      <c r="H668" s="96"/>
      <c r="I668" s="96"/>
      <c r="J668" s="96"/>
      <c r="K668" s="96"/>
      <c r="L668" s="123"/>
      <c r="M668" s="101"/>
    </row>
    <row r="669" spans="2:13" ht="30" customHeight="1" x14ac:dyDescent="0.3">
      <c r="B669" s="95"/>
      <c r="C669" s="96"/>
      <c r="D669" s="96"/>
      <c r="E669" s="96"/>
      <c r="F669" s="96"/>
      <c r="G669" s="96"/>
      <c r="H669" s="96"/>
      <c r="I669" s="96"/>
      <c r="J669" s="96"/>
      <c r="K669" s="96"/>
      <c r="L669" s="123"/>
      <c r="M669" s="101"/>
    </row>
    <row r="670" spans="2:13" ht="30" customHeight="1" x14ac:dyDescent="0.3">
      <c r="B670" s="557" t="s">
        <v>77</v>
      </c>
      <c r="C670" s="558"/>
      <c r="D670" s="558"/>
      <c r="E670" s="558"/>
      <c r="F670" s="558"/>
      <c r="G670" s="558"/>
      <c r="H670" s="558"/>
      <c r="I670" s="559"/>
      <c r="J670" s="124"/>
      <c r="K670" s="96"/>
      <c r="L670" s="123"/>
      <c r="M670" s="101"/>
    </row>
    <row r="671" spans="2:13" ht="30" customHeight="1" x14ac:dyDescent="0.3">
      <c r="B671" s="560" t="s">
        <v>78</v>
      </c>
      <c r="C671" s="561"/>
      <c r="D671" s="561"/>
      <c r="E671" s="561"/>
      <c r="F671" s="561"/>
      <c r="G671" s="561"/>
      <c r="H671" s="561"/>
      <c r="I671" s="561"/>
      <c r="J671" s="114">
        <f>'PB '!Q22</f>
        <v>0</v>
      </c>
      <c r="K671" s="96"/>
      <c r="L671" s="123"/>
      <c r="M671" s="101"/>
    </row>
    <row r="672" spans="2:13" ht="30" customHeight="1" x14ac:dyDescent="0.3">
      <c r="B672" s="560" t="s">
        <v>79</v>
      </c>
      <c r="C672" s="561"/>
      <c r="D672" s="561"/>
      <c r="E672" s="561"/>
      <c r="F672" s="561"/>
      <c r="G672" s="561"/>
      <c r="H672" s="561"/>
      <c r="I672" s="561"/>
      <c r="J672" s="114">
        <f>'PB '!R22</f>
        <v>1466.6</v>
      </c>
      <c r="K672" s="96"/>
      <c r="L672" s="123"/>
      <c r="M672" s="101"/>
    </row>
    <row r="673" spans="2:13" ht="30" customHeight="1" x14ac:dyDescent="0.3">
      <c r="B673" s="560" t="s">
        <v>80</v>
      </c>
      <c r="C673" s="561"/>
      <c r="D673" s="561"/>
      <c r="E673" s="561"/>
      <c r="F673" s="561"/>
      <c r="G673" s="561"/>
      <c r="H673" s="561"/>
      <c r="I673" s="561"/>
      <c r="J673" s="114">
        <f>'PB '!S22</f>
        <v>0</v>
      </c>
      <c r="K673" s="96"/>
      <c r="L673" s="123"/>
      <c r="M673" s="101"/>
    </row>
    <row r="674" spans="2:13" ht="30" customHeight="1" x14ac:dyDescent="0.3">
      <c r="B674" s="560" t="s">
        <v>81</v>
      </c>
      <c r="C674" s="561"/>
      <c r="D674" s="561"/>
      <c r="E674" s="561"/>
      <c r="F674" s="561"/>
      <c r="G674" s="561"/>
      <c r="H674" s="561"/>
      <c r="I674" s="561"/>
      <c r="J674" s="114">
        <v>0</v>
      </c>
      <c r="K674" s="96"/>
      <c r="L674" s="123"/>
      <c r="M674" s="101"/>
    </row>
    <row r="675" spans="2:13" ht="30" customHeight="1" x14ac:dyDescent="0.3">
      <c r="B675" s="557" t="s">
        <v>107</v>
      </c>
      <c r="C675" s="558"/>
      <c r="D675" s="558"/>
      <c r="E675" s="558"/>
      <c r="F675" s="558"/>
      <c r="G675" s="558"/>
      <c r="H675" s="558"/>
      <c r="I675" s="559"/>
      <c r="J675" s="114">
        <f>'PB '!T22</f>
        <v>0</v>
      </c>
      <c r="K675" s="96"/>
      <c r="L675" s="123"/>
      <c r="M675" s="101"/>
    </row>
    <row r="676" spans="2:13" ht="30" customHeight="1" thickBot="1" x14ac:dyDescent="0.35">
      <c r="B676" s="560" t="s">
        <v>119</v>
      </c>
      <c r="C676" s="561"/>
      <c r="D676" s="561"/>
      <c r="E676" s="561"/>
      <c r="F676" s="561"/>
      <c r="G676" s="561"/>
      <c r="H676" s="561"/>
      <c r="I676" s="561"/>
      <c r="J676" s="114">
        <v>0</v>
      </c>
      <c r="K676" s="96"/>
      <c r="L676" s="123"/>
      <c r="M676" s="101"/>
    </row>
    <row r="677" spans="2:13" ht="30" customHeight="1" thickBot="1" x14ac:dyDescent="0.35">
      <c r="B677" s="95"/>
      <c r="C677" s="96"/>
      <c r="D677" s="96"/>
      <c r="E677" s="96"/>
      <c r="F677" s="573" t="s">
        <v>83</v>
      </c>
      <c r="G677" s="574"/>
      <c r="H677" s="574"/>
      <c r="I677" s="575"/>
      <c r="J677" s="114">
        <f>SUM(J671:J676)</f>
        <v>1466.6</v>
      </c>
      <c r="K677" s="96" t="s">
        <v>51</v>
      </c>
      <c r="L677" s="125">
        <f>J677</f>
        <v>1466.6</v>
      </c>
      <c r="M677" s="101"/>
    </row>
    <row r="678" spans="2:13" ht="30" customHeight="1" x14ac:dyDescent="0.3">
      <c r="B678" s="95"/>
      <c r="C678" s="96"/>
      <c r="D678" s="96"/>
      <c r="E678" s="96"/>
      <c r="F678" s="96"/>
      <c r="G678" s="96"/>
      <c r="H678" s="96"/>
      <c r="I678" s="96"/>
      <c r="J678" s="96"/>
      <c r="K678" s="96"/>
      <c r="L678" s="123"/>
      <c r="M678" s="101"/>
    </row>
    <row r="679" spans="2:13" ht="30" customHeight="1" x14ac:dyDescent="0.3">
      <c r="B679" s="95"/>
      <c r="C679" s="96"/>
      <c r="D679" s="96"/>
      <c r="E679" s="96"/>
      <c r="F679" s="96"/>
      <c r="G679" s="96"/>
      <c r="H679" s="96"/>
      <c r="I679" s="96"/>
      <c r="J679" s="96"/>
      <c r="K679" s="96"/>
      <c r="L679" s="123"/>
      <c r="M679" s="101"/>
    </row>
    <row r="680" spans="2:13" ht="30" customHeight="1" thickBot="1" x14ac:dyDescent="0.35">
      <c r="B680" s="95"/>
      <c r="C680" s="96"/>
      <c r="D680" s="96"/>
      <c r="E680" s="96"/>
      <c r="F680" s="112" t="s">
        <v>84</v>
      </c>
      <c r="G680" s="112"/>
      <c r="H680" s="112"/>
      <c r="I680" s="112"/>
      <c r="J680" s="112"/>
      <c r="K680" s="96" t="s">
        <v>51</v>
      </c>
      <c r="L680" s="126">
        <f>L667-L677</f>
        <v>0</v>
      </c>
      <c r="M680" s="101"/>
    </row>
    <row r="681" spans="2:13" ht="30" customHeight="1" x14ac:dyDescent="0.3">
      <c r="B681" s="127"/>
      <c r="C681" s="96"/>
      <c r="D681" s="96"/>
      <c r="E681" s="96"/>
      <c r="F681" s="96"/>
      <c r="G681" s="96"/>
      <c r="H681" s="96"/>
      <c r="I681" s="96" t="s">
        <v>44</v>
      </c>
      <c r="J681" s="96" t="s">
        <v>44</v>
      </c>
      <c r="K681" s="96" t="s">
        <v>44</v>
      </c>
      <c r="L681" s="123" t="s">
        <v>44</v>
      </c>
      <c r="M681" s="101"/>
    </row>
    <row r="682" spans="2:13" ht="30" customHeight="1" x14ac:dyDescent="0.3">
      <c r="B682" s="127"/>
      <c r="C682" s="96"/>
      <c r="D682" s="96"/>
      <c r="E682" s="96"/>
      <c r="F682" s="96"/>
      <c r="G682" s="96"/>
      <c r="H682" s="96"/>
      <c r="I682" s="96"/>
      <c r="J682" s="96"/>
      <c r="K682" s="96"/>
      <c r="L682" s="123"/>
      <c r="M682" s="101"/>
    </row>
    <row r="683" spans="2:13" ht="30" customHeight="1" x14ac:dyDescent="0.3">
      <c r="B683" s="127"/>
      <c r="C683" s="96"/>
      <c r="D683" s="96"/>
      <c r="E683" s="96"/>
      <c r="F683" s="96"/>
      <c r="G683" s="96"/>
      <c r="H683" s="96"/>
      <c r="I683" s="96"/>
      <c r="J683" s="96"/>
      <c r="K683" s="96"/>
      <c r="L683" s="123"/>
      <c r="M683" s="101"/>
    </row>
    <row r="684" spans="2:13" ht="30" customHeight="1" x14ac:dyDescent="0.25">
      <c r="B684" s="576" t="s">
        <v>85</v>
      </c>
      <c r="C684" s="577"/>
      <c r="D684" s="577"/>
      <c r="E684" s="577"/>
      <c r="F684" s="577"/>
      <c r="G684" s="577"/>
      <c r="H684" s="577"/>
      <c r="I684" s="577"/>
      <c r="J684" s="577"/>
      <c r="K684" s="577"/>
      <c r="L684" s="577"/>
      <c r="M684" s="578"/>
    </row>
    <row r="685" spans="2:13" ht="30" customHeight="1" x14ac:dyDescent="0.25">
      <c r="B685" s="576" t="s">
        <v>86</v>
      </c>
      <c r="C685" s="577"/>
      <c r="D685" s="577"/>
      <c r="E685" s="577"/>
      <c r="F685" s="577"/>
      <c r="G685" s="577"/>
      <c r="H685" s="577"/>
      <c r="I685" s="577"/>
      <c r="J685" s="577"/>
      <c r="K685" s="577"/>
      <c r="L685" s="577"/>
      <c r="M685" s="578"/>
    </row>
    <row r="686" spans="2:13" ht="30" customHeight="1" x14ac:dyDescent="0.3">
      <c r="B686" s="95"/>
      <c r="C686" s="96"/>
      <c r="D686" s="96"/>
      <c r="E686" s="96"/>
      <c r="F686" s="96"/>
      <c r="G686" s="96"/>
      <c r="H686" s="96"/>
      <c r="I686" s="96"/>
      <c r="J686" s="96"/>
      <c r="K686" s="96"/>
      <c r="L686" s="96"/>
      <c r="M686" s="101"/>
    </row>
    <row r="687" spans="2:13" ht="30" customHeight="1" x14ac:dyDescent="0.3">
      <c r="B687" s="95"/>
      <c r="C687" s="96"/>
      <c r="D687" s="96"/>
      <c r="E687" s="96"/>
      <c r="F687" s="96"/>
      <c r="G687" s="96"/>
      <c r="H687" s="96"/>
      <c r="I687" s="96"/>
      <c r="J687" s="96"/>
      <c r="K687" s="96"/>
      <c r="L687" s="96"/>
      <c r="M687" s="101"/>
    </row>
    <row r="688" spans="2:13" ht="30" customHeight="1" x14ac:dyDescent="0.3">
      <c r="B688" s="567"/>
      <c r="C688" s="568"/>
      <c r="D688" s="568"/>
      <c r="E688" s="96"/>
      <c r="F688" s="96"/>
      <c r="G688" s="96"/>
      <c r="H688" s="96"/>
      <c r="I688" s="96"/>
      <c r="J688" s="568"/>
      <c r="K688" s="568"/>
      <c r="L688" s="568"/>
      <c r="M688" s="101"/>
    </row>
    <row r="689" spans="2:15" ht="30" customHeight="1" x14ac:dyDescent="0.3">
      <c r="B689" s="569" t="s">
        <v>87</v>
      </c>
      <c r="C689" s="570"/>
      <c r="D689" s="570"/>
      <c r="E689" s="96"/>
      <c r="F689" s="96"/>
      <c r="G689" s="96"/>
      <c r="H689" s="96"/>
      <c r="I689" s="128" t="s">
        <v>88</v>
      </c>
      <c r="J689" s="128"/>
      <c r="K689" s="128"/>
      <c r="L689" s="102"/>
      <c r="M689" s="101"/>
    </row>
    <row r="690" spans="2:15" ht="30" customHeight="1" x14ac:dyDescent="0.3">
      <c r="B690" s="95" t="s">
        <v>44</v>
      </c>
      <c r="C690" s="96"/>
      <c r="D690" s="96"/>
      <c r="E690" s="96"/>
      <c r="F690" s="96"/>
      <c r="G690" s="96"/>
      <c r="H690" s="96"/>
      <c r="I690" s="96"/>
      <c r="J690" s="570"/>
      <c r="K690" s="570"/>
      <c r="L690" s="570"/>
      <c r="M690" s="101"/>
    </row>
    <row r="691" spans="2:15" ht="37.5" customHeight="1" x14ac:dyDescent="0.3">
      <c r="B691" s="95" t="s">
        <v>64</v>
      </c>
      <c r="C691" s="602">
        <f>C654</f>
        <v>0</v>
      </c>
      <c r="D691" s="602"/>
      <c r="E691" s="602"/>
      <c r="F691" s="602"/>
      <c r="G691" s="96"/>
      <c r="H691" s="96"/>
      <c r="I691" s="99" t="s">
        <v>104</v>
      </c>
      <c r="J691" s="571">
        <f>+'PB '!C7</f>
        <v>0</v>
      </c>
      <c r="K691" s="571"/>
      <c r="L691" s="571"/>
      <c r="M691" s="572"/>
    </row>
    <row r="692" spans="2:15" ht="30" customHeight="1" thickBot="1" x14ac:dyDescent="0.35">
      <c r="B692" s="129"/>
      <c r="C692" s="130"/>
      <c r="D692" s="130"/>
      <c r="E692" s="130"/>
      <c r="F692" s="130"/>
      <c r="G692" s="130"/>
      <c r="H692" s="130"/>
      <c r="I692" s="130"/>
      <c r="J692" s="131"/>
      <c r="K692" s="132"/>
      <c r="L692" s="132"/>
      <c r="M692" s="133"/>
    </row>
    <row r="693" spans="2:15" ht="30" customHeight="1" x14ac:dyDescent="0.35">
      <c r="B693" s="135"/>
      <c r="C693" s="135"/>
      <c r="D693" s="135"/>
      <c r="E693" s="135"/>
      <c r="F693" s="135"/>
      <c r="G693" s="135"/>
      <c r="H693" s="135"/>
      <c r="I693" s="135"/>
      <c r="J693" s="135"/>
      <c r="K693" s="135"/>
      <c r="L693" s="135"/>
      <c r="M693" s="135"/>
    </row>
    <row r="694" spans="2:15" ht="30" customHeight="1" x14ac:dyDescent="0.35">
      <c r="B694" s="135"/>
      <c r="C694" s="135"/>
      <c r="D694" s="135"/>
      <c r="E694" s="135"/>
      <c r="F694" s="135"/>
      <c r="G694" s="135"/>
      <c r="H694" s="135"/>
      <c r="I694" s="135"/>
      <c r="J694" s="135"/>
      <c r="K694" s="135"/>
      <c r="L694" s="135"/>
      <c r="M694" s="135"/>
    </row>
    <row r="695" spans="2:15" ht="30" customHeight="1" x14ac:dyDescent="0.35">
      <c r="B695" s="135"/>
      <c r="C695" s="135"/>
      <c r="D695" s="135"/>
      <c r="E695" s="135"/>
      <c r="F695" s="135"/>
      <c r="G695" s="135"/>
      <c r="H695" s="135"/>
      <c r="I695" s="135"/>
      <c r="J695" s="135"/>
      <c r="K695" s="135"/>
      <c r="L695" s="135"/>
      <c r="M695" s="135"/>
    </row>
    <row r="696" spans="2:15" ht="30" customHeight="1" thickBot="1" x14ac:dyDescent="0.4">
      <c r="B696" s="135"/>
      <c r="C696" s="135"/>
      <c r="D696" s="135"/>
      <c r="E696" s="135"/>
      <c r="F696" s="135"/>
      <c r="G696" s="135"/>
      <c r="H696" s="135"/>
      <c r="I696" s="135"/>
      <c r="J696" s="135"/>
      <c r="K696" s="135"/>
      <c r="L696" s="135"/>
      <c r="M696" s="135"/>
    </row>
    <row r="697" spans="2:15" ht="30" customHeight="1" x14ac:dyDescent="0.3">
      <c r="B697" s="584"/>
      <c r="C697" s="585"/>
      <c r="D697" s="585"/>
      <c r="E697" s="585"/>
      <c r="F697" s="585"/>
      <c r="G697" s="585"/>
      <c r="H697" s="585"/>
      <c r="I697" s="585"/>
      <c r="J697" s="585"/>
      <c r="K697" s="585"/>
      <c r="L697" s="585"/>
      <c r="M697" s="586"/>
    </row>
    <row r="698" spans="2:15" ht="30" customHeight="1" x14ac:dyDescent="0.3">
      <c r="B698" s="587" t="s">
        <v>62</v>
      </c>
      <c r="C698" s="588"/>
      <c r="D698" s="588"/>
      <c r="E698" s="588"/>
      <c r="F698" s="588"/>
      <c r="G698" s="588"/>
      <c r="H698" s="588"/>
      <c r="I698" s="588"/>
      <c r="J698" s="588"/>
      <c r="K698" s="588"/>
      <c r="L698" s="588"/>
      <c r="M698" s="589"/>
      <c r="O698">
        <v>18</v>
      </c>
    </row>
    <row r="699" spans="2:15" ht="30" customHeight="1" x14ac:dyDescent="0.3">
      <c r="B699" s="95" t="s">
        <v>63</v>
      </c>
      <c r="C699" s="570" t="str">
        <f>C652</f>
        <v>Vessel name</v>
      </c>
      <c r="D699" s="570"/>
      <c r="E699" s="570"/>
      <c r="F699" s="96"/>
      <c r="G699" s="570"/>
      <c r="H699" s="570"/>
      <c r="I699" s="570"/>
      <c r="J699" s="96" t="s">
        <v>44</v>
      </c>
      <c r="K699" s="97"/>
      <c r="L699" s="582"/>
      <c r="M699" s="583"/>
    </row>
    <row r="700" spans="2:15" ht="30" customHeight="1" x14ac:dyDescent="0.3">
      <c r="B700" s="98"/>
      <c r="C700" s="96"/>
      <c r="D700" s="96"/>
      <c r="E700" s="99"/>
      <c r="F700" s="100"/>
      <c r="G700" s="100"/>
      <c r="H700" s="100"/>
      <c r="I700" s="96"/>
      <c r="J700" s="96"/>
      <c r="K700" s="97"/>
      <c r="L700" s="97"/>
      <c r="M700" s="101"/>
    </row>
    <row r="701" spans="2:15" ht="30" customHeight="1" x14ac:dyDescent="0.3">
      <c r="B701" s="95" t="s">
        <v>64</v>
      </c>
      <c r="C701" s="570">
        <f>+'PB '!C23</f>
        <v>0</v>
      </c>
      <c r="D701" s="570"/>
      <c r="E701" s="570"/>
      <c r="F701" s="570"/>
      <c r="G701" s="102"/>
      <c r="H701" s="96" t="s">
        <v>21</v>
      </c>
      <c r="I701" s="150" t="str">
        <f>'PB '!D23</f>
        <v>AB 3</v>
      </c>
      <c r="J701" s="136"/>
      <c r="K701" s="96"/>
      <c r="L701" s="582"/>
      <c r="M701" s="583"/>
    </row>
    <row r="702" spans="2:15" ht="30" customHeight="1" x14ac:dyDescent="0.3">
      <c r="B702" s="95"/>
      <c r="C702" s="96"/>
      <c r="D702" s="96"/>
      <c r="E702" s="96"/>
      <c r="F702" s="96"/>
      <c r="G702" s="96" t="s">
        <v>65</v>
      </c>
      <c r="H702" s="96"/>
      <c r="I702" s="96"/>
      <c r="J702" s="96"/>
      <c r="K702" s="96"/>
      <c r="L702" s="96"/>
      <c r="M702" s="101"/>
    </row>
    <row r="703" spans="2:15" ht="30" customHeight="1" x14ac:dyDescent="0.3">
      <c r="B703" s="95"/>
      <c r="C703" s="96"/>
      <c r="D703" s="96"/>
      <c r="E703" s="96"/>
      <c r="F703" s="96"/>
      <c r="G703" s="96" t="s">
        <v>44</v>
      </c>
      <c r="H703" s="96"/>
      <c r="I703" s="96"/>
      <c r="J703" s="96"/>
      <c r="K703" s="96"/>
      <c r="L703" s="96"/>
      <c r="M703" s="101"/>
    </row>
    <row r="704" spans="2:15" ht="30" customHeight="1" x14ac:dyDescent="0.3">
      <c r="B704" s="95"/>
      <c r="C704" s="96"/>
      <c r="D704" s="96"/>
      <c r="E704" s="96"/>
      <c r="F704" s="96"/>
      <c r="G704" s="103" t="s">
        <v>66</v>
      </c>
      <c r="H704" s="104"/>
      <c r="I704" s="103"/>
      <c r="J704" s="103"/>
      <c r="K704" s="96" t="s">
        <v>51</v>
      </c>
      <c r="L704" s="105">
        <f>'PB '!V23</f>
        <v>0</v>
      </c>
      <c r="M704" s="101"/>
    </row>
    <row r="705" spans="2:13" ht="30" customHeight="1" x14ac:dyDescent="0.3">
      <c r="B705" s="95"/>
      <c r="C705" s="96"/>
      <c r="D705" s="96"/>
      <c r="E705" s="96"/>
      <c r="F705" s="96"/>
      <c r="G705" s="96"/>
      <c r="H705" s="96"/>
      <c r="I705" s="96"/>
      <c r="J705" s="96"/>
      <c r="K705" s="96"/>
      <c r="L705" s="96"/>
      <c r="M705" s="101"/>
    </row>
    <row r="706" spans="2:13" ht="30" customHeight="1" x14ac:dyDescent="0.3">
      <c r="B706" s="590" t="s">
        <v>67</v>
      </c>
      <c r="C706" s="591"/>
      <c r="D706" s="592" t="s">
        <v>60</v>
      </c>
      <c r="E706" s="593"/>
      <c r="F706" s="579" t="s">
        <v>61</v>
      </c>
      <c r="G706" s="580"/>
      <c r="H706" s="106" t="s">
        <v>68</v>
      </c>
      <c r="I706" s="107" t="s">
        <v>69</v>
      </c>
      <c r="J706" s="106" t="s">
        <v>51</v>
      </c>
      <c r="K706" s="108"/>
      <c r="L706" s="108"/>
      <c r="M706" s="109"/>
    </row>
    <row r="707" spans="2:13" ht="30" customHeight="1" x14ac:dyDescent="0.3">
      <c r="B707" s="560" t="s">
        <v>70</v>
      </c>
      <c r="C707" s="581"/>
      <c r="D707" s="110">
        <f>'PB '!E23</f>
        <v>1</v>
      </c>
      <c r="E707" s="111">
        <f>'PB '!C1</f>
        <v>0</v>
      </c>
      <c r="F707" s="112">
        <f>'PB '!F23</f>
        <v>31</v>
      </c>
      <c r="G707" s="111">
        <f>E707</f>
        <v>0</v>
      </c>
      <c r="H707" s="113">
        <f>+'PB '!G23</f>
        <v>30</v>
      </c>
      <c r="I707" s="114">
        <v>673</v>
      </c>
      <c r="J707" s="115">
        <f>I707*H707/30</f>
        <v>673</v>
      </c>
      <c r="K707" s="96"/>
      <c r="L707" s="96"/>
      <c r="M707" s="101"/>
    </row>
    <row r="708" spans="2:13" ht="30" customHeight="1" x14ac:dyDescent="0.3">
      <c r="B708" s="560" t="s">
        <v>71</v>
      </c>
      <c r="C708" s="581"/>
      <c r="D708" s="110">
        <f>D707</f>
        <v>1</v>
      </c>
      <c r="E708" s="111">
        <f>E707</f>
        <v>0</v>
      </c>
      <c r="F708" s="112">
        <f>F707</f>
        <v>31</v>
      </c>
      <c r="G708" s="111">
        <f>E707</f>
        <v>0</v>
      </c>
      <c r="H708" s="113">
        <f>H707</f>
        <v>30</v>
      </c>
      <c r="I708" s="114">
        <v>421</v>
      </c>
      <c r="J708" s="115">
        <f>I708*H708/30</f>
        <v>421</v>
      </c>
      <c r="K708" s="96"/>
      <c r="L708" s="96"/>
      <c r="M708" s="101"/>
    </row>
    <row r="709" spans="2:13" ht="30" customHeight="1" x14ac:dyDescent="0.3">
      <c r="B709" s="557" t="s">
        <v>72</v>
      </c>
      <c r="C709" s="558"/>
      <c r="D709" s="110">
        <f>D707</f>
        <v>1</v>
      </c>
      <c r="E709" s="111">
        <f>E707</f>
        <v>0</v>
      </c>
      <c r="F709" s="112">
        <f>F707</f>
        <v>31</v>
      </c>
      <c r="G709" s="111">
        <f>E707</f>
        <v>0</v>
      </c>
      <c r="H709" s="113">
        <f>H707</f>
        <v>30</v>
      </c>
      <c r="I709" s="114">
        <v>88.44</v>
      </c>
      <c r="J709" s="115">
        <f>I709*H709/30</f>
        <v>88.44</v>
      </c>
      <c r="K709" s="96"/>
      <c r="L709" s="96"/>
      <c r="M709" s="101"/>
    </row>
    <row r="710" spans="2:13" ht="30" customHeight="1" x14ac:dyDescent="0.3">
      <c r="B710" s="557" t="s">
        <v>73</v>
      </c>
      <c r="C710" s="558"/>
      <c r="D710" s="110">
        <f>D707</f>
        <v>1</v>
      </c>
      <c r="E710" s="111">
        <f>E707</f>
        <v>0</v>
      </c>
      <c r="F710" s="112">
        <f>F707</f>
        <v>31</v>
      </c>
      <c r="G710" s="111">
        <f>E707</f>
        <v>0</v>
      </c>
      <c r="H710" s="113">
        <f>H707</f>
        <v>30</v>
      </c>
      <c r="I710" s="114">
        <v>217.56</v>
      </c>
      <c r="J710" s="115">
        <f>I710*H710/30</f>
        <v>217.56</v>
      </c>
      <c r="K710" s="96"/>
      <c r="L710" s="96"/>
      <c r="M710" s="101"/>
    </row>
    <row r="711" spans="2:13" ht="30" customHeight="1" x14ac:dyDescent="0.3">
      <c r="B711" s="562" t="s">
        <v>74</v>
      </c>
      <c r="C711" s="563"/>
      <c r="D711" s="110"/>
      <c r="E711" s="111"/>
      <c r="F711" s="112"/>
      <c r="G711" s="111"/>
      <c r="H711" s="118"/>
      <c r="I711" s="114"/>
      <c r="J711" s="115">
        <f>'PB '!L23</f>
        <v>0</v>
      </c>
      <c r="K711" s="96"/>
      <c r="L711" s="96"/>
      <c r="M711" s="101"/>
    </row>
    <row r="712" spans="2:13" ht="30" customHeight="1" x14ac:dyDescent="0.3">
      <c r="B712" s="594" t="s">
        <v>170</v>
      </c>
      <c r="C712" s="595"/>
      <c r="D712" s="117"/>
      <c r="E712" s="111"/>
      <c r="F712" s="117"/>
      <c r="G712" s="111"/>
      <c r="H712" s="118"/>
      <c r="I712" s="114">
        <v>0</v>
      </c>
      <c r="J712" s="115">
        <f>'PB '!O23</f>
        <v>16.600000000000001</v>
      </c>
      <c r="K712" s="96"/>
      <c r="L712" s="96"/>
      <c r="M712" s="101"/>
    </row>
    <row r="713" spans="2:13" ht="30" customHeight="1" x14ac:dyDescent="0.3">
      <c r="B713" s="95"/>
      <c r="C713" s="96"/>
      <c r="D713" s="96"/>
      <c r="E713" s="96"/>
      <c r="F713" s="565" t="s">
        <v>76</v>
      </c>
      <c r="G713" s="565"/>
      <c r="H713" s="565"/>
      <c r="I713" s="566"/>
      <c r="J713" s="119">
        <f>SUM(J707:J712)</f>
        <v>1416.6</v>
      </c>
      <c r="K713" s="120" t="s">
        <v>51</v>
      </c>
      <c r="L713" s="121">
        <f>J713</f>
        <v>1416.6</v>
      </c>
      <c r="M713" s="101"/>
    </row>
    <row r="714" spans="2:13" ht="30" customHeight="1" thickBot="1" x14ac:dyDescent="0.35">
      <c r="B714" s="95"/>
      <c r="C714" s="96"/>
      <c r="D714" s="96"/>
      <c r="E714" s="96"/>
      <c r="F714" s="96"/>
      <c r="G714" s="96"/>
      <c r="H714" s="96"/>
      <c r="I714" s="96"/>
      <c r="J714" s="96"/>
      <c r="K714" s="96"/>
      <c r="L714" s="122">
        <f>L704+L713</f>
        <v>1416.6</v>
      </c>
      <c r="M714" s="101"/>
    </row>
    <row r="715" spans="2:13" ht="30" customHeight="1" x14ac:dyDescent="0.3">
      <c r="B715" s="95"/>
      <c r="C715" s="96"/>
      <c r="D715" s="96"/>
      <c r="E715" s="96"/>
      <c r="F715" s="96"/>
      <c r="G715" s="96"/>
      <c r="H715" s="96"/>
      <c r="I715" s="96"/>
      <c r="J715" s="96"/>
      <c r="K715" s="96"/>
      <c r="L715" s="123"/>
      <c r="M715" s="101"/>
    </row>
    <row r="716" spans="2:13" ht="30" customHeight="1" x14ac:dyDescent="0.3">
      <c r="B716" s="95"/>
      <c r="C716" s="96"/>
      <c r="D716" s="96"/>
      <c r="E716" s="96"/>
      <c r="F716" s="96"/>
      <c r="G716" s="96"/>
      <c r="H716" s="96"/>
      <c r="I716" s="96"/>
      <c r="J716" s="96"/>
      <c r="K716" s="96"/>
      <c r="L716" s="123"/>
      <c r="M716" s="101"/>
    </row>
    <row r="717" spans="2:13" ht="30" customHeight="1" x14ac:dyDescent="0.3">
      <c r="B717" s="557" t="s">
        <v>77</v>
      </c>
      <c r="C717" s="558"/>
      <c r="D717" s="558"/>
      <c r="E717" s="558"/>
      <c r="F717" s="558"/>
      <c r="G717" s="558"/>
      <c r="H717" s="558"/>
      <c r="I717" s="559"/>
      <c r="J717" s="124"/>
      <c r="K717" s="96"/>
      <c r="L717" s="123"/>
      <c r="M717" s="101"/>
    </row>
    <row r="718" spans="2:13" ht="30" customHeight="1" x14ac:dyDescent="0.3">
      <c r="B718" s="560" t="s">
        <v>78</v>
      </c>
      <c r="C718" s="561"/>
      <c r="D718" s="561"/>
      <c r="E718" s="561"/>
      <c r="F718" s="561"/>
      <c r="G718" s="561"/>
      <c r="H718" s="561"/>
      <c r="I718" s="561"/>
      <c r="J718" s="114">
        <f>'PB '!Q23</f>
        <v>100</v>
      </c>
      <c r="K718" s="96"/>
      <c r="L718" s="123"/>
      <c r="M718" s="101"/>
    </row>
    <row r="719" spans="2:13" ht="30" customHeight="1" x14ac:dyDescent="0.3">
      <c r="B719" s="560" t="s">
        <v>79</v>
      </c>
      <c r="C719" s="561"/>
      <c r="D719" s="561"/>
      <c r="E719" s="561"/>
      <c r="F719" s="561"/>
      <c r="G719" s="561"/>
      <c r="H719" s="561"/>
      <c r="I719" s="561"/>
      <c r="J719" s="114">
        <f>'PB '!R23</f>
        <v>1316.6</v>
      </c>
      <c r="K719" s="96"/>
      <c r="L719" s="123"/>
      <c r="M719" s="101"/>
    </row>
    <row r="720" spans="2:13" ht="30" customHeight="1" x14ac:dyDescent="0.3">
      <c r="B720" s="560" t="s">
        <v>80</v>
      </c>
      <c r="C720" s="561"/>
      <c r="D720" s="561"/>
      <c r="E720" s="561"/>
      <c r="F720" s="561"/>
      <c r="G720" s="561"/>
      <c r="H720" s="561"/>
      <c r="I720" s="561"/>
      <c r="J720" s="114">
        <f>'PB '!S23</f>
        <v>0</v>
      </c>
      <c r="K720" s="96"/>
      <c r="L720" s="123"/>
      <c r="M720" s="101"/>
    </row>
    <row r="721" spans="2:13" ht="30" customHeight="1" x14ac:dyDescent="0.3">
      <c r="B721" s="560" t="s">
        <v>81</v>
      </c>
      <c r="C721" s="561"/>
      <c r="D721" s="561"/>
      <c r="E721" s="561"/>
      <c r="F721" s="561"/>
      <c r="G721" s="561"/>
      <c r="H721" s="561"/>
      <c r="I721" s="561"/>
      <c r="J721" s="114">
        <v>0</v>
      </c>
      <c r="K721" s="96"/>
      <c r="L721" s="123"/>
      <c r="M721" s="101"/>
    </row>
    <row r="722" spans="2:13" ht="30" customHeight="1" x14ac:dyDescent="0.3">
      <c r="B722" s="557" t="s">
        <v>107</v>
      </c>
      <c r="C722" s="558"/>
      <c r="D722" s="558"/>
      <c r="E722" s="558"/>
      <c r="F722" s="558"/>
      <c r="G722" s="558"/>
      <c r="H722" s="558"/>
      <c r="I722" s="559"/>
      <c r="J722" s="114">
        <f>'PB '!T23</f>
        <v>0</v>
      </c>
      <c r="K722" s="96"/>
      <c r="L722" s="123"/>
      <c r="M722" s="101"/>
    </row>
    <row r="723" spans="2:13" ht="30" customHeight="1" thickBot="1" x14ac:dyDescent="0.35">
      <c r="B723" s="560" t="s">
        <v>119</v>
      </c>
      <c r="C723" s="561"/>
      <c r="D723" s="561"/>
      <c r="E723" s="561"/>
      <c r="F723" s="561"/>
      <c r="G723" s="561"/>
      <c r="H723" s="561"/>
      <c r="I723" s="561"/>
      <c r="J723" s="114">
        <v>0</v>
      </c>
      <c r="K723" s="96"/>
      <c r="L723" s="123"/>
      <c r="M723" s="101"/>
    </row>
    <row r="724" spans="2:13" ht="30" customHeight="1" thickBot="1" x14ac:dyDescent="0.35">
      <c r="B724" s="95"/>
      <c r="C724" s="96"/>
      <c r="D724" s="96"/>
      <c r="E724" s="96"/>
      <c r="F724" s="573" t="s">
        <v>83</v>
      </c>
      <c r="G724" s="574"/>
      <c r="H724" s="574"/>
      <c r="I724" s="575"/>
      <c r="J724" s="114">
        <f>SUM(J718:J723)</f>
        <v>1416.6</v>
      </c>
      <c r="K724" s="96" t="s">
        <v>51</v>
      </c>
      <c r="L724" s="125">
        <f>J724</f>
        <v>1416.6</v>
      </c>
      <c r="M724" s="101"/>
    </row>
    <row r="725" spans="2:13" ht="30" customHeight="1" x14ac:dyDescent="0.3">
      <c r="B725" s="95"/>
      <c r="C725" s="96"/>
      <c r="D725" s="96"/>
      <c r="E725" s="96"/>
      <c r="F725" s="96"/>
      <c r="G725" s="96"/>
      <c r="H725" s="96"/>
      <c r="I725" s="96"/>
      <c r="J725" s="96"/>
      <c r="K725" s="96"/>
      <c r="L725" s="123"/>
      <c r="M725" s="101"/>
    </row>
    <row r="726" spans="2:13" ht="30" customHeight="1" x14ac:dyDescent="0.3">
      <c r="B726" s="95"/>
      <c r="C726" s="96"/>
      <c r="D726" s="96"/>
      <c r="E726" s="96"/>
      <c r="F726" s="96"/>
      <c r="G726" s="96"/>
      <c r="H726" s="96"/>
      <c r="I726" s="96"/>
      <c r="J726" s="96"/>
      <c r="K726" s="96"/>
      <c r="L726" s="123"/>
      <c r="M726" s="101"/>
    </row>
    <row r="727" spans="2:13" ht="30" customHeight="1" thickBot="1" x14ac:dyDescent="0.35">
      <c r="B727" s="95"/>
      <c r="C727" s="96"/>
      <c r="D727" s="96"/>
      <c r="E727" s="96"/>
      <c r="F727" s="112" t="s">
        <v>84</v>
      </c>
      <c r="G727" s="112"/>
      <c r="H727" s="112"/>
      <c r="I727" s="112"/>
      <c r="J727" s="112"/>
      <c r="K727" s="96" t="s">
        <v>51</v>
      </c>
      <c r="L727" s="126">
        <f>L714-L724</f>
        <v>0</v>
      </c>
      <c r="M727" s="101"/>
    </row>
    <row r="728" spans="2:13" ht="30" customHeight="1" x14ac:dyDescent="0.3">
      <c r="B728" s="127"/>
      <c r="C728" s="96"/>
      <c r="D728" s="96"/>
      <c r="E728" s="96"/>
      <c r="F728" s="96"/>
      <c r="G728" s="96"/>
      <c r="H728" s="96"/>
      <c r="I728" s="96" t="s">
        <v>44</v>
      </c>
      <c r="J728" s="96" t="s">
        <v>44</v>
      </c>
      <c r="K728" s="96" t="s">
        <v>44</v>
      </c>
      <c r="L728" s="123" t="s">
        <v>44</v>
      </c>
      <c r="M728" s="101"/>
    </row>
    <row r="729" spans="2:13" ht="30" customHeight="1" x14ac:dyDescent="0.3">
      <c r="B729" s="127"/>
      <c r="C729" s="96"/>
      <c r="D729" s="96"/>
      <c r="E729" s="96"/>
      <c r="F729" s="96"/>
      <c r="G729" s="96"/>
      <c r="H729" s="96"/>
      <c r="I729" s="96"/>
      <c r="J729" s="96"/>
      <c r="K729" s="96"/>
      <c r="L729" s="123"/>
      <c r="M729" s="101"/>
    </row>
    <row r="730" spans="2:13" ht="30" customHeight="1" x14ac:dyDescent="0.3">
      <c r="B730" s="127"/>
      <c r="C730" s="96"/>
      <c r="D730" s="96"/>
      <c r="E730" s="96"/>
      <c r="F730" s="96"/>
      <c r="G730" s="96"/>
      <c r="H730" s="96"/>
      <c r="I730" s="96"/>
      <c r="J730" s="96"/>
      <c r="K730" s="96"/>
      <c r="L730" s="123"/>
      <c r="M730" s="101"/>
    </row>
    <row r="731" spans="2:13" ht="30" customHeight="1" x14ac:dyDescent="0.25">
      <c r="B731" s="576" t="s">
        <v>85</v>
      </c>
      <c r="C731" s="577"/>
      <c r="D731" s="577"/>
      <c r="E731" s="577"/>
      <c r="F731" s="577"/>
      <c r="G731" s="577"/>
      <c r="H731" s="577"/>
      <c r="I731" s="577"/>
      <c r="J731" s="577"/>
      <c r="K731" s="577"/>
      <c r="L731" s="577"/>
      <c r="M731" s="578"/>
    </row>
    <row r="732" spans="2:13" ht="30" customHeight="1" x14ac:dyDescent="0.25">
      <c r="B732" s="576" t="s">
        <v>86</v>
      </c>
      <c r="C732" s="577"/>
      <c r="D732" s="577"/>
      <c r="E732" s="577"/>
      <c r="F732" s="577"/>
      <c r="G732" s="577"/>
      <c r="H732" s="577"/>
      <c r="I732" s="577"/>
      <c r="J732" s="577"/>
      <c r="K732" s="577"/>
      <c r="L732" s="577"/>
      <c r="M732" s="578"/>
    </row>
    <row r="733" spans="2:13" ht="30" customHeight="1" x14ac:dyDescent="0.3">
      <c r="B733" s="95"/>
      <c r="C733" s="96"/>
      <c r="D733" s="96"/>
      <c r="E733" s="96"/>
      <c r="F733" s="96"/>
      <c r="G733" s="96"/>
      <c r="H733" s="96"/>
      <c r="I733" s="96"/>
      <c r="J733" s="96"/>
      <c r="K733" s="96"/>
      <c r="L733" s="96"/>
      <c r="M733" s="101"/>
    </row>
    <row r="734" spans="2:13" ht="30" customHeight="1" x14ac:dyDescent="0.3">
      <c r="B734" s="95"/>
      <c r="C734" s="96"/>
      <c r="D734" s="96"/>
      <c r="E734" s="96"/>
      <c r="F734" s="96"/>
      <c r="G734" s="96"/>
      <c r="H734" s="96"/>
      <c r="I734" s="96"/>
      <c r="J734" s="96"/>
      <c r="K734" s="96"/>
      <c r="L734" s="96"/>
      <c r="M734" s="101"/>
    </row>
    <row r="735" spans="2:13" ht="30" customHeight="1" x14ac:dyDescent="0.3">
      <c r="B735" s="567"/>
      <c r="C735" s="568"/>
      <c r="D735" s="568"/>
      <c r="E735" s="96"/>
      <c r="F735" s="96"/>
      <c r="G735" s="96"/>
      <c r="H735" s="96"/>
      <c r="I735" s="96"/>
      <c r="J735" s="568"/>
      <c r="K735" s="568"/>
      <c r="L735" s="568"/>
      <c r="M735" s="101"/>
    </row>
    <row r="736" spans="2:13" ht="30" customHeight="1" x14ac:dyDescent="0.3">
      <c r="B736" s="569" t="s">
        <v>87</v>
      </c>
      <c r="C736" s="570"/>
      <c r="D736" s="570"/>
      <c r="E736" s="96"/>
      <c r="F736" s="96"/>
      <c r="G736" s="96"/>
      <c r="H736" s="96"/>
      <c r="I736" s="128" t="s">
        <v>88</v>
      </c>
      <c r="J736" s="128"/>
      <c r="K736" s="128"/>
      <c r="L736" s="102"/>
      <c r="M736" s="101"/>
    </row>
    <row r="737" spans="2:15" ht="30" customHeight="1" x14ac:dyDescent="0.3">
      <c r="B737" s="95" t="s">
        <v>44</v>
      </c>
      <c r="C737" s="96"/>
      <c r="D737" s="96"/>
      <c r="E737" s="96"/>
      <c r="F737" s="96"/>
      <c r="G737" s="96"/>
      <c r="H737" s="96"/>
      <c r="I737" s="96"/>
      <c r="J737" s="570"/>
      <c r="K737" s="570"/>
      <c r="L737" s="570"/>
      <c r="M737" s="101"/>
    </row>
    <row r="738" spans="2:15" ht="30" customHeight="1" x14ac:dyDescent="0.3">
      <c r="B738" s="95" t="s">
        <v>64</v>
      </c>
      <c r="C738" s="570">
        <f>C701</f>
        <v>0</v>
      </c>
      <c r="D738" s="570"/>
      <c r="E738" s="570"/>
      <c r="F738" s="96"/>
      <c r="G738" s="96"/>
      <c r="H738" s="96"/>
      <c r="I738" s="99" t="s">
        <v>104</v>
      </c>
      <c r="J738" s="571">
        <f>+'PB '!C7</f>
        <v>0</v>
      </c>
      <c r="K738" s="571"/>
      <c r="L738" s="571"/>
      <c r="M738" s="572"/>
    </row>
    <row r="739" spans="2:15" ht="30" customHeight="1" thickBot="1" x14ac:dyDescent="0.35">
      <c r="B739" s="129"/>
      <c r="C739" s="130"/>
      <c r="D739" s="130"/>
      <c r="E739" s="130"/>
      <c r="F739" s="130"/>
      <c r="G739" s="130"/>
      <c r="H739" s="130"/>
      <c r="I739" s="130"/>
      <c r="J739" s="131"/>
      <c r="K739" s="132"/>
      <c r="L739" s="132"/>
      <c r="M739" s="133"/>
    </row>
    <row r="740" spans="2:15" ht="30" customHeight="1" x14ac:dyDescent="0.35">
      <c r="B740" s="135"/>
      <c r="C740" s="135"/>
      <c r="D740" s="135"/>
      <c r="E740" s="135"/>
      <c r="F740" s="135"/>
      <c r="G740" s="135"/>
      <c r="H740" s="135"/>
      <c r="I740" s="135"/>
      <c r="J740" s="135"/>
      <c r="K740" s="135"/>
      <c r="L740" s="135"/>
      <c r="M740" s="135"/>
    </row>
    <row r="741" spans="2:15" ht="30" customHeight="1" x14ac:dyDescent="0.35">
      <c r="B741" s="135"/>
      <c r="C741" s="135"/>
      <c r="D741" s="135"/>
      <c r="E741" s="135"/>
      <c r="F741" s="135"/>
      <c r="G741" s="135"/>
      <c r="H741" s="135"/>
      <c r="I741" s="135"/>
      <c r="J741" s="135"/>
      <c r="K741" s="135"/>
      <c r="L741" s="135"/>
      <c r="M741" s="135"/>
    </row>
    <row r="742" spans="2:15" ht="30" customHeight="1" x14ac:dyDescent="0.35">
      <c r="B742" s="135"/>
      <c r="C742" s="135"/>
      <c r="D742" s="135"/>
      <c r="E742" s="135"/>
      <c r="F742" s="135"/>
      <c r="G742" s="135"/>
      <c r="H742" s="135"/>
      <c r="I742" s="135"/>
      <c r="J742" s="135"/>
      <c r="K742" s="135"/>
      <c r="L742" s="135"/>
      <c r="M742" s="135"/>
    </row>
    <row r="743" spans="2:15" ht="30" customHeight="1" x14ac:dyDescent="0.35">
      <c r="B743" s="135"/>
      <c r="C743" s="135"/>
      <c r="D743" s="135"/>
      <c r="E743" s="135"/>
      <c r="F743" s="135"/>
      <c r="G743" s="135"/>
      <c r="H743" s="135"/>
      <c r="I743" s="135"/>
      <c r="J743" s="135"/>
      <c r="K743" s="135"/>
      <c r="L743" s="135"/>
      <c r="M743" s="135"/>
    </row>
    <row r="744" spans="2:15" ht="30" customHeight="1" thickBot="1" x14ac:dyDescent="0.4">
      <c r="B744" s="135"/>
      <c r="C744" s="135"/>
      <c r="D744" s="135"/>
      <c r="E744" s="135"/>
      <c r="F744" s="135"/>
      <c r="G744" s="135"/>
      <c r="H744" s="135"/>
      <c r="I744" s="135"/>
      <c r="J744" s="135"/>
      <c r="K744" s="135"/>
      <c r="L744" s="135"/>
      <c r="M744" s="135"/>
      <c r="O744">
        <v>20</v>
      </c>
    </row>
    <row r="745" spans="2:15" ht="30" customHeight="1" x14ac:dyDescent="0.3">
      <c r="B745" s="584"/>
      <c r="C745" s="600"/>
      <c r="D745" s="600"/>
      <c r="E745" s="600"/>
      <c r="F745" s="600"/>
      <c r="G745" s="600"/>
      <c r="H745" s="600"/>
      <c r="I745" s="600"/>
      <c r="J745" s="600"/>
      <c r="K745" s="600"/>
      <c r="L745" s="600"/>
      <c r="M745" s="601"/>
    </row>
    <row r="746" spans="2:15" ht="30" customHeight="1" x14ac:dyDescent="0.3">
      <c r="B746" s="587" t="s">
        <v>62</v>
      </c>
      <c r="C746" s="598"/>
      <c r="D746" s="598"/>
      <c r="E746" s="598"/>
      <c r="F746" s="598"/>
      <c r="G746" s="598"/>
      <c r="H746" s="598"/>
      <c r="I746" s="598"/>
      <c r="J746" s="598"/>
      <c r="K746" s="598"/>
      <c r="L746" s="598"/>
      <c r="M746" s="599"/>
    </row>
    <row r="747" spans="2:15" ht="30" customHeight="1" x14ac:dyDescent="0.3">
      <c r="B747" s="95" t="s">
        <v>63</v>
      </c>
      <c r="C747" s="570" t="str">
        <f>C699</f>
        <v>Vessel name</v>
      </c>
      <c r="D747" s="570"/>
      <c r="E747" s="570"/>
      <c r="F747" s="96"/>
      <c r="G747" s="570"/>
      <c r="H747" s="570"/>
      <c r="I747" s="570"/>
      <c r="J747" s="96" t="s">
        <v>44</v>
      </c>
      <c r="K747" s="97"/>
      <c r="L747" s="582"/>
      <c r="M747" s="583"/>
    </row>
    <row r="748" spans="2:15" ht="30" customHeight="1" x14ac:dyDescent="0.3">
      <c r="B748" s="98"/>
      <c r="C748" s="96"/>
      <c r="D748" s="96"/>
      <c r="E748" s="99"/>
      <c r="F748" s="100"/>
      <c r="G748" s="100"/>
      <c r="H748" s="100"/>
      <c r="I748" s="96"/>
      <c r="J748" s="96"/>
      <c r="K748" s="97"/>
      <c r="L748" s="97"/>
      <c r="M748" s="101"/>
    </row>
    <row r="749" spans="2:15" ht="30" customHeight="1" x14ac:dyDescent="0.3">
      <c r="B749" s="95" t="s">
        <v>64</v>
      </c>
      <c r="C749" s="570">
        <f>'PB '!C24</f>
        <v>0</v>
      </c>
      <c r="D749" s="570"/>
      <c r="E749" s="570"/>
      <c r="F749" s="570"/>
      <c r="G749" s="102"/>
      <c r="H749" s="96" t="s">
        <v>21</v>
      </c>
      <c r="I749" s="151" t="str">
        <f>'PB '!D24</f>
        <v>OS 1</v>
      </c>
      <c r="J749" s="136"/>
      <c r="K749" s="96"/>
      <c r="L749" s="582"/>
      <c r="M749" s="583"/>
    </row>
    <row r="750" spans="2:15" ht="30" customHeight="1" x14ac:dyDescent="0.3">
      <c r="B750" s="95"/>
      <c r="C750" s="96"/>
      <c r="D750" s="96"/>
      <c r="E750" s="96"/>
      <c r="F750" s="96"/>
      <c r="G750" s="96" t="s">
        <v>65</v>
      </c>
      <c r="H750" s="96"/>
      <c r="I750" s="96"/>
      <c r="J750" s="96"/>
      <c r="K750" s="96"/>
      <c r="L750" s="96"/>
      <c r="M750" s="101"/>
    </row>
    <row r="751" spans="2:15" ht="30" customHeight="1" x14ac:dyDescent="0.3">
      <c r="B751" s="95"/>
      <c r="C751" s="96"/>
      <c r="D751" s="96"/>
      <c r="E751" s="96"/>
      <c r="F751" s="96"/>
      <c r="G751" s="96" t="s">
        <v>44</v>
      </c>
      <c r="H751" s="96"/>
      <c r="I751" s="96"/>
      <c r="J751" s="96"/>
      <c r="K751" s="96"/>
      <c r="L751" s="96"/>
      <c r="M751" s="101"/>
    </row>
    <row r="752" spans="2:15" ht="30" customHeight="1" x14ac:dyDescent="0.3">
      <c r="B752" s="95"/>
      <c r="C752" s="96"/>
      <c r="D752" s="96"/>
      <c r="E752" s="96"/>
      <c r="F752" s="96"/>
      <c r="G752" s="103" t="s">
        <v>66</v>
      </c>
      <c r="H752" s="104"/>
      <c r="I752" s="103"/>
      <c r="J752" s="103"/>
      <c r="K752" s="96" t="s">
        <v>51</v>
      </c>
      <c r="L752" s="105">
        <f>'PB '!V24</f>
        <v>0</v>
      </c>
      <c r="M752" s="101"/>
    </row>
    <row r="753" spans="2:13" ht="30" customHeight="1" x14ac:dyDescent="0.3">
      <c r="B753" s="95"/>
      <c r="C753" s="96"/>
      <c r="D753" s="96"/>
      <c r="E753" s="96"/>
      <c r="F753" s="96"/>
      <c r="G753" s="96"/>
      <c r="H753" s="96"/>
      <c r="I753" s="96"/>
      <c r="J753" s="96"/>
      <c r="K753" s="96"/>
      <c r="L753" s="96"/>
      <c r="M753" s="101"/>
    </row>
    <row r="754" spans="2:13" ht="30" customHeight="1" x14ac:dyDescent="0.3">
      <c r="B754" s="616" t="s">
        <v>67</v>
      </c>
      <c r="C754" s="593"/>
      <c r="D754" s="592" t="s">
        <v>60</v>
      </c>
      <c r="E754" s="593"/>
      <c r="F754" s="579" t="s">
        <v>61</v>
      </c>
      <c r="G754" s="580"/>
      <c r="H754" s="106" t="s">
        <v>68</v>
      </c>
      <c r="I754" s="107" t="s">
        <v>69</v>
      </c>
      <c r="J754" s="106" t="s">
        <v>51</v>
      </c>
      <c r="K754" s="108"/>
      <c r="L754" s="108"/>
      <c r="M754" s="109"/>
    </row>
    <row r="755" spans="2:13" ht="30" customHeight="1" x14ac:dyDescent="0.3">
      <c r="B755" s="557" t="s">
        <v>70</v>
      </c>
      <c r="C755" s="559"/>
      <c r="D755" s="110">
        <f>'PB '!E24</f>
        <v>1</v>
      </c>
      <c r="E755" s="111">
        <f>'PB '!C1</f>
        <v>0</v>
      </c>
      <c r="F755" s="112">
        <f>'PB '!F24</f>
        <v>31</v>
      </c>
      <c r="G755" s="111">
        <f>E755</f>
        <v>0</v>
      </c>
      <c r="H755" s="113">
        <f>'PB '!G24</f>
        <v>30</v>
      </c>
      <c r="I755" s="114">
        <v>285</v>
      </c>
      <c r="J755" s="115">
        <f>I755*H755/30</f>
        <v>285</v>
      </c>
      <c r="K755" s="96"/>
      <c r="L755" s="96"/>
      <c r="M755" s="101"/>
    </row>
    <row r="756" spans="2:13" ht="30" customHeight="1" x14ac:dyDescent="0.3">
      <c r="B756" s="557" t="s">
        <v>71</v>
      </c>
      <c r="C756" s="559"/>
      <c r="D756" s="110">
        <f>D755</f>
        <v>1</v>
      </c>
      <c r="E756" s="111">
        <f>E755</f>
        <v>0</v>
      </c>
      <c r="F756" s="112">
        <f>F755</f>
        <v>31</v>
      </c>
      <c r="G756" s="111">
        <f>E755</f>
        <v>0</v>
      </c>
      <c r="H756" s="113">
        <f>H755</f>
        <v>30</v>
      </c>
      <c r="I756" s="114">
        <v>178</v>
      </c>
      <c r="J756" s="115">
        <f>I756*H756/30</f>
        <v>178</v>
      </c>
      <c r="K756" s="96"/>
      <c r="L756" s="96"/>
      <c r="M756" s="101"/>
    </row>
    <row r="757" spans="2:13" ht="30" customHeight="1" x14ac:dyDescent="0.3">
      <c r="B757" s="557" t="s">
        <v>72</v>
      </c>
      <c r="C757" s="559"/>
      <c r="D757" s="110">
        <f>D755</f>
        <v>1</v>
      </c>
      <c r="E757" s="111">
        <f>E755</f>
        <v>0</v>
      </c>
      <c r="F757" s="112">
        <f>F755</f>
        <v>31</v>
      </c>
      <c r="G757" s="111">
        <f>E755</f>
        <v>0</v>
      </c>
      <c r="H757" s="113">
        <f>H755</f>
        <v>30</v>
      </c>
      <c r="I757" s="114">
        <v>24</v>
      </c>
      <c r="J757" s="115">
        <f>I757*H757/30</f>
        <v>24</v>
      </c>
      <c r="K757" s="96"/>
      <c r="L757" s="96"/>
      <c r="M757" s="101"/>
    </row>
    <row r="758" spans="2:13" ht="30" customHeight="1" x14ac:dyDescent="0.3">
      <c r="B758" s="557" t="s">
        <v>73</v>
      </c>
      <c r="C758" s="559"/>
      <c r="D758" s="110">
        <f>D755</f>
        <v>1</v>
      </c>
      <c r="E758" s="111">
        <f>E755</f>
        <v>0</v>
      </c>
      <c r="F758" s="112">
        <f>F755</f>
        <v>31</v>
      </c>
      <c r="G758" s="111">
        <f>E755</f>
        <v>0</v>
      </c>
      <c r="H758" s="113">
        <f>H755</f>
        <v>30</v>
      </c>
      <c r="I758" s="114">
        <v>14</v>
      </c>
      <c r="J758" s="115">
        <f>I758*H758/30</f>
        <v>14</v>
      </c>
      <c r="K758" s="96"/>
      <c r="L758" s="96"/>
      <c r="M758" s="101"/>
    </row>
    <row r="759" spans="2:13" ht="30" customHeight="1" x14ac:dyDescent="0.3">
      <c r="B759" s="562" t="s">
        <v>74</v>
      </c>
      <c r="C759" s="563"/>
      <c r="D759" s="110"/>
      <c r="E759" s="111"/>
      <c r="F759" s="112"/>
      <c r="G759" s="111"/>
      <c r="H759" s="118"/>
      <c r="I759" s="114"/>
      <c r="J759" s="115">
        <f>'PB '!L24</f>
        <v>0</v>
      </c>
      <c r="K759" s="96"/>
      <c r="L759" s="96"/>
      <c r="M759" s="101"/>
    </row>
    <row r="760" spans="2:13" ht="30" customHeight="1" x14ac:dyDescent="0.3">
      <c r="B760" s="594" t="s">
        <v>170</v>
      </c>
      <c r="C760" s="595"/>
      <c r="D760" s="117"/>
      <c r="E760" s="111"/>
      <c r="F760" s="117"/>
      <c r="G760" s="111"/>
      <c r="H760" s="118"/>
      <c r="I760" s="114"/>
      <c r="J760" s="114">
        <f>'PB '!O24</f>
        <v>16.8</v>
      </c>
      <c r="K760" s="96"/>
      <c r="L760" s="96"/>
      <c r="M760" s="101"/>
    </row>
    <row r="761" spans="2:13" ht="30" customHeight="1" x14ac:dyDescent="0.3">
      <c r="B761" s="95"/>
      <c r="C761" s="96"/>
      <c r="D761" s="96"/>
      <c r="E761" s="96"/>
      <c r="F761" s="565" t="s">
        <v>76</v>
      </c>
      <c r="G761" s="565"/>
      <c r="H761" s="565"/>
      <c r="I761" s="566"/>
      <c r="J761" s="119">
        <f>SUM(J755:J760)</f>
        <v>517.79999999999995</v>
      </c>
      <c r="K761" s="120" t="s">
        <v>51</v>
      </c>
      <c r="L761" s="121">
        <f>J761</f>
        <v>517.79999999999995</v>
      </c>
      <c r="M761" s="101"/>
    </row>
    <row r="762" spans="2:13" ht="30" customHeight="1" thickBot="1" x14ac:dyDescent="0.35">
      <c r="B762" s="95"/>
      <c r="C762" s="96"/>
      <c r="D762" s="96"/>
      <c r="E762" s="96"/>
      <c r="F762" s="96"/>
      <c r="G762" s="96"/>
      <c r="H762" s="96"/>
      <c r="I762" s="96"/>
      <c r="J762" s="96"/>
      <c r="K762" s="96"/>
      <c r="L762" s="122">
        <f>L752+L761</f>
        <v>517.79999999999995</v>
      </c>
      <c r="M762" s="101"/>
    </row>
    <row r="763" spans="2:13" ht="30" customHeight="1" x14ac:dyDescent="0.3">
      <c r="B763" s="95"/>
      <c r="C763" s="96"/>
      <c r="D763" s="96"/>
      <c r="E763" s="96"/>
      <c r="F763" s="96"/>
      <c r="G763" s="96"/>
      <c r="H763" s="96"/>
      <c r="I763" s="96"/>
      <c r="J763" s="96"/>
      <c r="K763" s="96"/>
      <c r="L763" s="123"/>
      <c r="M763" s="101"/>
    </row>
    <row r="764" spans="2:13" ht="30" customHeight="1" x14ac:dyDescent="0.3">
      <c r="B764" s="95"/>
      <c r="C764" s="96"/>
      <c r="D764" s="96"/>
      <c r="E764" s="96"/>
      <c r="F764" s="96"/>
      <c r="G764" s="96"/>
      <c r="H764" s="96"/>
      <c r="I764" s="96"/>
      <c r="J764" s="96"/>
      <c r="K764" s="96"/>
      <c r="L764" s="123"/>
      <c r="M764" s="101"/>
    </row>
    <row r="765" spans="2:13" ht="30" customHeight="1" x14ac:dyDescent="0.3">
      <c r="B765" s="557" t="s">
        <v>77</v>
      </c>
      <c r="C765" s="558"/>
      <c r="D765" s="558"/>
      <c r="E765" s="558"/>
      <c r="F765" s="558"/>
      <c r="G765" s="558"/>
      <c r="H765" s="558"/>
      <c r="I765" s="559"/>
      <c r="J765" s="124"/>
      <c r="K765" s="96"/>
      <c r="L765" s="123"/>
      <c r="M765" s="101"/>
    </row>
    <row r="766" spans="2:13" ht="30" customHeight="1" x14ac:dyDescent="0.3">
      <c r="B766" s="557" t="s">
        <v>78</v>
      </c>
      <c r="C766" s="558"/>
      <c r="D766" s="558"/>
      <c r="E766" s="558"/>
      <c r="F766" s="558"/>
      <c r="G766" s="558"/>
      <c r="H766" s="558"/>
      <c r="I766" s="559"/>
      <c r="J766" s="114">
        <f>'PB '!Q24</f>
        <v>0</v>
      </c>
      <c r="K766" s="96"/>
      <c r="L766" s="123"/>
      <c r="M766" s="101"/>
    </row>
    <row r="767" spans="2:13" ht="30" customHeight="1" x14ac:dyDescent="0.3">
      <c r="B767" s="557" t="s">
        <v>79</v>
      </c>
      <c r="C767" s="558"/>
      <c r="D767" s="558"/>
      <c r="E767" s="558"/>
      <c r="F767" s="558"/>
      <c r="G767" s="558"/>
      <c r="H767" s="558"/>
      <c r="I767" s="559"/>
      <c r="J767" s="114">
        <f>'PB '!R24</f>
        <v>517.79999999999995</v>
      </c>
      <c r="K767" s="96"/>
      <c r="L767" s="123"/>
      <c r="M767" s="101"/>
    </row>
    <row r="768" spans="2:13" ht="30" customHeight="1" x14ac:dyDescent="0.3">
      <c r="B768" s="557" t="s">
        <v>80</v>
      </c>
      <c r="C768" s="558"/>
      <c r="D768" s="558"/>
      <c r="E768" s="558"/>
      <c r="F768" s="558"/>
      <c r="G768" s="558"/>
      <c r="H768" s="558"/>
      <c r="I768" s="559"/>
      <c r="J768" s="114">
        <f>'PB '!S24</f>
        <v>0</v>
      </c>
      <c r="K768" s="96"/>
      <c r="L768" s="123"/>
      <c r="M768" s="101"/>
    </row>
    <row r="769" spans="2:13" ht="30" customHeight="1" x14ac:dyDescent="0.3">
      <c r="B769" s="557" t="s">
        <v>81</v>
      </c>
      <c r="C769" s="558"/>
      <c r="D769" s="558"/>
      <c r="E769" s="558"/>
      <c r="F769" s="558"/>
      <c r="G769" s="558"/>
      <c r="H769" s="558"/>
      <c r="I769" s="559"/>
      <c r="J769" s="114">
        <v>0</v>
      </c>
      <c r="K769" s="96"/>
      <c r="L769" s="123"/>
      <c r="M769" s="101"/>
    </row>
    <row r="770" spans="2:13" ht="30" customHeight="1" x14ac:dyDescent="0.3">
      <c r="B770" s="557" t="s">
        <v>82</v>
      </c>
      <c r="C770" s="558"/>
      <c r="D770" s="558"/>
      <c r="E770" s="558"/>
      <c r="F770" s="558"/>
      <c r="G770" s="558"/>
      <c r="H770" s="558"/>
      <c r="I770" s="559"/>
      <c r="J770" s="114">
        <f>'PB '!V24</f>
        <v>0</v>
      </c>
      <c r="K770" s="96"/>
      <c r="L770" s="123"/>
      <c r="M770" s="101"/>
    </row>
    <row r="771" spans="2:13" ht="30" customHeight="1" thickBot="1" x14ac:dyDescent="0.35">
      <c r="B771" s="557" t="s">
        <v>119</v>
      </c>
      <c r="C771" s="558"/>
      <c r="D771" s="558"/>
      <c r="E771" s="558"/>
      <c r="F771" s="558"/>
      <c r="G771" s="558"/>
      <c r="H771" s="558"/>
      <c r="I771" s="559"/>
      <c r="J771" s="114">
        <v>0</v>
      </c>
      <c r="K771" s="96"/>
      <c r="L771" s="123"/>
      <c r="M771" s="101"/>
    </row>
    <row r="772" spans="2:13" ht="30" customHeight="1" thickBot="1" x14ac:dyDescent="0.35">
      <c r="B772" s="95"/>
      <c r="C772" s="96"/>
      <c r="D772" s="96"/>
      <c r="E772" s="96"/>
      <c r="F772" s="573" t="s">
        <v>83</v>
      </c>
      <c r="G772" s="574"/>
      <c r="H772" s="574"/>
      <c r="I772" s="575"/>
      <c r="J772" s="114">
        <f>SUM(J766:J771)</f>
        <v>517.79999999999995</v>
      </c>
      <c r="K772" s="96" t="s">
        <v>51</v>
      </c>
      <c r="L772" s="125">
        <f>J772</f>
        <v>517.79999999999995</v>
      </c>
      <c r="M772" s="101"/>
    </row>
    <row r="773" spans="2:13" ht="30" customHeight="1" x14ac:dyDescent="0.3">
      <c r="B773" s="95"/>
      <c r="C773" s="96"/>
      <c r="D773" s="96"/>
      <c r="E773" s="96"/>
      <c r="F773" s="96"/>
      <c r="G773" s="96"/>
      <c r="H773" s="96"/>
      <c r="I773" s="96"/>
      <c r="J773" s="96"/>
      <c r="K773" s="96"/>
      <c r="L773" s="123"/>
      <c r="M773" s="101"/>
    </row>
    <row r="774" spans="2:13" ht="30" customHeight="1" x14ac:dyDescent="0.3">
      <c r="B774" s="95"/>
      <c r="C774" s="96"/>
      <c r="D774" s="96"/>
      <c r="E774" s="96"/>
      <c r="F774" s="96"/>
      <c r="G774" s="96"/>
      <c r="H774" s="96"/>
      <c r="I774" s="96"/>
      <c r="J774" s="96"/>
      <c r="K774" s="96"/>
      <c r="L774" s="123"/>
      <c r="M774" s="101"/>
    </row>
    <row r="775" spans="2:13" ht="30" customHeight="1" thickBot="1" x14ac:dyDescent="0.35">
      <c r="B775" s="95"/>
      <c r="C775" s="96"/>
      <c r="D775" s="96"/>
      <c r="E775" s="96"/>
      <c r="F775" s="112" t="s">
        <v>84</v>
      </c>
      <c r="G775" s="112"/>
      <c r="H775" s="112"/>
      <c r="I775" s="112"/>
      <c r="J775" s="112"/>
      <c r="K775" s="96" t="s">
        <v>51</v>
      </c>
      <c r="L775" s="126">
        <f>L762-L772</f>
        <v>0</v>
      </c>
      <c r="M775" s="101"/>
    </row>
    <row r="776" spans="2:13" ht="30" customHeight="1" x14ac:dyDescent="0.3">
      <c r="B776" s="127"/>
      <c r="C776" s="96"/>
      <c r="D776" s="96"/>
      <c r="E776" s="96"/>
      <c r="F776" s="96"/>
      <c r="G776" s="96"/>
      <c r="H776" s="96"/>
      <c r="I776" s="96" t="s">
        <v>44</v>
      </c>
      <c r="J776" s="96" t="s">
        <v>44</v>
      </c>
      <c r="K776" s="96" t="s">
        <v>44</v>
      </c>
      <c r="L776" s="123" t="s">
        <v>44</v>
      </c>
      <c r="M776" s="101"/>
    </row>
    <row r="777" spans="2:13" ht="30" customHeight="1" x14ac:dyDescent="0.3">
      <c r="B777" s="127"/>
      <c r="C777" s="96"/>
      <c r="D777" s="96"/>
      <c r="E777" s="96"/>
      <c r="F777" s="96"/>
      <c r="G777" s="96"/>
      <c r="H777" s="96"/>
      <c r="I777" s="96"/>
      <c r="J777" s="96"/>
      <c r="K777" s="96"/>
      <c r="L777" s="123"/>
      <c r="M777" s="101"/>
    </row>
    <row r="778" spans="2:13" ht="30" customHeight="1" x14ac:dyDescent="0.3">
      <c r="B778" s="127"/>
      <c r="C778" s="96"/>
      <c r="D778" s="96"/>
      <c r="E778" s="96"/>
      <c r="F778" s="96"/>
      <c r="G778" s="96"/>
      <c r="H778" s="96"/>
      <c r="I778" s="96"/>
      <c r="J778" s="96"/>
      <c r="K778" s="96"/>
      <c r="L778" s="123"/>
      <c r="M778" s="101"/>
    </row>
    <row r="779" spans="2:13" ht="30" customHeight="1" x14ac:dyDescent="0.25">
      <c r="B779" s="576" t="s">
        <v>85</v>
      </c>
      <c r="C779" s="577"/>
      <c r="D779" s="577"/>
      <c r="E779" s="577"/>
      <c r="F779" s="577"/>
      <c r="G779" s="577"/>
      <c r="H779" s="577"/>
      <c r="I779" s="577"/>
      <c r="J779" s="577"/>
      <c r="K779" s="577"/>
      <c r="L779" s="577"/>
      <c r="M779" s="578"/>
    </row>
    <row r="780" spans="2:13" ht="30" customHeight="1" x14ac:dyDescent="0.25">
      <c r="B780" s="576" t="s">
        <v>86</v>
      </c>
      <c r="C780" s="577"/>
      <c r="D780" s="577"/>
      <c r="E780" s="577"/>
      <c r="F780" s="577"/>
      <c r="G780" s="577"/>
      <c r="H780" s="577"/>
      <c r="I780" s="577"/>
      <c r="J780" s="577"/>
      <c r="K780" s="577"/>
      <c r="L780" s="577"/>
      <c r="M780" s="578"/>
    </row>
    <row r="781" spans="2:13" ht="30" customHeight="1" x14ac:dyDescent="0.3">
      <c r="B781" s="95"/>
      <c r="C781" s="96"/>
      <c r="D781" s="96"/>
      <c r="E781" s="96"/>
      <c r="F781" s="96"/>
      <c r="G781" s="96"/>
      <c r="H781" s="96"/>
      <c r="I781" s="96"/>
      <c r="J781" s="96"/>
      <c r="K781" s="96"/>
      <c r="L781" s="96"/>
      <c r="M781" s="101"/>
    </row>
    <row r="782" spans="2:13" ht="30" customHeight="1" x14ac:dyDescent="0.3">
      <c r="B782" s="95"/>
      <c r="C782" s="96"/>
      <c r="D782" s="96"/>
      <c r="E782" s="96"/>
      <c r="F782" s="96"/>
      <c r="G782" s="96"/>
      <c r="H782" s="96"/>
      <c r="I782" s="96"/>
      <c r="J782" s="96"/>
      <c r="K782" s="96"/>
      <c r="L782" s="96"/>
      <c r="M782" s="101"/>
    </row>
    <row r="783" spans="2:13" ht="30" customHeight="1" x14ac:dyDescent="0.3">
      <c r="B783" s="567"/>
      <c r="C783" s="568"/>
      <c r="D783" s="568"/>
      <c r="E783" s="96"/>
      <c r="F783" s="96"/>
      <c r="G783" s="96"/>
      <c r="H783" s="96"/>
      <c r="I783" s="96"/>
      <c r="J783" s="568"/>
      <c r="K783" s="568"/>
      <c r="L783" s="568"/>
      <c r="M783" s="101"/>
    </row>
    <row r="784" spans="2:13" ht="30" customHeight="1" x14ac:dyDescent="0.3">
      <c r="B784" s="596" t="s">
        <v>87</v>
      </c>
      <c r="C784" s="597"/>
      <c r="D784" s="597"/>
      <c r="E784" s="96"/>
      <c r="F784" s="96"/>
      <c r="G784" s="96"/>
      <c r="H784" s="96"/>
      <c r="I784" s="128" t="s">
        <v>88</v>
      </c>
      <c r="J784" s="128"/>
      <c r="K784" s="128"/>
      <c r="L784" s="102"/>
      <c r="M784" s="101"/>
    </row>
    <row r="785" spans="2:15" ht="30" customHeight="1" x14ac:dyDescent="0.3">
      <c r="B785" s="95" t="s">
        <v>44</v>
      </c>
      <c r="C785" s="96"/>
      <c r="D785" s="96"/>
      <c r="E785" s="96"/>
      <c r="F785" s="96"/>
      <c r="G785" s="96"/>
      <c r="H785" s="96"/>
      <c r="I785" s="96"/>
      <c r="J785" s="570"/>
      <c r="K785" s="570"/>
      <c r="L785" s="570"/>
      <c r="M785" s="101"/>
    </row>
    <row r="786" spans="2:15" ht="30" customHeight="1" x14ac:dyDescent="0.3">
      <c r="B786" s="95" t="s">
        <v>64</v>
      </c>
      <c r="C786" s="570">
        <f>C749</f>
        <v>0</v>
      </c>
      <c r="D786" s="570"/>
      <c r="E786" s="570"/>
      <c r="F786" s="96"/>
      <c r="G786" s="96"/>
      <c r="H786" s="96"/>
      <c r="I786" s="99" t="s">
        <v>104</v>
      </c>
      <c r="J786" s="571">
        <f>+'PB '!C7</f>
        <v>0</v>
      </c>
      <c r="K786" s="571"/>
      <c r="L786" s="571"/>
      <c r="M786" s="572"/>
    </row>
    <row r="787" spans="2:15" ht="30" customHeight="1" thickBot="1" x14ac:dyDescent="0.35">
      <c r="B787" s="129"/>
      <c r="C787" s="130"/>
      <c r="D787" s="130"/>
      <c r="E787" s="130"/>
      <c r="F787" s="130"/>
      <c r="G787" s="130"/>
      <c r="H787" s="130"/>
      <c r="I787" s="130"/>
      <c r="J787" s="131"/>
      <c r="K787" s="132"/>
      <c r="L787" s="132"/>
      <c r="M787" s="133"/>
    </row>
    <row r="788" spans="2:15" ht="30" customHeight="1" x14ac:dyDescent="0.35">
      <c r="B788" s="135"/>
      <c r="C788" s="135"/>
      <c r="D788" s="135"/>
      <c r="E788" s="135"/>
      <c r="F788" s="135"/>
      <c r="G788" s="135"/>
      <c r="H788" s="135"/>
      <c r="I788" s="135"/>
      <c r="J788" s="135"/>
      <c r="K788" s="135"/>
      <c r="L788" s="135"/>
      <c r="M788" s="135"/>
    </row>
    <row r="789" spans="2:15" ht="30" customHeight="1" x14ac:dyDescent="0.35">
      <c r="B789" s="135"/>
      <c r="C789" s="135"/>
      <c r="D789" s="135"/>
      <c r="E789" s="135"/>
      <c r="F789" s="135"/>
      <c r="G789" s="135"/>
      <c r="H789" s="135"/>
      <c r="I789" s="135"/>
      <c r="J789" s="135"/>
      <c r="K789" s="135"/>
      <c r="L789" s="135"/>
      <c r="M789" s="135"/>
    </row>
    <row r="790" spans="2:15" ht="30" customHeight="1" thickBot="1" x14ac:dyDescent="0.4">
      <c r="B790" s="135"/>
      <c r="C790" s="135"/>
      <c r="D790" s="135"/>
      <c r="E790" s="135"/>
      <c r="F790" s="135"/>
      <c r="G790" s="135"/>
      <c r="H790" s="135"/>
      <c r="I790" s="135"/>
      <c r="J790" s="135"/>
      <c r="K790" s="135"/>
      <c r="L790" s="135"/>
      <c r="M790" s="135"/>
    </row>
    <row r="791" spans="2:15" ht="30" customHeight="1" x14ac:dyDescent="0.3">
      <c r="B791" s="584"/>
      <c r="C791" s="585"/>
      <c r="D791" s="585"/>
      <c r="E791" s="585"/>
      <c r="F791" s="585"/>
      <c r="G791" s="585"/>
      <c r="H791" s="585"/>
      <c r="I791" s="585"/>
      <c r="J791" s="585"/>
      <c r="K791" s="585"/>
      <c r="L791" s="585"/>
      <c r="M791" s="586"/>
      <c r="O791">
        <v>21</v>
      </c>
    </row>
    <row r="792" spans="2:15" ht="30" customHeight="1" x14ac:dyDescent="0.3">
      <c r="B792" s="587" t="s">
        <v>62</v>
      </c>
      <c r="C792" s="588"/>
      <c r="D792" s="588"/>
      <c r="E792" s="588"/>
      <c r="F792" s="588"/>
      <c r="G792" s="588"/>
      <c r="H792" s="588"/>
      <c r="I792" s="588"/>
      <c r="J792" s="588"/>
      <c r="K792" s="588"/>
      <c r="L792" s="588"/>
      <c r="M792" s="589"/>
    </row>
    <row r="793" spans="2:15" ht="30" customHeight="1" x14ac:dyDescent="0.3">
      <c r="B793" s="95" t="s">
        <v>63</v>
      </c>
      <c r="C793" s="570" t="str">
        <f>C747</f>
        <v>Vessel name</v>
      </c>
      <c r="D793" s="570"/>
      <c r="E793" s="570"/>
      <c r="F793" s="96"/>
      <c r="G793" s="570"/>
      <c r="H793" s="570"/>
      <c r="I793" s="570"/>
      <c r="J793" s="96" t="s">
        <v>44</v>
      </c>
      <c r="K793" s="97"/>
      <c r="L793" s="582"/>
      <c r="M793" s="583"/>
    </row>
    <row r="794" spans="2:15" ht="30" customHeight="1" x14ac:dyDescent="0.3">
      <c r="B794" s="98"/>
      <c r="C794" s="96"/>
      <c r="D794" s="96"/>
      <c r="E794" s="99"/>
      <c r="F794" s="100"/>
      <c r="G794" s="100"/>
      <c r="H794" s="100"/>
      <c r="I794" s="96"/>
      <c r="J794" s="96"/>
      <c r="K794" s="97"/>
      <c r="L794" s="97"/>
      <c r="M794" s="101"/>
    </row>
    <row r="795" spans="2:15" ht="30" customHeight="1" x14ac:dyDescent="0.3">
      <c r="B795" s="95" t="s">
        <v>64</v>
      </c>
      <c r="C795" s="570">
        <f>'PB '!C25</f>
        <v>0</v>
      </c>
      <c r="D795" s="570"/>
      <c r="E795" s="570"/>
      <c r="F795" s="570"/>
      <c r="G795" s="102"/>
      <c r="H795" s="96" t="s">
        <v>21</v>
      </c>
      <c r="I795" s="151" t="str">
        <f>'PB '!D25</f>
        <v>OS 2</v>
      </c>
      <c r="J795" s="136"/>
      <c r="K795" s="96"/>
      <c r="L795" s="582"/>
      <c r="M795" s="583"/>
    </row>
    <row r="796" spans="2:15" ht="30" customHeight="1" x14ac:dyDescent="0.3">
      <c r="B796" s="95"/>
      <c r="C796" s="96"/>
      <c r="D796" s="96"/>
      <c r="E796" s="96"/>
      <c r="F796" s="96"/>
      <c r="G796" s="96" t="s">
        <v>65</v>
      </c>
      <c r="H796" s="96"/>
      <c r="I796" s="96"/>
      <c r="J796" s="96"/>
      <c r="K796" s="96"/>
      <c r="L796" s="96"/>
      <c r="M796" s="101"/>
    </row>
    <row r="797" spans="2:15" ht="30" customHeight="1" x14ac:dyDescent="0.3">
      <c r="B797" s="95"/>
      <c r="C797" s="96"/>
      <c r="D797" s="96"/>
      <c r="E797" s="96"/>
      <c r="F797" s="96"/>
      <c r="G797" s="96" t="s">
        <v>44</v>
      </c>
      <c r="H797" s="96"/>
      <c r="I797" s="96"/>
      <c r="J797" s="96"/>
      <c r="K797" s="96"/>
      <c r="L797" s="96"/>
      <c r="M797" s="101"/>
    </row>
    <row r="798" spans="2:15" ht="30" customHeight="1" x14ac:dyDescent="0.3">
      <c r="B798" s="95"/>
      <c r="C798" s="96"/>
      <c r="D798" s="96"/>
      <c r="E798" s="96"/>
      <c r="F798" s="96"/>
      <c r="G798" s="103" t="s">
        <v>66</v>
      </c>
      <c r="H798" s="104"/>
      <c r="I798" s="103"/>
      <c r="J798" s="103"/>
      <c r="K798" s="96" t="s">
        <v>51</v>
      </c>
      <c r="L798" s="105">
        <f>'PB '!V68</f>
        <v>0</v>
      </c>
      <c r="M798" s="101"/>
    </row>
    <row r="799" spans="2:15" ht="30" customHeight="1" x14ac:dyDescent="0.3">
      <c r="B799" s="95"/>
      <c r="C799" s="96"/>
      <c r="D799" s="96"/>
      <c r="E799" s="96"/>
      <c r="F799" s="96"/>
      <c r="G799" s="96"/>
      <c r="H799" s="96"/>
      <c r="I799" s="96"/>
      <c r="J799" s="96"/>
      <c r="K799" s="96"/>
      <c r="L799" s="96"/>
      <c r="M799" s="101"/>
    </row>
    <row r="800" spans="2:15" ht="30" customHeight="1" x14ac:dyDescent="0.3">
      <c r="B800" s="590" t="s">
        <v>67</v>
      </c>
      <c r="C800" s="591"/>
      <c r="D800" s="592" t="s">
        <v>60</v>
      </c>
      <c r="E800" s="593"/>
      <c r="F800" s="579" t="s">
        <v>61</v>
      </c>
      <c r="G800" s="580"/>
      <c r="H800" s="106" t="s">
        <v>68</v>
      </c>
      <c r="I800" s="107" t="s">
        <v>69</v>
      </c>
      <c r="J800" s="106" t="s">
        <v>51</v>
      </c>
      <c r="K800" s="108"/>
      <c r="L800" s="108"/>
      <c r="M800" s="109"/>
    </row>
    <row r="801" spans="2:13" ht="30" customHeight="1" x14ac:dyDescent="0.3">
      <c r="B801" s="560" t="s">
        <v>70</v>
      </c>
      <c r="C801" s="581"/>
      <c r="D801" s="110">
        <f>'PB '!E25</f>
        <v>1</v>
      </c>
      <c r="E801" s="111">
        <f>'PB '!C1</f>
        <v>0</v>
      </c>
      <c r="F801" s="112">
        <f>'PB '!F25</f>
        <v>31</v>
      </c>
      <c r="G801" s="111">
        <f>E801</f>
        <v>0</v>
      </c>
      <c r="H801" s="113">
        <f>'PB '!G25</f>
        <v>30</v>
      </c>
      <c r="I801" s="114">
        <v>285</v>
      </c>
      <c r="J801" s="115">
        <f>I801*H801/30</f>
        <v>285</v>
      </c>
      <c r="K801" s="96"/>
      <c r="L801" s="96"/>
      <c r="M801" s="101"/>
    </row>
    <row r="802" spans="2:13" ht="30" customHeight="1" x14ac:dyDescent="0.3">
      <c r="B802" s="560" t="s">
        <v>71</v>
      </c>
      <c r="C802" s="581"/>
      <c r="D802" s="110">
        <f>D801</f>
        <v>1</v>
      </c>
      <c r="E802" s="111">
        <f>E801</f>
        <v>0</v>
      </c>
      <c r="F802" s="112">
        <f>F801</f>
        <v>31</v>
      </c>
      <c r="G802" s="111">
        <f>E801</f>
        <v>0</v>
      </c>
      <c r="H802" s="113">
        <f>H801</f>
        <v>30</v>
      </c>
      <c r="I802" s="114">
        <v>178</v>
      </c>
      <c r="J802" s="115">
        <f>I802*H802/30</f>
        <v>178</v>
      </c>
      <c r="K802" s="96"/>
      <c r="L802" s="96"/>
      <c r="M802" s="101"/>
    </row>
    <row r="803" spans="2:13" ht="30" customHeight="1" x14ac:dyDescent="0.3">
      <c r="B803" s="557" t="s">
        <v>72</v>
      </c>
      <c r="C803" s="558"/>
      <c r="D803" s="110">
        <f>D801</f>
        <v>1</v>
      </c>
      <c r="E803" s="111">
        <f>E801</f>
        <v>0</v>
      </c>
      <c r="F803" s="112">
        <f>F801</f>
        <v>31</v>
      </c>
      <c r="G803" s="111">
        <f>E801</f>
        <v>0</v>
      </c>
      <c r="H803" s="113">
        <f>H801</f>
        <v>30</v>
      </c>
      <c r="I803" s="114">
        <v>38</v>
      </c>
      <c r="J803" s="115">
        <f>I803*H803/30</f>
        <v>38</v>
      </c>
      <c r="K803" s="96"/>
      <c r="L803" s="96"/>
      <c r="M803" s="101"/>
    </row>
    <row r="804" spans="2:13" ht="30" customHeight="1" x14ac:dyDescent="0.3">
      <c r="B804" s="557" t="s">
        <v>73</v>
      </c>
      <c r="C804" s="558"/>
      <c r="D804" s="110">
        <f>D801</f>
        <v>1</v>
      </c>
      <c r="E804" s="111">
        <f>E801</f>
        <v>0</v>
      </c>
      <c r="F804" s="112">
        <f>F801</f>
        <v>31</v>
      </c>
      <c r="G804" s="111">
        <f>E801</f>
        <v>0</v>
      </c>
      <c r="H804" s="113">
        <f>H801</f>
        <v>30</v>
      </c>
      <c r="I804" s="114">
        <v>49</v>
      </c>
      <c r="J804" s="115">
        <f>I804*H804/30</f>
        <v>49</v>
      </c>
      <c r="K804" s="96"/>
      <c r="L804" s="96"/>
      <c r="M804" s="101"/>
    </row>
    <row r="805" spans="2:13" ht="30" customHeight="1" x14ac:dyDescent="0.3">
      <c r="B805" s="562" t="s">
        <v>74</v>
      </c>
      <c r="C805" s="563"/>
      <c r="D805" s="110"/>
      <c r="E805" s="111"/>
      <c r="F805" s="112"/>
      <c r="G805" s="111"/>
      <c r="H805" s="118"/>
      <c r="I805" s="114"/>
      <c r="J805" s="115">
        <f>'PB '!L25</f>
        <v>0</v>
      </c>
      <c r="K805" s="96"/>
      <c r="L805" s="96"/>
      <c r="M805" s="101"/>
    </row>
    <row r="806" spans="2:13" ht="30" customHeight="1" x14ac:dyDescent="0.3">
      <c r="B806" s="594" t="s">
        <v>170</v>
      </c>
      <c r="C806" s="595"/>
      <c r="D806" s="117"/>
      <c r="E806" s="111"/>
      <c r="F806" s="117"/>
      <c r="G806" s="111"/>
      <c r="H806" s="118"/>
      <c r="I806" s="114">
        <v>0</v>
      </c>
      <c r="J806" s="115">
        <f>'PB '!O25</f>
        <v>16.8</v>
      </c>
      <c r="K806" s="96"/>
      <c r="L806" s="96"/>
      <c r="M806" s="101"/>
    </row>
    <row r="807" spans="2:13" ht="30" customHeight="1" x14ac:dyDescent="0.3">
      <c r="B807" s="95"/>
      <c r="C807" s="96"/>
      <c r="D807" s="96"/>
      <c r="E807" s="96"/>
      <c r="F807" s="565" t="s">
        <v>76</v>
      </c>
      <c r="G807" s="565"/>
      <c r="H807" s="565"/>
      <c r="I807" s="566"/>
      <c r="J807" s="119">
        <f>SUM(J801:J806)</f>
        <v>566.79999999999995</v>
      </c>
      <c r="K807" s="120" t="s">
        <v>51</v>
      </c>
      <c r="L807" s="121">
        <f>J807</f>
        <v>566.79999999999995</v>
      </c>
      <c r="M807" s="101"/>
    </row>
    <row r="808" spans="2:13" ht="30" customHeight="1" thickBot="1" x14ac:dyDescent="0.35">
      <c r="B808" s="95"/>
      <c r="C808" s="96"/>
      <c r="D808" s="96"/>
      <c r="E808" s="96"/>
      <c r="F808" s="96"/>
      <c r="G808" s="96"/>
      <c r="H808" s="96"/>
      <c r="I808" s="96"/>
      <c r="J808" s="96"/>
      <c r="K808" s="96"/>
      <c r="L808" s="122">
        <f>L798+L807</f>
        <v>566.79999999999995</v>
      </c>
      <c r="M808" s="101"/>
    </row>
    <row r="809" spans="2:13" ht="30" customHeight="1" x14ac:dyDescent="0.3">
      <c r="B809" s="95"/>
      <c r="C809" s="96"/>
      <c r="D809" s="96"/>
      <c r="E809" s="96"/>
      <c r="F809" s="96"/>
      <c r="G809" s="96"/>
      <c r="H809" s="96"/>
      <c r="I809" s="96"/>
      <c r="J809" s="96"/>
      <c r="K809" s="96"/>
      <c r="L809" s="123"/>
      <c r="M809" s="101"/>
    </row>
    <row r="810" spans="2:13" ht="30" customHeight="1" x14ac:dyDescent="0.3">
      <c r="B810" s="95"/>
      <c r="C810" s="96"/>
      <c r="D810" s="96"/>
      <c r="E810" s="96"/>
      <c r="F810" s="96"/>
      <c r="G810" s="96"/>
      <c r="H810" s="96"/>
      <c r="I810" s="96"/>
      <c r="J810" s="96"/>
      <c r="K810" s="96"/>
      <c r="L810" s="123"/>
      <c r="M810" s="101"/>
    </row>
    <row r="811" spans="2:13" ht="30" customHeight="1" x14ac:dyDescent="0.3">
      <c r="B811" s="557" t="s">
        <v>77</v>
      </c>
      <c r="C811" s="558"/>
      <c r="D811" s="558"/>
      <c r="E811" s="558"/>
      <c r="F811" s="558"/>
      <c r="G811" s="558"/>
      <c r="H811" s="558"/>
      <c r="I811" s="559"/>
      <c r="J811" s="124"/>
      <c r="K811" s="96"/>
      <c r="L811" s="123"/>
      <c r="M811" s="101"/>
    </row>
    <row r="812" spans="2:13" ht="30" customHeight="1" x14ac:dyDescent="0.3">
      <c r="B812" s="560" t="s">
        <v>78</v>
      </c>
      <c r="C812" s="561"/>
      <c r="D812" s="561"/>
      <c r="E812" s="561"/>
      <c r="F812" s="561"/>
      <c r="G812" s="561"/>
      <c r="H812" s="561"/>
      <c r="I812" s="561"/>
      <c r="J812" s="114">
        <f>'PB '!Q25</f>
        <v>0</v>
      </c>
      <c r="K812" s="96"/>
      <c r="L812" s="123"/>
      <c r="M812" s="101"/>
    </row>
    <row r="813" spans="2:13" ht="30" customHeight="1" x14ac:dyDescent="0.3">
      <c r="B813" s="560" t="s">
        <v>79</v>
      </c>
      <c r="C813" s="561"/>
      <c r="D813" s="561"/>
      <c r="E813" s="561"/>
      <c r="F813" s="561"/>
      <c r="G813" s="561"/>
      <c r="H813" s="561"/>
      <c r="I813" s="561"/>
      <c r="J813" s="114">
        <f>'PB '!R25</f>
        <v>566.79999999999995</v>
      </c>
      <c r="K813" s="96"/>
      <c r="L813" s="123"/>
      <c r="M813" s="101"/>
    </row>
    <row r="814" spans="2:13" ht="30" customHeight="1" x14ac:dyDescent="0.3">
      <c r="B814" s="560" t="s">
        <v>80</v>
      </c>
      <c r="C814" s="561"/>
      <c r="D814" s="561"/>
      <c r="E814" s="561"/>
      <c r="F814" s="561"/>
      <c r="G814" s="561"/>
      <c r="H814" s="561"/>
      <c r="I814" s="561"/>
      <c r="J814" s="114">
        <f>'PB '!S25</f>
        <v>0</v>
      </c>
      <c r="K814" s="96"/>
      <c r="L814" s="123"/>
      <c r="M814" s="101"/>
    </row>
    <row r="815" spans="2:13" ht="30" customHeight="1" x14ac:dyDescent="0.3">
      <c r="B815" s="560" t="s">
        <v>81</v>
      </c>
      <c r="C815" s="561"/>
      <c r="D815" s="561"/>
      <c r="E815" s="561"/>
      <c r="F815" s="561"/>
      <c r="G815" s="561"/>
      <c r="H815" s="561"/>
      <c r="I815" s="561"/>
      <c r="J815" s="114">
        <v>0</v>
      </c>
      <c r="K815" s="96"/>
      <c r="L815" s="123"/>
      <c r="M815" s="101"/>
    </row>
    <row r="816" spans="2:13" ht="30" customHeight="1" x14ac:dyDescent="0.3">
      <c r="B816" s="557" t="s">
        <v>82</v>
      </c>
      <c r="C816" s="558"/>
      <c r="D816" s="558"/>
      <c r="E816" s="558"/>
      <c r="F816" s="558"/>
      <c r="G816" s="558"/>
      <c r="H816" s="558"/>
      <c r="I816" s="559"/>
      <c r="J816" s="114">
        <f>'PB '!T25</f>
        <v>0</v>
      </c>
      <c r="K816" s="96"/>
      <c r="L816" s="123"/>
      <c r="M816" s="101"/>
    </row>
    <row r="817" spans="2:13" ht="30" customHeight="1" thickBot="1" x14ac:dyDescent="0.35">
      <c r="B817" s="560" t="s">
        <v>119</v>
      </c>
      <c r="C817" s="561"/>
      <c r="D817" s="561"/>
      <c r="E817" s="561"/>
      <c r="F817" s="561"/>
      <c r="G817" s="561"/>
      <c r="H817" s="561"/>
      <c r="I817" s="561"/>
      <c r="J817" s="114">
        <v>0</v>
      </c>
      <c r="K817" s="96"/>
      <c r="L817" s="123"/>
      <c r="M817" s="101"/>
    </row>
    <row r="818" spans="2:13" ht="30" customHeight="1" thickBot="1" x14ac:dyDescent="0.35">
      <c r="B818" s="95"/>
      <c r="C818" s="96"/>
      <c r="D818" s="96"/>
      <c r="E818" s="96"/>
      <c r="F818" s="573" t="s">
        <v>83</v>
      </c>
      <c r="G818" s="574"/>
      <c r="H818" s="574"/>
      <c r="I818" s="575"/>
      <c r="J818" s="114">
        <f>SUM(J812:J817)</f>
        <v>566.79999999999995</v>
      </c>
      <c r="K818" s="96" t="s">
        <v>51</v>
      </c>
      <c r="L818" s="125">
        <f>J818</f>
        <v>566.79999999999995</v>
      </c>
      <c r="M818" s="101"/>
    </row>
    <row r="819" spans="2:13" ht="30" customHeight="1" x14ac:dyDescent="0.3">
      <c r="B819" s="95"/>
      <c r="C819" s="96"/>
      <c r="D819" s="96"/>
      <c r="E819" s="96"/>
      <c r="F819" s="96"/>
      <c r="G819" s="96"/>
      <c r="H819" s="96"/>
      <c r="I819" s="96"/>
      <c r="J819" s="96"/>
      <c r="K819" s="96"/>
      <c r="L819" s="123"/>
      <c r="M819" s="101"/>
    </row>
    <row r="820" spans="2:13" ht="30" customHeight="1" x14ac:dyDescent="0.3">
      <c r="B820" s="95"/>
      <c r="C820" s="96"/>
      <c r="D820" s="96"/>
      <c r="E820" s="96"/>
      <c r="F820" s="96"/>
      <c r="G820" s="96"/>
      <c r="H820" s="96"/>
      <c r="I820" s="96"/>
      <c r="J820" s="96"/>
      <c r="K820" s="96"/>
      <c r="L820" s="123"/>
      <c r="M820" s="101"/>
    </row>
    <row r="821" spans="2:13" ht="30" customHeight="1" thickBot="1" x14ac:dyDescent="0.35">
      <c r="B821" s="95"/>
      <c r="C821" s="96"/>
      <c r="D821" s="96"/>
      <c r="E821" s="96"/>
      <c r="F821" s="112" t="s">
        <v>84</v>
      </c>
      <c r="G821" s="112"/>
      <c r="H821" s="112"/>
      <c r="I821" s="112"/>
      <c r="J821" s="112"/>
      <c r="K821" s="96" t="s">
        <v>51</v>
      </c>
      <c r="L821" s="126">
        <f>L808-L818</f>
        <v>0</v>
      </c>
      <c r="M821" s="101"/>
    </row>
    <row r="822" spans="2:13" ht="30" customHeight="1" x14ac:dyDescent="0.3">
      <c r="B822" s="127"/>
      <c r="C822" s="96"/>
      <c r="D822" s="96"/>
      <c r="E822" s="96"/>
      <c r="F822" s="96"/>
      <c r="G822" s="96"/>
      <c r="H822" s="96"/>
      <c r="I822" s="96" t="s">
        <v>44</v>
      </c>
      <c r="J822" s="96" t="s">
        <v>44</v>
      </c>
      <c r="K822" s="96" t="s">
        <v>44</v>
      </c>
      <c r="L822" s="123" t="s">
        <v>44</v>
      </c>
      <c r="M822" s="101"/>
    </row>
    <row r="823" spans="2:13" ht="30" customHeight="1" x14ac:dyDescent="0.3">
      <c r="B823" s="127"/>
      <c r="C823" s="96"/>
      <c r="D823" s="96"/>
      <c r="E823" s="96"/>
      <c r="F823" s="96"/>
      <c r="G823" s="96"/>
      <c r="H823" s="96"/>
      <c r="I823" s="96"/>
      <c r="J823" s="96"/>
      <c r="K823" s="96"/>
      <c r="L823" s="123"/>
      <c r="M823" s="101"/>
    </row>
    <row r="824" spans="2:13" ht="30" customHeight="1" x14ac:dyDescent="0.3">
      <c r="B824" s="127"/>
      <c r="C824" s="96"/>
      <c r="D824" s="96"/>
      <c r="E824" s="96"/>
      <c r="F824" s="96"/>
      <c r="G824" s="96"/>
      <c r="H824" s="96"/>
      <c r="I824" s="96"/>
      <c r="J824" s="96"/>
      <c r="K824" s="96"/>
      <c r="L824" s="123"/>
      <c r="M824" s="101"/>
    </row>
    <row r="825" spans="2:13" ht="30" customHeight="1" x14ac:dyDescent="0.25">
      <c r="B825" s="576" t="s">
        <v>85</v>
      </c>
      <c r="C825" s="577"/>
      <c r="D825" s="577"/>
      <c r="E825" s="577"/>
      <c r="F825" s="577"/>
      <c r="G825" s="577"/>
      <c r="H825" s="577"/>
      <c r="I825" s="577"/>
      <c r="J825" s="577"/>
      <c r="K825" s="577"/>
      <c r="L825" s="577"/>
      <c r="M825" s="578"/>
    </row>
    <row r="826" spans="2:13" ht="30" customHeight="1" x14ac:dyDescent="0.25">
      <c r="B826" s="576" t="s">
        <v>86</v>
      </c>
      <c r="C826" s="577"/>
      <c r="D826" s="577"/>
      <c r="E826" s="577"/>
      <c r="F826" s="577"/>
      <c r="G826" s="577"/>
      <c r="H826" s="577"/>
      <c r="I826" s="577"/>
      <c r="J826" s="577"/>
      <c r="K826" s="577"/>
      <c r="L826" s="577"/>
      <c r="M826" s="578"/>
    </row>
    <row r="827" spans="2:13" ht="30" customHeight="1" x14ac:dyDescent="0.3">
      <c r="B827" s="95"/>
      <c r="C827" s="96"/>
      <c r="D827" s="96"/>
      <c r="E827" s="96"/>
      <c r="F827" s="96"/>
      <c r="G827" s="96"/>
      <c r="H827" s="96"/>
      <c r="I827" s="96"/>
      <c r="J827" s="96"/>
      <c r="K827" s="96"/>
      <c r="L827" s="96"/>
      <c r="M827" s="101"/>
    </row>
    <row r="828" spans="2:13" ht="30" customHeight="1" x14ac:dyDescent="0.3">
      <c r="B828" s="95"/>
      <c r="C828" s="96"/>
      <c r="D828" s="96"/>
      <c r="E828" s="96"/>
      <c r="F828" s="96"/>
      <c r="G828" s="96"/>
      <c r="H828" s="96"/>
      <c r="I828" s="96"/>
      <c r="J828" s="96"/>
      <c r="K828" s="96"/>
      <c r="L828" s="96"/>
      <c r="M828" s="101"/>
    </row>
    <row r="829" spans="2:13" ht="30" customHeight="1" x14ac:dyDescent="0.3">
      <c r="B829" s="567"/>
      <c r="C829" s="568"/>
      <c r="D829" s="568"/>
      <c r="E829" s="96"/>
      <c r="F829" s="96"/>
      <c r="G829" s="96"/>
      <c r="H829" s="96"/>
      <c r="I829" s="96"/>
      <c r="J829" s="568"/>
      <c r="K829" s="568"/>
      <c r="L829" s="568"/>
      <c r="M829" s="101"/>
    </row>
    <row r="830" spans="2:13" ht="30" customHeight="1" x14ac:dyDescent="0.3">
      <c r="B830" s="569" t="s">
        <v>87</v>
      </c>
      <c r="C830" s="570"/>
      <c r="D830" s="570"/>
      <c r="E830" s="96"/>
      <c r="F830" s="96"/>
      <c r="G830" s="96"/>
      <c r="H830" s="96"/>
      <c r="I830" s="128" t="s">
        <v>88</v>
      </c>
      <c r="J830" s="128"/>
      <c r="K830" s="128"/>
      <c r="L830" s="102"/>
      <c r="M830" s="101"/>
    </row>
    <row r="831" spans="2:13" ht="30" customHeight="1" x14ac:dyDescent="0.3">
      <c r="B831" s="95" t="s">
        <v>44</v>
      </c>
      <c r="C831" s="96"/>
      <c r="D831" s="96"/>
      <c r="E831" s="96"/>
      <c r="F831" s="96"/>
      <c r="G831" s="96"/>
      <c r="H831" s="96"/>
      <c r="I831" s="96"/>
      <c r="J831" s="570"/>
      <c r="K831" s="570"/>
      <c r="L831" s="570"/>
      <c r="M831" s="101"/>
    </row>
    <row r="832" spans="2:13" ht="30" customHeight="1" x14ac:dyDescent="0.3">
      <c r="B832" s="95" t="s">
        <v>64</v>
      </c>
      <c r="C832" s="570">
        <f>C795</f>
        <v>0</v>
      </c>
      <c r="D832" s="570"/>
      <c r="E832" s="570"/>
      <c r="F832" s="96"/>
      <c r="G832" s="96"/>
      <c r="H832" s="96"/>
      <c r="I832" s="99" t="s">
        <v>104</v>
      </c>
      <c r="J832" s="571">
        <f>'PB '!C7</f>
        <v>0</v>
      </c>
      <c r="K832" s="571"/>
      <c r="L832" s="571"/>
      <c r="M832" s="572"/>
    </row>
    <row r="833" spans="2:15" ht="30" customHeight="1" thickBot="1" x14ac:dyDescent="0.35">
      <c r="B833" s="129"/>
      <c r="C833" s="130"/>
      <c r="D833" s="130"/>
      <c r="E833" s="130"/>
      <c r="F833" s="130"/>
      <c r="G833" s="130"/>
      <c r="H833" s="130"/>
      <c r="I833" s="130"/>
      <c r="J833" s="131"/>
      <c r="K833" s="132"/>
      <c r="L833" s="132"/>
      <c r="M833" s="133"/>
    </row>
    <row r="834" spans="2:15" ht="30" customHeight="1" x14ac:dyDescent="0.35">
      <c r="B834" s="135"/>
      <c r="C834" s="135"/>
      <c r="D834" s="135"/>
      <c r="E834" s="135"/>
      <c r="F834" s="135"/>
      <c r="G834" s="135"/>
      <c r="H834" s="135"/>
      <c r="I834" s="135"/>
      <c r="J834" s="135"/>
      <c r="K834" s="135"/>
      <c r="L834" s="135"/>
      <c r="M834" s="135"/>
    </row>
    <row r="835" spans="2:15" ht="30" customHeight="1" x14ac:dyDescent="0.35">
      <c r="B835" s="135"/>
      <c r="C835" s="135"/>
      <c r="D835" s="135"/>
      <c r="E835" s="135"/>
      <c r="F835" s="135"/>
      <c r="G835" s="135"/>
      <c r="H835" s="135"/>
      <c r="I835" s="135"/>
      <c r="J835" s="135"/>
      <c r="K835" s="135"/>
      <c r="L835" s="135"/>
      <c r="M835" s="135"/>
    </row>
    <row r="836" spans="2:15" ht="29.25" customHeight="1" x14ac:dyDescent="0.35">
      <c r="B836" s="135"/>
      <c r="C836" s="135"/>
      <c r="D836" s="135"/>
      <c r="E836" s="135"/>
      <c r="F836" s="135"/>
      <c r="G836" s="135"/>
      <c r="H836" s="135"/>
      <c r="I836" s="135"/>
      <c r="J836" s="135"/>
      <c r="K836" s="135"/>
      <c r="L836" s="135"/>
      <c r="M836" s="135"/>
    </row>
    <row r="837" spans="2:15" ht="29.25" customHeight="1" thickBot="1" x14ac:dyDescent="0.4">
      <c r="B837" s="135"/>
      <c r="C837" s="135"/>
      <c r="D837" s="135"/>
      <c r="E837" s="135"/>
      <c r="F837" s="135"/>
      <c r="G837" s="135"/>
      <c r="H837" s="135"/>
      <c r="I837" s="135"/>
      <c r="J837" s="135"/>
      <c r="K837" s="135"/>
      <c r="L837" s="135"/>
      <c r="M837" s="135"/>
    </row>
    <row r="838" spans="2:15" ht="30" customHeight="1" x14ac:dyDescent="0.3">
      <c r="B838" s="584"/>
      <c r="C838" s="585"/>
      <c r="D838" s="585"/>
      <c r="E838" s="585"/>
      <c r="F838" s="585"/>
      <c r="G838" s="585"/>
      <c r="H838" s="585"/>
      <c r="I838" s="585"/>
      <c r="J838" s="585"/>
      <c r="K838" s="585"/>
      <c r="L838" s="585"/>
      <c r="M838" s="586"/>
    </row>
    <row r="839" spans="2:15" ht="30" customHeight="1" x14ac:dyDescent="0.3">
      <c r="B839" s="587" t="s">
        <v>62</v>
      </c>
      <c r="C839" s="588"/>
      <c r="D839" s="588"/>
      <c r="E839" s="588"/>
      <c r="F839" s="588"/>
      <c r="G839" s="588"/>
      <c r="H839" s="588"/>
      <c r="I839" s="588"/>
      <c r="J839" s="588"/>
      <c r="K839" s="588"/>
      <c r="L839" s="588"/>
      <c r="M839" s="589"/>
      <c r="O839">
        <v>22</v>
      </c>
    </row>
    <row r="840" spans="2:15" ht="30" customHeight="1" x14ac:dyDescent="0.3">
      <c r="B840" s="95" t="s">
        <v>63</v>
      </c>
      <c r="C840" s="570" t="str">
        <f>C793</f>
        <v>Vessel name</v>
      </c>
      <c r="D840" s="570"/>
      <c r="E840" s="570"/>
      <c r="F840" s="96"/>
      <c r="G840" s="570"/>
      <c r="H840" s="570"/>
      <c r="I840" s="570"/>
      <c r="J840" s="96" t="s">
        <v>44</v>
      </c>
      <c r="K840" s="97"/>
      <c r="L840" s="582"/>
      <c r="M840" s="583"/>
    </row>
    <row r="841" spans="2:15" ht="30" customHeight="1" x14ac:dyDescent="0.3">
      <c r="B841" s="98"/>
      <c r="C841" s="96"/>
      <c r="D841" s="96"/>
      <c r="E841" s="99"/>
      <c r="F841" s="100"/>
      <c r="G841" s="100"/>
      <c r="H841" s="100"/>
      <c r="I841" s="96"/>
      <c r="J841" s="96"/>
      <c r="K841" s="97"/>
      <c r="L841" s="97"/>
      <c r="M841" s="101"/>
    </row>
    <row r="842" spans="2:15" ht="30" customHeight="1" x14ac:dyDescent="0.3">
      <c r="B842" s="95" t="s">
        <v>64</v>
      </c>
      <c r="C842" s="570">
        <f>'PB '!C26</f>
        <v>0</v>
      </c>
      <c r="D842" s="570"/>
      <c r="E842" s="570"/>
      <c r="F842" s="570"/>
      <c r="G842" s="102"/>
      <c r="H842" s="96" t="s">
        <v>21</v>
      </c>
      <c r="I842" s="151" t="str">
        <f>'PB '!D26</f>
        <v>Oiler 1</v>
      </c>
      <c r="J842" s="136"/>
      <c r="K842" s="96"/>
      <c r="L842" s="582"/>
      <c r="M842" s="583"/>
    </row>
    <row r="843" spans="2:15" ht="30" customHeight="1" x14ac:dyDescent="0.3">
      <c r="B843" s="95"/>
      <c r="C843" s="96"/>
      <c r="D843" s="96"/>
      <c r="E843" s="96"/>
      <c r="F843" s="96"/>
      <c r="G843" s="96" t="s">
        <v>65</v>
      </c>
      <c r="H843" s="96"/>
      <c r="I843" s="96"/>
      <c r="J843" s="96"/>
      <c r="K843" s="96"/>
      <c r="L843" s="96"/>
      <c r="M843" s="101"/>
    </row>
    <row r="844" spans="2:15" ht="30" customHeight="1" x14ac:dyDescent="0.3">
      <c r="B844" s="95"/>
      <c r="C844" s="96"/>
      <c r="D844" s="96"/>
      <c r="E844" s="96"/>
      <c r="F844" s="96"/>
      <c r="G844" s="96" t="s">
        <v>44</v>
      </c>
      <c r="H844" s="96"/>
      <c r="I844" s="96"/>
      <c r="J844" s="96"/>
      <c r="K844" s="96"/>
      <c r="L844" s="96"/>
      <c r="M844" s="101"/>
    </row>
    <row r="845" spans="2:15" ht="30" customHeight="1" x14ac:dyDescent="0.3">
      <c r="B845" s="95"/>
      <c r="C845" s="96"/>
      <c r="D845" s="96"/>
      <c r="E845" s="96"/>
      <c r="F845" s="96"/>
      <c r="G845" s="103" t="s">
        <v>174</v>
      </c>
      <c r="H845" s="104"/>
      <c r="I845" s="103"/>
      <c r="J845" s="103"/>
      <c r="K845" s="96" t="s">
        <v>51</v>
      </c>
      <c r="L845" s="105">
        <f>'PB '!V26</f>
        <v>0</v>
      </c>
      <c r="M845" s="101"/>
    </row>
    <row r="846" spans="2:15" ht="30" customHeight="1" x14ac:dyDescent="0.3">
      <c r="B846" s="95"/>
      <c r="C846" s="96"/>
      <c r="D846" s="96"/>
      <c r="E846" s="96"/>
      <c r="F846" s="96"/>
      <c r="G846" s="96"/>
      <c r="H846" s="96"/>
      <c r="I846" s="96"/>
      <c r="J846" s="96"/>
      <c r="K846" s="96"/>
      <c r="L846" s="96"/>
      <c r="M846" s="101"/>
    </row>
    <row r="847" spans="2:15" ht="30" customHeight="1" x14ac:dyDescent="0.3">
      <c r="B847" s="590" t="s">
        <v>67</v>
      </c>
      <c r="C847" s="591"/>
      <c r="D847" s="592" t="s">
        <v>60</v>
      </c>
      <c r="E847" s="593"/>
      <c r="F847" s="579" t="s">
        <v>61</v>
      </c>
      <c r="G847" s="580"/>
      <c r="H847" s="106" t="s">
        <v>68</v>
      </c>
      <c r="I847" s="107" t="s">
        <v>69</v>
      </c>
      <c r="J847" s="106" t="s">
        <v>51</v>
      </c>
      <c r="K847" s="108"/>
      <c r="L847" s="108"/>
      <c r="M847" s="109"/>
    </row>
    <row r="848" spans="2:15" ht="30" customHeight="1" x14ac:dyDescent="0.3">
      <c r="B848" s="560" t="s">
        <v>70</v>
      </c>
      <c r="C848" s="581"/>
      <c r="D848" s="110">
        <f>'PB '!E26</f>
        <v>1</v>
      </c>
      <c r="E848" s="111">
        <f>'PB '!C1</f>
        <v>0</v>
      </c>
      <c r="F848" s="112">
        <f>'PB '!F26</f>
        <v>31</v>
      </c>
      <c r="G848" s="111">
        <f>E848</f>
        <v>0</v>
      </c>
      <c r="H848" s="113">
        <f>'PB '!G26</f>
        <v>30</v>
      </c>
      <c r="I848" s="114">
        <v>673</v>
      </c>
      <c r="J848" s="115">
        <f>I848*H848/30</f>
        <v>673</v>
      </c>
      <c r="K848" s="96"/>
      <c r="L848" s="96"/>
      <c r="M848" s="101"/>
    </row>
    <row r="849" spans="2:13" ht="30" customHeight="1" x14ac:dyDescent="0.3">
      <c r="B849" s="560" t="s">
        <v>71</v>
      </c>
      <c r="C849" s="581"/>
      <c r="D849" s="110">
        <f>D848</f>
        <v>1</v>
      </c>
      <c r="E849" s="111">
        <f>E848</f>
        <v>0</v>
      </c>
      <c r="F849" s="112">
        <f>F848</f>
        <v>31</v>
      </c>
      <c r="G849" s="111">
        <f>E848</f>
        <v>0</v>
      </c>
      <c r="H849" s="113">
        <f>H848</f>
        <v>30</v>
      </c>
      <c r="I849" s="114">
        <v>421</v>
      </c>
      <c r="J849" s="115">
        <f>I849*H849/30</f>
        <v>421</v>
      </c>
      <c r="K849" s="96"/>
      <c r="L849" s="96"/>
      <c r="M849" s="101"/>
    </row>
    <row r="850" spans="2:13" ht="30" customHeight="1" x14ac:dyDescent="0.3">
      <c r="B850" s="557" t="s">
        <v>72</v>
      </c>
      <c r="C850" s="558"/>
      <c r="D850" s="110">
        <f>D848</f>
        <v>1</v>
      </c>
      <c r="E850" s="111">
        <f>E848</f>
        <v>0</v>
      </c>
      <c r="F850" s="112">
        <f>F848</f>
        <v>31</v>
      </c>
      <c r="G850" s="111">
        <f>E848</f>
        <v>0</v>
      </c>
      <c r="H850" s="113">
        <f>H848</f>
        <v>30</v>
      </c>
      <c r="I850" s="114">
        <v>88.44</v>
      </c>
      <c r="J850" s="115">
        <f>I850*H850/30</f>
        <v>88.44</v>
      </c>
      <c r="K850" s="96"/>
      <c r="L850" s="96"/>
      <c r="M850" s="101"/>
    </row>
    <row r="851" spans="2:13" ht="30" customHeight="1" x14ac:dyDescent="0.3">
      <c r="B851" s="557" t="s">
        <v>73</v>
      </c>
      <c r="C851" s="558"/>
      <c r="D851" s="110">
        <f>D848</f>
        <v>1</v>
      </c>
      <c r="E851" s="111">
        <f>E848</f>
        <v>0</v>
      </c>
      <c r="F851" s="112">
        <f>F848</f>
        <v>31</v>
      </c>
      <c r="G851" s="111">
        <f>E848</f>
        <v>0</v>
      </c>
      <c r="H851" s="113">
        <f>H848</f>
        <v>30</v>
      </c>
      <c r="I851" s="114">
        <v>267.56</v>
      </c>
      <c r="J851" s="115">
        <f>I851*H851/30</f>
        <v>267.56</v>
      </c>
      <c r="K851" s="96"/>
      <c r="L851" s="96"/>
      <c r="M851" s="101"/>
    </row>
    <row r="852" spans="2:13" ht="30" customHeight="1" x14ac:dyDescent="0.3">
      <c r="B852" s="562" t="s">
        <v>74</v>
      </c>
      <c r="C852" s="563"/>
      <c r="D852" s="110"/>
      <c r="E852" s="111"/>
      <c r="F852" s="112"/>
      <c r="G852" s="111"/>
      <c r="H852" s="118"/>
      <c r="I852" s="114"/>
      <c r="J852" s="115">
        <f>'PB '!L26</f>
        <v>0</v>
      </c>
      <c r="K852" s="96"/>
      <c r="L852" s="96"/>
      <c r="M852" s="101"/>
    </row>
    <row r="853" spans="2:13" ht="30" customHeight="1" x14ac:dyDescent="0.3">
      <c r="B853" s="564" t="s">
        <v>173</v>
      </c>
      <c r="C853" s="561"/>
      <c r="D853" s="117"/>
      <c r="E853" s="111"/>
      <c r="F853" s="117"/>
      <c r="G853" s="111"/>
      <c r="H853" s="118"/>
      <c r="I853" s="114">
        <v>0</v>
      </c>
      <c r="J853" s="115">
        <f>'PB '!O26</f>
        <v>37.5</v>
      </c>
      <c r="K853" s="96"/>
      <c r="L853" s="96"/>
      <c r="M853" s="101"/>
    </row>
    <row r="854" spans="2:13" ht="30" customHeight="1" x14ac:dyDescent="0.3">
      <c r="B854" s="95"/>
      <c r="C854" s="96"/>
      <c r="D854" s="96"/>
      <c r="E854" s="96"/>
      <c r="F854" s="565" t="s">
        <v>76</v>
      </c>
      <c r="G854" s="565"/>
      <c r="H854" s="565"/>
      <c r="I854" s="566"/>
      <c r="J854" s="119">
        <f>SUM(J848:J853)</f>
        <v>1487.5</v>
      </c>
      <c r="K854" s="120" t="s">
        <v>51</v>
      </c>
      <c r="L854" s="121">
        <f>J854</f>
        <v>1487.5</v>
      </c>
      <c r="M854" s="101"/>
    </row>
    <row r="855" spans="2:13" ht="30" customHeight="1" thickBot="1" x14ac:dyDescent="0.35">
      <c r="B855" s="95"/>
      <c r="C855" s="96"/>
      <c r="D855" s="96"/>
      <c r="E855" s="96"/>
      <c r="F855" s="96"/>
      <c r="G855" s="96"/>
      <c r="H855" s="96"/>
      <c r="I855" s="96"/>
      <c r="J855" s="96"/>
      <c r="K855" s="96"/>
      <c r="L855" s="122">
        <f>L854</f>
        <v>1487.5</v>
      </c>
      <c r="M855" s="101"/>
    </row>
    <row r="856" spans="2:13" ht="30" customHeight="1" x14ac:dyDescent="0.3">
      <c r="B856" s="95"/>
      <c r="C856" s="96"/>
      <c r="D856" s="96"/>
      <c r="E856" s="96"/>
      <c r="F856" s="96"/>
      <c r="G856" s="96"/>
      <c r="H856" s="96"/>
      <c r="I856" s="96"/>
      <c r="J856" s="96"/>
      <c r="K856" s="96"/>
      <c r="L856" s="123"/>
      <c r="M856" s="101"/>
    </row>
    <row r="857" spans="2:13" ht="30" customHeight="1" x14ac:dyDescent="0.3">
      <c r="B857" s="95"/>
      <c r="C857" s="96"/>
      <c r="D857" s="96"/>
      <c r="E857" s="96"/>
      <c r="F857" s="96"/>
      <c r="G857" s="96"/>
      <c r="H857" s="96"/>
      <c r="I857" s="96"/>
      <c r="J857" s="96"/>
      <c r="K857" s="96"/>
      <c r="L857" s="123"/>
      <c r="M857" s="101"/>
    </row>
    <row r="858" spans="2:13" ht="30" customHeight="1" x14ac:dyDescent="0.3">
      <c r="B858" s="557" t="s">
        <v>77</v>
      </c>
      <c r="C858" s="558"/>
      <c r="D858" s="558"/>
      <c r="E858" s="558"/>
      <c r="F858" s="558"/>
      <c r="G858" s="558"/>
      <c r="H858" s="558"/>
      <c r="I858" s="559"/>
      <c r="J858" s="124"/>
      <c r="K858" s="96"/>
      <c r="L858" s="123"/>
      <c r="M858" s="101"/>
    </row>
    <row r="859" spans="2:13" ht="30" customHeight="1" x14ac:dyDescent="0.3">
      <c r="B859" s="560" t="s">
        <v>78</v>
      </c>
      <c r="C859" s="561"/>
      <c r="D859" s="561"/>
      <c r="E859" s="561"/>
      <c r="F859" s="561"/>
      <c r="G859" s="561"/>
      <c r="H859" s="561"/>
      <c r="I859" s="561"/>
      <c r="J859" s="114">
        <f>'PB '!Q26</f>
        <v>0</v>
      </c>
      <c r="K859" s="96"/>
      <c r="L859" s="123"/>
      <c r="M859" s="101"/>
    </row>
    <row r="860" spans="2:13" ht="30" customHeight="1" x14ac:dyDescent="0.3">
      <c r="B860" s="560" t="s">
        <v>79</v>
      </c>
      <c r="C860" s="561"/>
      <c r="D860" s="561"/>
      <c r="E860" s="561"/>
      <c r="F860" s="561"/>
      <c r="G860" s="561"/>
      <c r="H860" s="561"/>
      <c r="I860" s="561"/>
      <c r="J860" s="114">
        <f>'PB '!R26</f>
        <v>1480.58</v>
      </c>
      <c r="K860" s="96"/>
      <c r="L860" s="123"/>
      <c r="M860" s="101"/>
    </row>
    <row r="861" spans="2:13" ht="30" customHeight="1" x14ac:dyDescent="0.3">
      <c r="B861" s="560" t="s">
        <v>80</v>
      </c>
      <c r="C861" s="561"/>
      <c r="D861" s="561"/>
      <c r="E861" s="561"/>
      <c r="F861" s="561"/>
      <c r="G861" s="561"/>
      <c r="H861" s="561"/>
      <c r="I861" s="561"/>
      <c r="J861" s="114">
        <f>'PB '!S26</f>
        <v>6.92</v>
      </c>
      <c r="K861" s="96"/>
      <c r="L861" s="123"/>
      <c r="M861" s="101"/>
    </row>
    <row r="862" spans="2:13" ht="30" customHeight="1" x14ac:dyDescent="0.3">
      <c r="B862" s="560" t="s">
        <v>81</v>
      </c>
      <c r="C862" s="561"/>
      <c r="D862" s="561"/>
      <c r="E862" s="561"/>
      <c r="F862" s="561"/>
      <c r="G862" s="561"/>
      <c r="H862" s="561"/>
      <c r="I862" s="561"/>
      <c r="J862" s="114">
        <v>0</v>
      </c>
      <c r="K862" s="96"/>
      <c r="L862" s="123"/>
      <c r="M862" s="101"/>
    </row>
    <row r="863" spans="2:13" ht="30" customHeight="1" x14ac:dyDescent="0.3">
      <c r="B863" s="557" t="s">
        <v>82</v>
      </c>
      <c r="C863" s="558"/>
      <c r="D863" s="558"/>
      <c r="E863" s="558"/>
      <c r="F863" s="558"/>
      <c r="G863" s="558"/>
      <c r="H863" s="558"/>
      <c r="I863" s="559"/>
      <c r="J863" s="114">
        <f>'PB '!T26</f>
        <v>0</v>
      </c>
      <c r="K863" s="96"/>
      <c r="L863" s="123"/>
      <c r="M863" s="101"/>
    </row>
    <row r="864" spans="2:13" ht="30" customHeight="1" thickBot="1" x14ac:dyDescent="0.35">
      <c r="B864" s="560" t="s">
        <v>119</v>
      </c>
      <c r="C864" s="561"/>
      <c r="D864" s="561"/>
      <c r="E864" s="561"/>
      <c r="F864" s="561"/>
      <c r="G864" s="561"/>
      <c r="H864" s="561"/>
      <c r="I864" s="561"/>
      <c r="J864" s="114">
        <v>0</v>
      </c>
      <c r="K864" s="96"/>
      <c r="L864" s="123"/>
      <c r="M864" s="101"/>
    </row>
    <row r="865" spans="2:13" ht="30" customHeight="1" thickBot="1" x14ac:dyDescent="0.35">
      <c r="B865" s="95"/>
      <c r="C865" s="96"/>
      <c r="D865" s="96"/>
      <c r="E865" s="96"/>
      <c r="F865" s="573" t="s">
        <v>83</v>
      </c>
      <c r="G865" s="574"/>
      <c r="H865" s="574"/>
      <c r="I865" s="575"/>
      <c r="J865" s="114">
        <f>SUM(J859:J864)</f>
        <v>1487.5</v>
      </c>
      <c r="K865" s="96" t="s">
        <v>51</v>
      </c>
      <c r="L865" s="125">
        <f>L855</f>
        <v>1487.5</v>
      </c>
      <c r="M865" s="101"/>
    </row>
    <row r="866" spans="2:13" ht="30" customHeight="1" x14ac:dyDescent="0.3">
      <c r="B866" s="95"/>
      <c r="C866" s="96"/>
      <c r="D866" s="96"/>
      <c r="E866" s="96"/>
      <c r="F866" s="96"/>
      <c r="G866" s="96"/>
      <c r="H866" s="96"/>
      <c r="I866" s="96"/>
      <c r="J866" s="96"/>
      <c r="K866" s="96"/>
      <c r="L866" s="123"/>
      <c r="M866" s="101"/>
    </row>
    <row r="867" spans="2:13" ht="30" customHeight="1" x14ac:dyDescent="0.3">
      <c r="B867" s="95"/>
      <c r="C867" s="96"/>
      <c r="D867" s="96"/>
      <c r="E867" s="96"/>
      <c r="F867" s="96"/>
      <c r="G867" s="96"/>
      <c r="H867" s="96"/>
      <c r="I867" s="96"/>
      <c r="J867" s="96"/>
      <c r="K867" s="96"/>
      <c r="L867" s="123"/>
      <c r="M867" s="101"/>
    </row>
    <row r="868" spans="2:13" ht="30" customHeight="1" thickBot="1" x14ac:dyDescent="0.35">
      <c r="B868" s="95"/>
      <c r="C868" s="96"/>
      <c r="D868" s="96"/>
      <c r="E868" s="96"/>
      <c r="F868" s="112" t="s">
        <v>84</v>
      </c>
      <c r="G868" s="112"/>
      <c r="H868" s="112"/>
      <c r="I868" s="112"/>
      <c r="J868" s="112"/>
      <c r="K868" s="96" t="s">
        <v>51</v>
      </c>
      <c r="L868" s="126">
        <f>L855-L865</f>
        <v>0</v>
      </c>
      <c r="M868" s="101"/>
    </row>
    <row r="869" spans="2:13" ht="30" customHeight="1" x14ac:dyDescent="0.3">
      <c r="B869" s="127"/>
      <c r="C869" s="96"/>
      <c r="D869" s="96"/>
      <c r="E869" s="96"/>
      <c r="F869" s="96"/>
      <c r="G869" s="96"/>
      <c r="H869" s="96"/>
      <c r="I869" s="96" t="s">
        <v>44</v>
      </c>
      <c r="J869" s="96" t="s">
        <v>44</v>
      </c>
      <c r="K869" s="96" t="s">
        <v>44</v>
      </c>
      <c r="L869" s="123" t="s">
        <v>44</v>
      </c>
      <c r="M869" s="101"/>
    </row>
    <row r="870" spans="2:13" ht="30" customHeight="1" x14ac:dyDescent="0.3">
      <c r="B870" s="127"/>
      <c r="C870" s="96"/>
      <c r="D870" s="96"/>
      <c r="E870" s="96"/>
      <c r="F870" s="96"/>
      <c r="G870" s="96"/>
      <c r="H870" s="96"/>
      <c r="I870" s="96"/>
      <c r="J870" s="96"/>
      <c r="K870" s="96"/>
      <c r="L870" s="123"/>
      <c r="M870" s="101"/>
    </row>
    <row r="871" spans="2:13" ht="30" customHeight="1" x14ac:dyDescent="0.3">
      <c r="B871" s="127"/>
      <c r="C871" s="96"/>
      <c r="D871" s="96"/>
      <c r="E871" s="96"/>
      <c r="F871" s="96"/>
      <c r="G871" s="96"/>
      <c r="H871" s="96"/>
      <c r="I871" s="96"/>
      <c r="J871" s="96"/>
      <c r="K871" s="96"/>
      <c r="L871" s="123"/>
      <c r="M871" s="101"/>
    </row>
    <row r="872" spans="2:13" ht="30" customHeight="1" x14ac:dyDescent="0.25">
      <c r="B872" s="576" t="s">
        <v>85</v>
      </c>
      <c r="C872" s="577"/>
      <c r="D872" s="577"/>
      <c r="E872" s="577"/>
      <c r="F872" s="577"/>
      <c r="G872" s="577"/>
      <c r="H872" s="577"/>
      <c r="I872" s="577"/>
      <c r="J872" s="577"/>
      <c r="K872" s="577"/>
      <c r="L872" s="577"/>
      <c r="M872" s="578"/>
    </row>
    <row r="873" spans="2:13" ht="30" customHeight="1" x14ac:dyDescent="0.25">
      <c r="B873" s="576" t="s">
        <v>86</v>
      </c>
      <c r="C873" s="577"/>
      <c r="D873" s="577"/>
      <c r="E873" s="577"/>
      <c r="F873" s="577"/>
      <c r="G873" s="577"/>
      <c r="H873" s="577"/>
      <c r="I873" s="577"/>
      <c r="J873" s="577"/>
      <c r="K873" s="577"/>
      <c r="L873" s="577"/>
      <c r="M873" s="578"/>
    </row>
    <row r="874" spans="2:13" ht="30" customHeight="1" x14ac:dyDescent="0.3">
      <c r="B874" s="95"/>
      <c r="C874" s="96"/>
      <c r="D874" s="96"/>
      <c r="E874" s="96"/>
      <c r="F874" s="96"/>
      <c r="G874" s="96"/>
      <c r="H874" s="96"/>
      <c r="I874" s="96"/>
      <c r="J874" s="96"/>
      <c r="K874" s="96"/>
      <c r="L874" s="96"/>
      <c r="M874" s="101"/>
    </row>
    <row r="875" spans="2:13" ht="30" customHeight="1" x14ac:dyDescent="0.3">
      <c r="B875" s="95"/>
      <c r="C875" s="96"/>
      <c r="D875" s="96"/>
      <c r="E875" s="96"/>
      <c r="F875" s="96"/>
      <c r="G875" s="96"/>
      <c r="H875" s="96"/>
      <c r="I875" s="96"/>
      <c r="J875" s="96"/>
      <c r="K875" s="96"/>
      <c r="L875" s="96"/>
      <c r="M875" s="101"/>
    </row>
    <row r="876" spans="2:13" ht="30" customHeight="1" x14ac:dyDescent="0.3">
      <c r="B876" s="567"/>
      <c r="C876" s="568"/>
      <c r="D876" s="568"/>
      <c r="E876" s="96"/>
      <c r="F876" s="96"/>
      <c r="G876" s="96"/>
      <c r="H876" s="96"/>
      <c r="I876" s="96"/>
      <c r="J876" s="568"/>
      <c r="K876" s="568"/>
      <c r="L876" s="568"/>
      <c r="M876" s="101"/>
    </row>
    <row r="877" spans="2:13" ht="30" customHeight="1" x14ac:dyDescent="0.3">
      <c r="B877" s="569" t="s">
        <v>87</v>
      </c>
      <c r="C877" s="570"/>
      <c r="D877" s="570"/>
      <c r="E877" s="96"/>
      <c r="F877" s="96"/>
      <c r="G877" s="96"/>
      <c r="H877" s="96"/>
      <c r="I877" s="128" t="s">
        <v>88</v>
      </c>
      <c r="J877" s="128"/>
      <c r="K877" s="128"/>
      <c r="L877" s="102"/>
      <c r="M877" s="101"/>
    </row>
    <row r="878" spans="2:13" ht="30" customHeight="1" x14ac:dyDescent="0.3">
      <c r="B878" s="95" t="s">
        <v>44</v>
      </c>
      <c r="C878" s="96"/>
      <c r="D878" s="96"/>
      <c r="E878" s="96"/>
      <c r="F878" s="96"/>
      <c r="G878" s="96"/>
      <c r="H878" s="96"/>
      <c r="I878" s="96"/>
      <c r="J878" s="570"/>
      <c r="K878" s="570"/>
      <c r="L878" s="570"/>
      <c r="M878" s="101"/>
    </row>
    <row r="879" spans="2:13" ht="30" customHeight="1" x14ac:dyDescent="0.3">
      <c r="B879" s="95" t="s">
        <v>64</v>
      </c>
      <c r="C879" s="570">
        <f>C842</f>
        <v>0</v>
      </c>
      <c r="D879" s="570"/>
      <c r="E879" s="570"/>
      <c r="F879" s="96"/>
      <c r="G879" s="96"/>
      <c r="H879" s="96"/>
      <c r="I879" s="99" t="s">
        <v>104</v>
      </c>
      <c r="J879" s="571">
        <f>'PB '!C7</f>
        <v>0</v>
      </c>
      <c r="K879" s="571"/>
      <c r="L879" s="571"/>
      <c r="M879" s="572"/>
    </row>
    <row r="880" spans="2:13" ht="54.75" customHeight="1" thickBot="1" x14ac:dyDescent="0.35">
      <c r="B880" s="129"/>
      <c r="C880" s="130"/>
      <c r="D880" s="130"/>
      <c r="E880" s="130"/>
      <c r="F880" s="130"/>
      <c r="G880" s="130"/>
      <c r="H880" s="130"/>
      <c r="I880" s="130"/>
      <c r="J880" s="131"/>
      <c r="K880" s="132"/>
      <c r="L880" s="132"/>
      <c r="M880" s="133"/>
    </row>
    <row r="881" spans="2:13" ht="30" customHeight="1" x14ac:dyDescent="0.35">
      <c r="B881" s="135"/>
      <c r="C881" s="135"/>
      <c r="D881" s="135"/>
      <c r="E881" s="135"/>
      <c r="F881" s="135"/>
      <c r="G881" s="135"/>
      <c r="H881" s="135"/>
      <c r="I881" s="135"/>
      <c r="J881" s="135"/>
      <c r="K881" s="135"/>
      <c r="L881" s="135"/>
      <c r="M881" s="135"/>
    </row>
    <row r="882" spans="2:13" ht="30" customHeight="1" x14ac:dyDescent="0.35">
      <c r="B882" s="135"/>
      <c r="C882" s="135"/>
      <c r="D882" s="135"/>
      <c r="E882" s="135"/>
      <c r="F882" s="135"/>
      <c r="G882" s="135"/>
      <c r="H882" s="135"/>
      <c r="I882" s="135"/>
      <c r="J882" s="135"/>
      <c r="K882" s="135"/>
      <c r="L882" s="135"/>
      <c r="M882" s="135"/>
    </row>
    <row r="883" spans="2:13" ht="21" customHeight="1" thickBot="1" x14ac:dyDescent="0.4">
      <c r="B883" s="135"/>
      <c r="C883" s="135"/>
      <c r="D883" s="135"/>
      <c r="E883" s="135"/>
      <c r="F883" s="135"/>
      <c r="G883" s="135"/>
      <c r="H883" s="135"/>
      <c r="I883" s="135"/>
      <c r="J883" s="135"/>
      <c r="K883" s="135"/>
      <c r="L883" s="135"/>
      <c r="M883" s="135"/>
    </row>
    <row r="884" spans="2:13" ht="27" customHeight="1" x14ac:dyDescent="0.3">
      <c r="B884" s="584"/>
      <c r="C884" s="585"/>
      <c r="D884" s="585"/>
      <c r="E884" s="585"/>
      <c r="F884" s="585"/>
      <c r="G884" s="585"/>
      <c r="H884" s="585"/>
      <c r="I884" s="585"/>
      <c r="J884" s="585"/>
      <c r="K884" s="585"/>
      <c r="L884" s="585"/>
      <c r="M884" s="586"/>
    </row>
    <row r="885" spans="2:13" ht="23.25" customHeight="1" x14ac:dyDescent="0.3">
      <c r="B885" s="587" t="s">
        <v>62</v>
      </c>
      <c r="C885" s="588"/>
      <c r="D885" s="588"/>
      <c r="E885" s="588"/>
      <c r="F885" s="588"/>
      <c r="G885" s="588"/>
      <c r="H885" s="588"/>
      <c r="I885" s="588"/>
      <c r="J885" s="588"/>
      <c r="K885" s="588"/>
      <c r="L885" s="588"/>
      <c r="M885" s="589"/>
    </row>
    <row r="886" spans="2:13" ht="36.75" customHeight="1" x14ac:dyDescent="0.3">
      <c r="B886" s="95" t="s">
        <v>63</v>
      </c>
      <c r="C886" s="570" t="str">
        <f>C840</f>
        <v>Vessel name</v>
      </c>
      <c r="D886" s="570"/>
      <c r="E886" s="570"/>
      <c r="F886" s="96"/>
      <c r="G886" s="570"/>
      <c r="H886" s="570"/>
      <c r="I886" s="570"/>
      <c r="J886" s="96" t="s">
        <v>44</v>
      </c>
      <c r="K886" s="97"/>
      <c r="L886" s="582"/>
      <c r="M886" s="583"/>
    </row>
    <row r="887" spans="2:13" ht="30" customHeight="1" x14ac:dyDescent="0.3">
      <c r="B887" s="98"/>
      <c r="C887" s="96"/>
      <c r="D887" s="96"/>
      <c r="E887" s="99"/>
      <c r="F887" s="100"/>
      <c r="G887" s="100"/>
      <c r="H887" s="100"/>
      <c r="I887" s="96"/>
      <c r="J887" s="96"/>
      <c r="K887" s="97"/>
      <c r="L887" s="97"/>
      <c r="M887" s="101"/>
    </row>
    <row r="888" spans="2:13" ht="30" customHeight="1" x14ac:dyDescent="0.3">
      <c r="B888" s="95" t="s">
        <v>64</v>
      </c>
      <c r="C888" s="570">
        <f>'PB '!C27</f>
        <v>0</v>
      </c>
      <c r="D888" s="570"/>
      <c r="E888" s="570"/>
      <c r="F888" s="570"/>
      <c r="G888" s="102"/>
      <c r="H888" s="96" t="s">
        <v>21</v>
      </c>
      <c r="I888" s="151" t="str">
        <f>'PB '!D27</f>
        <v>Oiler 2</v>
      </c>
      <c r="J888" s="136"/>
      <c r="K888" s="96"/>
      <c r="L888" s="582"/>
      <c r="M888" s="583"/>
    </row>
    <row r="889" spans="2:13" ht="30" customHeight="1" x14ac:dyDescent="0.3">
      <c r="B889" s="95"/>
      <c r="C889" s="96"/>
      <c r="D889" s="96"/>
      <c r="E889" s="96"/>
      <c r="F889" s="96"/>
      <c r="G889" s="96" t="s">
        <v>65</v>
      </c>
      <c r="H889" s="96"/>
      <c r="I889" s="96"/>
      <c r="J889" s="96"/>
      <c r="K889" s="96"/>
      <c r="L889" s="96"/>
      <c r="M889" s="101"/>
    </row>
    <row r="890" spans="2:13" ht="30" customHeight="1" x14ac:dyDescent="0.3">
      <c r="B890" s="95"/>
      <c r="C890" s="96"/>
      <c r="D890" s="96"/>
      <c r="E890" s="96"/>
      <c r="F890" s="96"/>
      <c r="G890" s="96" t="s">
        <v>44</v>
      </c>
      <c r="H890" s="96"/>
      <c r="I890" s="96"/>
      <c r="J890" s="96"/>
      <c r="K890" s="96"/>
      <c r="L890" s="96"/>
      <c r="M890" s="101"/>
    </row>
    <row r="891" spans="2:13" ht="30" customHeight="1" x14ac:dyDescent="0.3">
      <c r="B891" s="95"/>
      <c r="C891" s="96"/>
      <c r="D891" s="96"/>
      <c r="E891" s="96"/>
      <c r="F891" s="96"/>
      <c r="G891" s="103" t="s">
        <v>66</v>
      </c>
      <c r="H891" s="104"/>
      <c r="I891" s="103"/>
      <c r="J891" s="103"/>
      <c r="K891" s="96" t="s">
        <v>51</v>
      </c>
      <c r="L891" s="105">
        <f>'PB '!V27</f>
        <v>0</v>
      </c>
      <c r="M891" s="101"/>
    </row>
    <row r="892" spans="2:13" ht="30" customHeight="1" x14ac:dyDescent="0.3">
      <c r="B892" s="95"/>
      <c r="C892" s="96"/>
      <c r="D892" s="96"/>
      <c r="E892" s="96"/>
      <c r="F892" s="96"/>
      <c r="G892" s="96"/>
      <c r="H892" s="96"/>
      <c r="I892" s="96"/>
      <c r="J892" s="96"/>
      <c r="K892" s="96"/>
      <c r="L892" s="96"/>
      <c r="M892" s="101"/>
    </row>
    <row r="893" spans="2:13" ht="30" customHeight="1" x14ac:dyDescent="0.3">
      <c r="B893" s="590" t="s">
        <v>67</v>
      </c>
      <c r="C893" s="591"/>
      <c r="D893" s="592" t="s">
        <v>60</v>
      </c>
      <c r="E893" s="593"/>
      <c r="F893" s="579" t="s">
        <v>61</v>
      </c>
      <c r="G893" s="580"/>
      <c r="H893" s="106" t="s">
        <v>68</v>
      </c>
      <c r="I893" s="107" t="s">
        <v>69</v>
      </c>
      <c r="J893" s="106" t="s">
        <v>51</v>
      </c>
      <c r="K893" s="108"/>
      <c r="L893" s="108"/>
      <c r="M893" s="109"/>
    </row>
    <row r="894" spans="2:13" ht="30" customHeight="1" x14ac:dyDescent="0.3">
      <c r="B894" s="560" t="s">
        <v>70</v>
      </c>
      <c r="C894" s="581"/>
      <c r="D894" s="110">
        <f>'PB '!E27</f>
        <v>1</v>
      </c>
      <c r="E894" s="111">
        <f>'PB '!C1</f>
        <v>0</v>
      </c>
      <c r="F894" s="112">
        <f>'PB '!F27</f>
        <v>31</v>
      </c>
      <c r="G894" s="111">
        <f>E894</f>
        <v>0</v>
      </c>
      <c r="H894" s="113">
        <f>'PB '!G27</f>
        <v>30</v>
      </c>
      <c r="I894" s="114">
        <v>673</v>
      </c>
      <c r="J894" s="115">
        <f>I894*H894/30</f>
        <v>673</v>
      </c>
      <c r="K894" s="96"/>
      <c r="L894" s="96"/>
      <c r="M894" s="101"/>
    </row>
    <row r="895" spans="2:13" ht="30" customHeight="1" x14ac:dyDescent="0.3">
      <c r="B895" s="560" t="s">
        <v>71</v>
      </c>
      <c r="C895" s="581"/>
      <c r="D895" s="110">
        <f>D894</f>
        <v>1</v>
      </c>
      <c r="E895" s="111">
        <f>E894</f>
        <v>0</v>
      </c>
      <c r="F895" s="112">
        <f>F894</f>
        <v>31</v>
      </c>
      <c r="G895" s="111">
        <f>E894</f>
        <v>0</v>
      </c>
      <c r="H895" s="113">
        <f>H894</f>
        <v>30</v>
      </c>
      <c r="I895" s="114">
        <v>421</v>
      </c>
      <c r="J895" s="115">
        <f>I895*H895/30</f>
        <v>421</v>
      </c>
      <c r="K895" s="96"/>
      <c r="L895" s="96"/>
      <c r="M895" s="101"/>
    </row>
    <row r="896" spans="2:13" ht="30" customHeight="1" x14ac:dyDescent="0.3">
      <c r="B896" s="557" t="s">
        <v>72</v>
      </c>
      <c r="C896" s="558"/>
      <c r="D896" s="110">
        <f t="shared" ref="D896:D897" si="7">D895</f>
        <v>1</v>
      </c>
      <c r="E896" s="111">
        <f>E894</f>
        <v>0</v>
      </c>
      <c r="F896" s="112">
        <f>F894</f>
        <v>31</v>
      </c>
      <c r="G896" s="111">
        <f>E894</f>
        <v>0</v>
      </c>
      <c r="H896" s="113">
        <f>H894</f>
        <v>30</v>
      </c>
      <c r="I896" s="114">
        <v>88.44</v>
      </c>
      <c r="J896" s="115">
        <f>I896*H896/30</f>
        <v>88.44</v>
      </c>
      <c r="K896" s="96"/>
      <c r="L896" s="96"/>
      <c r="M896" s="101"/>
    </row>
    <row r="897" spans="2:13" ht="30" customHeight="1" x14ac:dyDescent="0.3">
      <c r="B897" s="557" t="s">
        <v>73</v>
      </c>
      <c r="C897" s="558"/>
      <c r="D897" s="110">
        <f t="shared" si="7"/>
        <v>1</v>
      </c>
      <c r="E897" s="111">
        <f>E894</f>
        <v>0</v>
      </c>
      <c r="F897" s="112">
        <f>F894</f>
        <v>31</v>
      </c>
      <c r="G897" s="111">
        <f>E894</f>
        <v>0</v>
      </c>
      <c r="H897" s="113">
        <f>H894</f>
        <v>30</v>
      </c>
      <c r="I897" s="114">
        <v>217.56</v>
      </c>
      <c r="J897" s="115">
        <f>I897*H897/30</f>
        <v>217.56</v>
      </c>
      <c r="K897" s="96"/>
      <c r="L897" s="96"/>
      <c r="M897" s="101"/>
    </row>
    <row r="898" spans="2:13" ht="30" customHeight="1" x14ac:dyDescent="0.3">
      <c r="B898" s="562" t="s">
        <v>74</v>
      </c>
      <c r="C898" s="563"/>
      <c r="D898" s="110"/>
      <c r="E898" s="111"/>
      <c r="F898" s="112"/>
      <c r="G898" s="111"/>
      <c r="H898" s="118"/>
      <c r="I898" s="114"/>
      <c r="J898" s="115">
        <f>'PB '!L27</f>
        <v>0</v>
      </c>
      <c r="K898" s="96"/>
      <c r="L898" s="96"/>
      <c r="M898" s="101"/>
    </row>
    <row r="899" spans="2:13" ht="30" customHeight="1" x14ac:dyDescent="0.3">
      <c r="B899" s="564" t="s">
        <v>173</v>
      </c>
      <c r="C899" s="561"/>
      <c r="D899" s="117"/>
      <c r="E899" s="111"/>
      <c r="F899" s="117"/>
      <c r="G899" s="111"/>
      <c r="H899" s="118"/>
      <c r="I899" s="114"/>
      <c r="J899" s="115">
        <f>'PB '!O27</f>
        <v>37.5</v>
      </c>
      <c r="K899" s="96"/>
      <c r="L899" s="96"/>
      <c r="M899" s="101"/>
    </row>
    <row r="900" spans="2:13" ht="30" customHeight="1" x14ac:dyDescent="0.3">
      <c r="B900" s="95"/>
      <c r="C900" s="96"/>
      <c r="D900" s="96"/>
      <c r="E900" s="96"/>
      <c r="F900" s="565" t="s">
        <v>76</v>
      </c>
      <c r="G900" s="565"/>
      <c r="H900" s="565"/>
      <c r="I900" s="566"/>
      <c r="J900" s="119">
        <f>SUM(J894:J899)</f>
        <v>1437.5</v>
      </c>
      <c r="K900" s="120" t="s">
        <v>51</v>
      </c>
      <c r="L900" s="121">
        <f>J900</f>
        <v>1437.5</v>
      </c>
      <c r="M900" s="101"/>
    </row>
    <row r="901" spans="2:13" ht="30" customHeight="1" thickBot="1" x14ac:dyDescent="0.35">
      <c r="B901" s="95"/>
      <c r="C901" s="96"/>
      <c r="D901" s="96"/>
      <c r="E901" s="96"/>
      <c r="F901" s="96"/>
      <c r="G901" s="96"/>
      <c r="H901" s="96"/>
      <c r="I901" s="96"/>
      <c r="J901" s="96"/>
      <c r="K901" s="96"/>
      <c r="L901" s="122">
        <f>L891+L900</f>
        <v>1437.5</v>
      </c>
      <c r="M901" s="101"/>
    </row>
    <row r="902" spans="2:13" ht="30" customHeight="1" x14ac:dyDescent="0.3">
      <c r="B902" s="95"/>
      <c r="C902" s="96"/>
      <c r="D902" s="96"/>
      <c r="E902" s="96"/>
      <c r="F902" s="96"/>
      <c r="G902" s="96"/>
      <c r="H902" s="96"/>
      <c r="I902" s="96"/>
      <c r="J902" s="96"/>
      <c r="K902" s="96"/>
      <c r="L902" s="123"/>
      <c r="M902" s="101"/>
    </row>
    <row r="903" spans="2:13" ht="30" customHeight="1" x14ac:dyDescent="0.3">
      <c r="B903" s="95"/>
      <c r="C903" s="96"/>
      <c r="D903" s="96"/>
      <c r="E903" s="96"/>
      <c r="F903" s="96"/>
      <c r="G903" s="96"/>
      <c r="H903" s="96"/>
      <c r="I903" s="96"/>
      <c r="J903" s="96"/>
      <c r="K903" s="96"/>
      <c r="L903" s="123"/>
      <c r="M903" s="101"/>
    </row>
    <row r="904" spans="2:13" ht="30" customHeight="1" x14ac:dyDescent="0.3">
      <c r="B904" s="557" t="s">
        <v>77</v>
      </c>
      <c r="C904" s="558"/>
      <c r="D904" s="558"/>
      <c r="E904" s="558"/>
      <c r="F904" s="558"/>
      <c r="G904" s="558"/>
      <c r="H904" s="558"/>
      <c r="I904" s="559"/>
      <c r="J904" s="124"/>
      <c r="K904" s="96"/>
      <c r="L904" s="123"/>
      <c r="M904" s="101"/>
    </row>
    <row r="905" spans="2:13" ht="30" customHeight="1" x14ac:dyDescent="0.3">
      <c r="B905" s="560" t="s">
        <v>78</v>
      </c>
      <c r="C905" s="561"/>
      <c r="D905" s="561"/>
      <c r="E905" s="561"/>
      <c r="F905" s="561"/>
      <c r="G905" s="561"/>
      <c r="H905" s="561"/>
      <c r="I905" s="561"/>
      <c r="J905" s="114">
        <f>'PB '!Q27</f>
        <v>200</v>
      </c>
      <c r="K905" s="96"/>
      <c r="L905" s="123"/>
      <c r="M905" s="101"/>
    </row>
    <row r="906" spans="2:13" ht="30" customHeight="1" x14ac:dyDescent="0.3">
      <c r="B906" s="560" t="s">
        <v>79</v>
      </c>
      <c r="C906" s="561"/>
      <c r="D906" s="561"/>
      <c r="E906" s="561"/>
      <c r="F906" s="561"/>
      <c r="G906" s="561"/>
      <c r="H906" s="561"/>
      <c r="I906" s="561"/>
      <c r="J906" s="114">
        <f>'PB '!R27</f>
        <v>1237.5</v>
      </c>
      <c r="K906" s="96"/>
      <c r="L906" s="123"/>
      <c r="M906" s="101"/>
    </row>
    <row r="907" spans="2:13" ht="30" customHeight="1" x14ac:dyDescent="0.3">
      <c r="B907" s="560" t="s">
        <v>80</v>
      </c>
      <c r="C907" s="561"/>
      <c r="D907" s="561"/>
      <c r="E907" s="561"/>
      <c r="F907" s="561"/>
      <c r="G907" s="561"/>
      <c r="H907" s="561"/>
      <c r="I907" s="561"/>
      <c r="J907" s="114">
        <f>'PB '!S27</f>
        <v>0</v>
      </c>
      <c r="K907" s="96"/>
      <c r="L907" s="123"/>
      <c r="M907" s="101"/>
    </row>
    <row r="908" spans="2:13" ht="30" customHeight="1" x14ac:dyDescent="0.3">
      <c r="B908" s="560" t="s">
        <v>81</v>
      </c>
      <c r="C908" s="561"/>
      <c r="D908" s="561"/>
      <c r="E908" s="561"/>
      <c r="F908" s="561"/>
      <c r="G908" s="561"/>
      <c r="H908" s="561"/>
      <c r="I908" s="561"/>
      <c r="J908" s="114">
        <f>'PB '!T27</f>
        <v>0</v>
      </c>
      <c r="K908" s="96"/>
      <c r="L908" s="123"/>
      <c r="M908" s="101"/>
    </row>
    <row r="909" spans="2:13" ht="30" customHeight="1" x14ac:dyDescent="0.3">
      <c r="B909" s="557" t="s">
        <v>82</v>
      </c>
      <c r="C909" s="558"/>
      <c r="D909" s="558"/>
      <c r="E909" s="558"/>
      <c r="F909" s="558"/>
      <c r="G909" s="558"/>
      <c r="H909" s="558"/>
      <c r="I909" s="559"/>
      <c r="J909" s="114">
        <f>'PB '!T27</f>
        <v>0</v>
      </c>
      <c r="K909" s="96"/>
      <c r="L909" s="123"/>
      <c r="M909" s="101"/>
    </row>
    <row r="910" spans="2:13" ht="30" customHeight="1" thickBot="1" x14ac:dyDescent="0.35">
      <c r="B910" s="560" t="s">
        <v>119</v>
      </c>
      <c r="C910" s="561"/>
      <c r="D910" s="561"/>
      <c r="E910" s="561"/>
      <c r="F910" s="561"/>
      <c r="G910" s="561"/>
      <c r="H910" s="561"/>
      <c r="I910" s="561"/>
      <c r="J910" s="114">
        <v>0</v>
      </c>
      <c r="K910" s="96"/>
      <c r="L910" s="123"/>
      <c r="M910" s="101"/>
    </row>
    <row r="911" spans="2:13" ht="30" customHeight="1" thickBot="1" x14ac:dyDescent="0.35">
      <c r="B911" s="95"/>
      <c r="C911" s="96"/>
      <c r="D911" s="96"/>
      <c r="E911" s="96"/>
      <c r="F911" s="573" t="s">
        <v>83</v>
      </c>
      <c r="G911" s="574"/>
      <c r="H911" s="574"/>
      <c r="I911" s="575"/>
      <c r="J911" s="114">
        <f>SUM(J905:J910)</f>
        <v>1437.5</v>
      </c>
      <c r="K911" s="96" t="s">
        <v>51</v>
      </c>
      <c r="L911" s="125">
        <f>J911</f>
        <v>1437.5</v>
      </c>
      <c r="M911" s="101"/>
    </row>
    <row r="912" spans="2:13" ht="30" customHeight="1" x14ac:dyDescent="0.3">
      <c r="B912" s="95"/>
      <c r="C912" s="96"/>
      <c r="D912" s="96"/>
      <c r="E912" s="96"/>
      <c r="F912" s="96"/>
      <c r="G912" s="96"/>
      <c r="H912" s="96"/>
      <c r="I912" s="96"/>
      <c r="J912" s="96"/>
      <c r="K912" s="96"/>
      <c r="L912" s="123"/>
      <c r="M912" s="101"/>
    </row>
    <row r="913" spans="2:13" ht="30" customHeight="1" x14ac:dyDescent="0.3">
      <c r="B913" s="95"/>
      <c r="C913" s="96"/>
      <c r="D913" s="96"/>
      <c r="E913" s="96"/>
      <c r="F913" s="96"/>
      <c r="G913" s="96"/>
      <c r="H913" s="96"/>
      <c r="I913" s="96"/>
      <c r="J913" s="96"/>
      <c r="K913" s="96"/>
      <c r="L913" s="123"/>
      <c r="M913" s="101"/>
    </row>
    <row r="914" spans="2:13" ht="30" customHeight="1" thickBot="1" x14ac:dyDescent="0.35">
      <c r="B914" s="95"/>
      <c r="C914" s="96"/>
      <c r="D914" s="96"/>
      <c r="E914" s="96"/>
      <c r="F914" s="112" t="s">
        <v>84</v>
      </c>
      <c r="G914" s="112"/>
      <c r="H914" s="112"/>
      <c r="I914" s="112"/>
      <c r="J914" s="112"/>
      <c r="K914" s="96" t="s">
        <v>51</v>
      </c>
      <c r="L914" s="126">
        <f>L901-L911</f>
        <v>0</v>
      </c>
      <c r="M914" s="101"/>
    </row>
    <row r="915" spans="2:13" ht="30" customHeight="1" x14ac:dyDescent="0.3">
      <c r="B915" s="127"/>
      <c r="C915" s="96"/>
      <c r="D915" s="96"/>
      <c r="E915" s="96"/>
      <c r="F915" s="96"/>
      <c r="G915" s="96"/>
      <c r="H915" s="96"/>
      <c r="I915" s="96" t="s">
        <v>44</v>
      </c>
      <c r="J915" s="96" t="s">
        <v>44</v>
      </c>
      <c r="K915" s="96" t="s">
        <v>44</v>
      </c>
      <c r="L915" s="123" t="s">
        <v>44</v>
      </c>
      <c r="M915" s="101"/>
    </row>
    <row r="916" spans="2:13" ht="30" customHeight="1" x14ac:dyDescent="0.3">
      <c r="B916" s="127"/>
      <c r="C916" s="96"/>
      <c r="D916" s="96"/>
      <c r="E916" s="96"/>
      <c r="F916" s="96"/>
      <c r="G916" s="96"/>
      <c r="H916" s="96"/>
      <c r="I916" s="96"/>
      <c r="J916" s="96"/>
      <c r="K916" s="96"/>
      <c r="L916" s="123"/>
      <c r="M916" s="101"/>
    </row>
    <row r="917" spans="2:13" ht="30" customHeight="1" x14ac:dyDescent="0.3">
      <c r="B917" s="127"/>
      <c r="C917" s="96"/>
      <c r="D917" s="96"/>
      <c r="E917" s="96"/>
      <c r="F917" s="96"/>
      <c r="G917" s="96"/>
      <c r="H917" s="96"/>
      <c r="I917" s="96"/>
      <c r="J917" s="96"/>
      <c r="K917" s="96"/>
      <c r="L917" s="123"/>
      <c r="M917" s="101"/>
    </row>
    <row r="918" spans="2:13" ht="30" customHeight="1" x14ac:dyDescent="0.25">
      <c r="B918" s="576" t="s">
        <v>85</v>
      </c>
      <c r="C918" s="577"/>
      <c r="D918" s="577"/>
      <c r="E918" s="577"/>
      <c r="F918" s="577"/>
      <c r="G918" s="577"/>
      <c r="H918" s="577"/>
      <c r="I918" s="577"/>
      <c r="J918" s="577"/>
      <c r="K918" s="577"/>
      <c r="L918" s="577"/>
      <c r="M918" s="578"/>
    </row>
    <row r="919" spans="2:13" ht="30" customHeight="1" x14ac:dyDescent="0.25">
      <c r="B919" s="576" t="s">
        <v>86</v>
      </c>
      <c r="C919" s="577"/>
      <c r="D919" s="577"/>
      <c r="E919" s="577"/>
      <c r="F919" s="577"/>
      <c r="G919" s="577"/>
      <c r="H919" s="577"/>
      <c r="I919" s="577"/>
      <c r="J919" s="577"/>
      <c r="K919" s="577"/>
      <c r="L919" s="577"/>
      <c r="M919" s="578"/>
    </row>
    <row r="920" spans="2:13" ht="30" customHeight="1" x14ac:dyDescent="0.3">
      <c r="B920" s="95"/>
      <c r="C920" s="96"/>
      <c r="D920" s="96"/>
      <c r="E920" s="96"/>
      <c r="F920" s="96"/>
      <c r="G920" s="96"/>
      <c r="H920" s="96"/>
      <c r="I920" s="96"/>
      <c r="J920" s="96"/>
      <c r="K920" s="96"/>
      <c r="L920" s="96"/>
      <c r="M920" s="101"/>
    </row>
    <row r="921" spans="2:13" ht="30" customHeight="1" x14ac:dyDescent="0.3">
      <c r="B921" s="95"/>
      <c r="C921" s="96"/>
      <c r="D921" s="96"/>
      <c r="E921" s="96"/>
      <c r="F921" s="96"/>
      <c r="G921" s="96"/>
      <c r="H921" s="96"/>
      <c r="I921" s="96"/>
      <c r="J921" s="96"/>
      <c r="K921" s="96"/>
      <c r="L921" s="96"/>
      <c r="M921" s="101"/>
    </row>
    <row r="922" spans="2:13" ht="30" customHeight="1" x14ac:dyDescent="0.3">
      <c r="B922" s="567"/>
      <c r="C922" s="568"/>
      <c r="D922" s="568"/>
      <c r="E922" s="96"/>
      <c r="F922" s="96"/>
      <c r="G922" s="96"/>
      <c r="H922" s="96"/>
      <c r="I922" s="96"/>
      <c r="J922" s="568"/>
      <c r="K922" s="568"/>
      <c r="L922" s="568"/>
      <c r="M922" s="101"/>
    </row>
    <row r="923" spans="2:13" ht="30" customHeight="1" x14ac:dyDescent="0.3">
      <c r="B923" s="569" t="s">
        <v>87</v>
      </c>
      <c r="C923" s="570"/>
      <c r="D923" s="570"/>
      <c r="E923" s="96"/>
      <c r="F923" s="96"/>
      <c r="G923" s="96"/>
      <c r="H923" s="96"/>
      <c r="I923" s="128" t="s">
        <v>88</v>
      </c>
      <c r="J923" s="128"/>
      <c r="K923" s="128"/>
      <c r="L923" s="102"/>
      <c r="M923" s="101"/>
    </row>
    <row r="924" spans="2:13" ht="30" customHeight="1" x14ac:dyDescent="0.3">
      <c r="B924" s="95" t="s">
        <v>44</v>
      </c>
      <c r="C924" s="96"/>
      <c r="D924" s="96"/>
      <c r="E924" s="96"/>
      <c r="F924" s="96"/>
      <c r="G924" s="96"/>
      <c r="H924" s="96"/>
      <c r="I924" s="96"/>
      <c r="J924" s="570"/>
      <c r="K924" s="570"/>
      <c r="L924" s="570"/>
      <c r="M924" s="101"/>
    </row>
    <row r="925" spans="2:13" ht="30" customHeight="1" x14ac:dyDescent="0.3">
      <c r="B925" s="95" t="s">
        <v>64</v>
      </c>
      <c r="C925" s="570">
        <f>C888</f>
        <v>0</v>
      </c>
      <c r="D925" s="570"/>
      <c r="E925" s="570"/>
      <c r="F925" s="96"/>
      <c r="G925" s="96"/>
      <c r="H925" s="96"/>
      <c r="I925" s="99" t="s">
        <v>104</v>
      </c>
      <c r="J925" s="571">
        <f>+'PB '!C7</f>
        <v>0</v>
      </c>
      <c r="K925" s="571"/>
      <c r="L925" s="571"/>
      <c r="M925" s="572"/>
    </row>
    <row r="926" spans="2:13" ht="30" customHeight="1" thickBot="1" x14ac:dyDescent="0.35">
      <c r="B926" s="129"/>
      <c r="C926" s="130"/>
      <c r="D926" s="130"/>
      <c r="E926" s="130"/>
      <c r="F926" s="130"/>
      <c r="G926" s="130"/>
      <c r="H926" s="130"/>
      <c r="I926" s="130"/>
      <c r="J926" s="131"/>
      <c r="K926" s="132"/>
      <c r="L926" s="132"/>
      <c r="M926" s="133"/>
    </row>
    <row r="927" spans="2:13" ht="30" customHeight="1" x14ac:dyDescent="0.35">
      <c r="B927" s="135"/>
      <c r="C927" s="135"/>
      <c r="D927" s="135"/>
      <c r="E927" s="135"/>
      <c r="F927" s="135"/>
      <c r="G927" s="135"/>
      <c r="H927" s="135"/>
      <c r="I927" s="135"/>
      <c r="J927" s="135"/>
      <c r="K927" s="135"/>
      <c r="L927" s="135"/>
      <c r="M927" s="135"/>
    </row>
    <row r="928" spans="2:13" ht="30" customHeight="1" x14ac:dyDescent="0.35">
      <c r="B928" s="135"/>
      <c r="C928" s="135"/>
      <c r="D928" s="135"/>
      <c r="E928" s="135"/>
      <c r="F928" s="135"/>
      <c r="G928" s="135"/>
      <c r="H928" s="135"/>
      <c r="I928" s="135"/>
      <c r="J928" s="135"/>
      <c r="K928" s="135"/>
      <c r="L928" s="135"/>
      <c r="M928" s="135"/>
    </row>
    <row r="929" spans="2:13" ht="30" customHeight="1" x14ac:dyDescent="0.35">
      <c r="B929" s="135"/>
      <c r="C929" s="135"/>
      <c r="D929" s="135"/>
      <c r="E929" s="135"/>
      <c r="F929" s="135"/>
      <c r="G929" s="135"/>
      <c r="H929" s="135"/>
      <c r="I929" s="135"/>
      <c r="J929" s="135"/>
      <c r="K929" s="135"/>
      <c r="L929" s="135"/>
      <c r="M929" s="135"/>
    </row>
    <row r="930" spans="2:13" ht="30" customHeight="1" thickBot="1" x14ac:dyDescent="0.4">
      <c r="B930" s="135"/>
      <c r="C930" s="135"/>
      <c r="D930" s="135"/>
      <c r="E930" s="135"/>
      <c r="F930" s="135"/>
      <c r="G930" s="135"/>
      <c r="H930" s="135"/>
      <c r="I930" s="135"/>
      <c r="J930" s="135"/>
      <c r="K930" s="135"/>
      <c r="L930" s="135"/>
      <c r="M930" s="135"/>
    </row>
    <row r="931" spans="2:13" ht="25.35" customHeight="1" x14ac:dyDescent="0.3">
      <c r="B931" s="584"/>
      <c r="C931" s="585"/>
      <c r="D931" s="585"/>
      <c r="E931" s="585"/>
      <c r="F931" s="585"/>
      <c r="G931" s="585"/>
      <c r="H931" s="585"/>
      <c r="I931" s="585"/>
      <c r="J931" s="585"/>
      <c r="K931" s="585"/>
      <c r="L931" s="585"/>
      <c r="M931" s="586"/>
    </row>
    <row r="932" spans="2:13" ht="25.35" customHeight="1" x14ac:dyDescent="0.3">
      <c r="B932" s="587" t="s">
        <v>62</v>
      </c>
      <c r="C932" s="588"/>
      <c r="D932" s="588"/>
      <c r="E932" s="588"/>
      <c r="F932" s="588"/>
      <c r="G932" s="588"/>
      <c r="H932" s="588"/>
      <c r="I932" s="588"/>
      <c r="J932" s="588"/>
      <c r="K932" s="588"/>
      <c r="L932" s="588"/>
      <c r="M932" s="589"/>
    </row>
    <row r="933" spans="2:13" ht="25.35" customHeight="1" x14ac:dyDescent="0.3">
      <c r="B933" s="95" t="s">
        <v>63</v>
      </c>
      <c r="C933" s="570" t="str">
        <f>C886</f>
        <v>Vessel name</v>
      </c>
      <c r="D933" s="570"/>
      <c r="E933" s="570"/>
      <c r="F933" s="96"/>
      <c r="G933" s="570"/>
      <c r="H933" s="570"/>
      <c r="I933" s="570"/>
      <c r="J933" s="96" t="s">
        <v>44</v>
      </c>
      <c r="K933" s="97"/>
      <c r="L933" s="582"/>
      <c r="M933" s="583"/>
    </row>
    <row r="934" spans="2:13" ht="25.35" customHeight="1" x14ac:dyDescent="0.3">
      <c r="B934" s="98"/>
      <c r="C934" s="96"/>
      <c r="D934" s="96"/>
      <c r="E934" s="99"/>
      <c r="F934" s="100"/>
      <c r="G934" s="100"/>
      <c r="H934" s="100"/>
      <c r="I934" s="96"/>
      <c r="J934" s="96"/>
      <c r="K934" s="97"/>
      <c r="L934" s="97"/>
      <c r="M934" s="101"/>
    </row>
    <row r="935" spans="2:13" ht="25.35" customHeight="1" x14ac:dyDescent="0.3">
      <c r="B935" s="95" t="s">
        <v>64</v>
      </c>
      <c r="C935" s="570">
        <f>'PB '!C28</f>
        <v>0</v>
      </c>
      <c r="D935" s="570"/>
      <c r="E935" s="570"/>
      <c r="F935" s="570"/>
      <c r="G935" s="102"/>
      <c r="H935" s="96" t="s">
        <v>21</v>
      </c>
      <c r="I935" s="151" t="str">
        <f>'PB '!D28</f>
        <v>Oiler 3</v>
      </c>
      <c r="J935" s="136"/>
      <c r="K935" s="96"/>
      <c r="L935" s="582"/>
      <c r="M935" s="583"/>
    </row>
    <row r="936" spans="2:13" ht="25.35" customHeight="1" x14ac:dyDescent="0.3">
      <c r="B936" s="95"/>
      <c r="C936" s="96"/>
      <c r="D936" s="96"/>
      <c r="E936" s="96"/>
      <c r="F936" s="96"/>
      <c r="G936" s="96" t="s">
        <v>65</v>
      </c>
      <c r="H936" s="96"/>
      <c r="I936" s="96"/>
      <c r="J936" s="96"/>
      <c r="K936" s="96"/>
      <c r="L936" s="96"/>
      <c r="M936" s="101"/>
    </row>
    <row r="937" spans="2:13" ht="25.35" customHeight="1" x14ac:dyDescent="0.3">
      <c r="B937" s="95"/>
      <c r="C937" s="96"/>
      <c r="D937" s="96"/>
      <c r="E937" s="96"/>
      <c r="F937" s="96"/>
      <c r="G937" s="96" t="s">
        <v>44</v>
      </c>
      <c r="H937" s="96"/>
      <c r="I937" s="96"/>
      <c r="J937" s="96"/>
      <c r="K937" s="96"/>
      <c r="L937" s="96"/>
      <c r="M937" s="101"/>
    </row>
    <row r="938" spans="2:13" ht="25.35" customHeight="1" x14ac:dyDescent="0.3">
      <c r="B938" s="95"/>
      <c r="C938" s="96"/>
      <c r="D938" s="96"/>
      <c r="E938" s="96"/>
      <c r="F938" s="96"/>
      <c r="G938" s="103" t="s">
        <v>66</v>
      </c>
      <c r="H938" s="104"/>
      <c r="I938" s="103"/>
      <c r="J938" s="103"/>
      <c r="K938" s="96" t="s">
        <v>51</v>
      </c>
      <c r="L938" s="105">
        <f>'PB '!V28</f>
        <v>0</v>
      </c>
      <c r="M938" s="101"/>
    </row>
    <row r="939" spans="2:13" ht="25.35" customHeight="1" x14ac:dyDescent="0.3">
      <c r="B939" s="95"/>
      <c r="C939" s="96"/>
      <c r="D939" s="96"/>
      <c r="E939" s="96"/>
      <c r="F939" s="96"/>
      <c r="G939" s="96"/>
      <c r="H939" s="96"/>
      <c r="I939" s="96"/>
      <c r="J939" s="96"/>
      <c r="K939" s="96"/>
      <c r="L939" s="96"/>
      <c r="M939" s="101"/>
    </row>
    <row r="940" spans="2:13" ht="25.35" customHeight="1" x14ac:dyDescent="0.3">
      <c r="B940" s="590" t="s">
        <v>67</v>
      </c>
      <c r="C940" s="591"/>
      <c r="D940" s="592" t="s">
        <v>60</v>
      </c>
      <c r="E940" s="593"/>
      <c r="F940" s="579" t="s">
        <v>61</v>
      </c>
      <c r="G940" s="580"/>
      <c r="H940" s="106" t="s">
        <v>68</v>
      </c>
      <c r="I940" s="107" t="s">
        <v>69</v>
      </c>
      <c r="J940" s="106" t="s">
        <v>51</v>
      </c>
      <c r="K940" s="108"/>
      <c r="L940" s="108"/>
      <c r="M940" s="109"/>
    </row>
    <row r="941" spans="2:13" ht="25.35" customHeight="1" x14ac:dyDescent="0.3">
      <c r="B941" s="560" t="s">
        <v>70</v>
      </c>
      <c r="C941" s="581"/>
      <c r="D941" s="110">
        <f>'PB '!E28</f>
        <v>28</v>
      </c>
      <c r="E941" s="111">
        <f>'PB '!C1</f>
        <v>0</v>
      </c>
      <c r="F941" s="112">
        <f>'PB '!F28</f>
        <v>31</v>
      </c>
      <c r="G941" s="111">
        <f>E941</f>
        <v>0</v>
      </c>
      <c r="H941" s="113">
        <f>'PB '!G28</f>
        <v>4</v>
      </c>
      <c r="I941" s="114">
        <v>673</v>
      </c>
      <c r="J941" s="115">
        <f>I941*H941/30</f>
        <v>89.733333333333334</v>
      </c>
      <c r="K941" s="96"/>
      <c r="L941" s="96"/>
      <c r="M941" s="101"/>
    </row>
    <row r="942" spans="2:13" ht="25.35" customHeight="1" x14ac:dyDescent="0.3">
      <c r="B942" s="560" t="s">
        <v>71</v>
      </c>
      <c r="C942" s="581"/>
      <c r="D942" s="110">
        <f>D941</f>
        <v>28</v>
      </c>
      <c r="E942" s="111">
        <f>E941</f>
        <v>0</v>
      </c>
      <c r="F942" s="112">
        <f>F941</f>
        <v>31</v>
      </c>
      <c r="G942" s="111">
        <f>E941</f>
        <v>0</v>
      </c>
      <c r="H942" s="113">
        <f>H941</f>
        <v>4</v>
      </c>
      <c r="I942" s="114">
        <v>421</v>
      </c>
      <c r="J942" s="115">
        <f>I942*H942/30</f>
        <v>56.133333333333333</v>
      </c>
      <c r="K942" s="96"/>
      <c r="L942" s="96"/>
      <c r="M942" s="101"/>
    </row>
    <row r="943" spans="2:13" ht="25.35" customHeight="1" x14ac:dyDescent="0.3">
      <c r="B943" s="557" t="s">
        <v>72</v>
      </c>
      <c r="C943" s="558"/>
      <c r="D943" s="110">
        <f>D941</f>
        <v>28</v>
      </c>
      <c r="E943" s="111">
        <f>E941</f>
        <v>0</v>
      </c>
      <c r="F943" s="112">
        <f>F941</f>
        <v>31</v>
      </c>
      <c r="G943" s="111">
        <f>E941</f>
        <v>0</v>
      </c>
      <c r="H943" s="113">
        <f>H941</f>
        <v>4</v>
      </c>
      <c r="I943" s="114">
        <v>56.08</v>
      </c>
      <c r="J943" s="115">
        <f>I943*H943/30</f>
        <v>7.4773333333333332</v>
      </c>
      <c r="K943" s="96"/>
      <c r="L943" s="96"/>
      <c r="M943" s="101"/>
    </row>
    <row r="944" spans="2:13" ht="25.35" customHeight="1" x14ac:dyDescent="0.3">
      <c r="B944" s="557" t="s">
        <v>73</v>
      </c>
      <c r="C944" s="558"/>
      <c r="D944" s="110">
        <f>D941</f>
        <v>28</v>
      </c>
      <c r="E944" s="111">
        <f>E941</f>
        <v>0</v>
      </c>
      <c r="F944" s="112">
        <f>F941</f>
        <v>31</v>
      </c>
      <c r="G944" s="111">
        <f>E941</f>
        <v>0</v>
      </c>
      <c r="H944" s="113">
        <f>H941</f>
        <v>4</v>
      </c>
      <c r="I944" s="114">
        <v>399.92</v>
      </c>
      <c r="J944" s="115">
        <f>I944*H944/30</f>
        <v>53.32266666666667</v>
      </c>
      <c r="K944" s="96"/>
      <c r="L944" s="96"/>
      <c r="M944" s="101"/>
    </row>
    <row r="945" spans="2:13" ht="25.35" customHeight="1" x14ac:dyDescent="0.3">
      <c r="B945" s="562" t="s">
        <v>74</v>
      </c>
      <c r="C945" s="563"/>
      <c r="D945" s="110"/>
      <c r="E945" s="111"/>
      <c r="F945" s="112"/>
      <c r="G945" s="111"/>
      <c r="H945" s="118"/>
      <c r="I945" s="114"/>
      <c r="J945" s="115">
        <f>'PB '!L28</f>
        <v>22.433333333333334</v>
      </c>
      <c r="K945" s="96"/>
      <c r="L945" s="96"/>
      <c r="M945" s="101"/>
    </row>
    <row r="946" spans="2:13" ht="25.35" customHeight="1" x14ac:dyDescent="0.3">
      <c r="B946" s="564" t="s">
        <v>156</v>
      </c>
      <c r="C946" s="561"/>
      <c r="D946" s="117"/>
      <c r="E946" s="111"/>
      <c r="F946" s="117"/>
      <c r="G946" s="111"/>
      <c r="H946" s="118"/>
      <c r="I946" s="114"/>
      <c r="J946" s="115">
        <f>'PB '!N28</f>
        <v>92.78</v>
      </c>
      <c r="K946" s="96"/>
      <c r="L946" s="96"/>
      <c r="M946" s="101"/>
    </row>
    <row r="947" spans="2:13" ht="25.35" customHeight="1" x14ac:dyDescent="0.3">
      <c r="B947" s="95"/>
      <c r="C947" s="96"/>
      <c r="D947" s="96"/>
      <c r="E947" s="96"/>
      <c r="F947" s="565" t="s">
        <v>76</v>
      </c>
      <c r="G947" s="565"/>
      <c r="H947" s="565"/>
      <c r="I947" s="566"/>
      <c r="J947" s="119">
        <f>SUM(J941:J946)</f>
        <v>321.88</v>
      </c>
      <c r="K947" s="120" t="s">
        <v>51</v>
      </c>
      <c r="L947" s="121">
        <f>J947</f>
        <v>321.88</v>
      </c>
      <c r="M947" s="101"/>
    </row>
    <row r="948" spans="2:13" ht="25.35" customHeight="1" thickBot="1" x14ac:dyDescent="0.35">
      <c r="B948" s="95"/>
      <c r="C948" s="96"/>
      <c r="D948" s="96"/>
      <c r="E948" s="96"/>
      <c r="F948" s="96"/>
      <c r="G948" s="96"/>
      <c r="H948" s="96"/>
      <c r="I948" s="96"/>
      <c r="J948" s="96"/>
      <c r="K948" s="96"/>
      <c r="L948" s="122">
        <f>L938+L947</f>
        <v>321.88</v>
      </c>
      <c r="M948" s="101"/>
    </row>
    <row r="949" spans="2:13" ht="25.35" customHeight="1" x14ac:dyDescent="0.3">
      <c r="B949" s="95"/>
      <c r="C949" s="96"/>
      <c r="D949" s="96"/>
      <c r="E949" s="96"/>
      <c r="F949" s="96"/>
      <c r="G949" s="96"/>
      <c r="H949" s="96"/>
      <c r="I949" s="96"/>
      <c r="J949" s="96"/>
      <c r="K949" s="96"/>
      <c r="L949" s="123"/>
      <c r="M949" s="101"/>
    </row>
    <row r="950" spans="2:13" ht="25.35" customHeight="1" x14ac:dyDescent="0.3">
      <c r="B950" s="95"/>
      <c r="C950" s="96"/>
      <c r="D950" s="96"/>
      <c r="E950" s="96"/>
      <c r="F950" s="96"/>
      <c r="G950" s="96"/>
      <c r="H950" s="96"/>
      <c r="I950" s="96"/>
      <c r="J950" s="96"/>
      <c r="K950" s="96"/>
      <c r="L950" s="123"/>
      <c r="M950" s="101"/>
    </row>
    <row r="951" spans="2:13" ht="25.35" customHeight="1" x14ac:dyDescent="0.3">
      <c r="B951" s="557" t="s">
        <v>77</v>
      </c>
      <c r="C951" s="558"/>
      <c r="D951" s="558"/>
      <c r="E951" s="558"/>
      <c r="F951" s="558"/>
      <c r="G951" s="558"/>
      <c r="H951" s="558"/>
      <c r="I951" s="559"/>
      <c r="J951" s="124"/>
      <c r="K951" s="96"/>
      <c r="L951" s="123"/>
      <c r="M951" s="101"/>
    </row>
    <row r="952" spans="2:13" ht="25.35" customHeight="1" x14ac:dyDescent="0.3">
      <c r="B952" s="560" t="s">
        <v>78</v>
      </c>
      <c r="C952" s="561"/>
      <c r="D952" s="561"/>
      <c r="E952" s="561"/>
      <c r="F952" s="561"/>
      <c r="G952" s="561"/>
      <c r="H952" s="561"/>
      <c r="I952" s="561"/>
      <c r="J952" s="114">
        <f>'PB '!Q28</f>
        <v>0</v>
      </c>
      <c r="K952" s="96"/>
      <c r="L952" s="123"/>
      <c r="M952" s="101"/>
    </row>
    <row r="953" spans="2:13" ht="25.35" customHeight="1" x14ac:dyDescent="0.3">
      <c r="B953" s="560" t="s">
        <v>79</v>
      </c>
      <c r="C953" s="561"/>
      <c r="D953" s="561"/>
      <c r="E953" s="561"/>
      <c r="F953" s="561"/>
      <c r="G953" s="561"/>
      <c r="H953" s="561"/>
      <c r="I953" s="561"/>
      <c r="J953" s="114">
        <f>'PB '!R28</f>
        <v>321.88</v>
      </c>
      <c r="K953" s="96"/>
      <c r="L953" s="123"/>
      <c r="M953" s="101"/>
    </row>
    <row r="954" spans="2:13" ht="25.35" customHeight="1" x14ac:dyDescent="0.3">
      <c r="B954" s="560" t="s">
        <v>80</v>
      </c>
      <c r="C954" s="561"/>
      <c r="D954" s="561"/>
      <c r="E954" s="561"/>
      <c r="F954" s="561"/>
      <c r="G954" s="561"/>
      <c r="H954" s="561"/>
      <c r="I954" s="561"/>
      <c r="J954" s="114">
        <f>'PB '!S28</f>
        <v>0</v>
      </c>
      <c r="K954" s="96"/>
      <c r="L954" s="123"/>
      <c r="M954" s="101"/>
    </row>
    <row r="955" spans="2:13" ht="25.35" customHeight="1" x14ac:dyDescent="0.3">
      <c r="B955" s="560" t="s">
        <v>81</v>
      </c>
      <c r="C955" s="561"/>
      <c r="D955" s="561"/>
      <c r="E955" s="561"/>
      <c r="F955" s="561"/>
      <c r="G955" s="561"/>
      <c r="H955" s="561"/>
      <c r="I955" s="561"/>
      <c r="J955" s="114">
        <v>0</v>
      </c>
      <c r="K955" s="96"/>
      <c r="L955" s="123"/>
      <c r="M955" s="101"/>
    </row>
    <row r="956" spans="2:13" ht="25.35" customHeight="1" x14ac:dyDescent="0.3">
      <c r="B956" s="557" t="s">
        <v>82</v>
      </c>
      <c r="C956" s="558"/>
      <c r="D956" s="558"/>
      <c r="E956" s="558"/>
      <c r="F956" s="558"/>
      <c r="G956" s="558"/>
      <c r="H956" s="558"/>
      <c r="I956" s="559"/>
      <c r="J956" s="114">
        <f>'PB '!T28</f>
        <v>0</v>
      </c>
      <c r="K956" s="96"/>
      <c r="L956" s="123"/>
      <c r="M956" s="101"/>
    </row>
    <row r="957" spans="2:13" ht="25.35" customHeight="1" thickBot="1" x14ac:dyDescent="0.35">
      <c r="B957" s="560" t="s">
        <v>119</v>
      </c>
      <c r="C957" s="561"/>
      <c r="D957" s="561"/>
      <c r="E957" s="561"/>
      <c r="F957" s="561"/>
      <c r="G957" s="561"/>
      <c r="H957" s="561"/>
      <c r="I957" s="561"/>
      <c r="J957" s="114">
        <v>0</v>
      </c>
      <c r="K957" s="96"/>
      <c r="L957" s="123"/>
      <c r="M957" s="101"/>
    </row>
    <row r="958" spans="2:13" ht="25.35" customHeight="1" thickBot="1" x14ac:dyDescent="0.35">
      <c r="B958" s="95"/>
      <c r="C958" s="96"/>
      <c r="D958" s="96"/>
      <c r="E958" s="96"/>
      <c r="F958" s="573" t="s">
        <v>83</v>
      </c>
      <c r="G958" s="574"/>
      <c r="H958" s="574"/>
      <c r="I958" s="575"/>
      <c r="J958" s="114">
        <f>SUM(J952:J957)</f>
        <v>321.88</v>
      </c>
      <c r="K958" s="96" t="s">
        <v>51</v>
      </c>
      <c r="L958" s="125">
        <f>J958</f>
        <v>321.88</v>
      </c>
      <c r="M958" s="101"/>
    </row>
    <row r="959" spans="2:13" ht="25.35" customHeight="1" x14ac:dyDescent="0.3">
      <c r="B959" s="95"/>
      <c r="C959" s="96"/>
      <c r="D959" s="96"/>
      <c r="E959" s="96"/>
      <c r="F959" s="96"/>
      <c r="G959" s="96"/>
      <c r="H959" s="96"/>
      <c r="I959" s="96"/>
      <c r="J959" s="96"/>
      <c r="K959" s="96"/>
      <c r="L959" s="123"/>
      <c r="M959" s="101"/>
    </row>
    <row r="960" spans="2:13" ht="25.35" customHeight="1" x14ac:dyDescent="0.3">
      <c r="B960" s="95"/>
      <c r="C960" s="96"/>
      <c r="D960" s="96"/>
      <c r="E960" s="96"/>
      <c r="F960" s="96"/>
      <c r="G960" s="96"/>
      <c r="H960" s="96"/>
      <c r="I960" s="96"/>
      <c r="J960" s="96"/>
      <c r="K960" s="96"/>
      <c r="L960" s="123"/>
      <c r="M960" s="101"/>
    </row>
    <row r="961" spans="2:13" ht="25.35" customHeight="1" thickBot="1" x14ac:dyDescent="0.35">
      <c r="B961" s="95"/>
      <c r="C961" s="96"/>
      <c r="D961" s="96"/>
      <c r="E961" s="96"/>
      <c r="F961" s="112" t="s">
        <v>84</v>
      </c>
      <c r="G961" s="112"/>
      <c r="H961" s="112"/>
      <c r="I961" s="112"/>
      <c r="J961" s="112"/>
      <c r="K961" s="96" t="s">
        <v>51</v>
      </c>
      <c r="L961" s="126">
        <f>L948-L958</f>
        <v>0</v>
      </c>
      <c r="M961" s="101"/>
    </row>
    <row r="962" spans="2:13" ht="25.35" customHeight="1" x14ac:dyDescent="0.3">
      <c r="B962" s="127"/>
      <c r="C962" s="96"/>
      <c r="D962" s="96"/>
      <c r="E962" s="96"/>
      <c r="F962" s="96"/>
      <c r="G962" s="96"/>
      <c r="H962" s="96"/>
      <c r="I962" s="96" t="s">
        <v>44</v>
      </c>
      <c r="J962" s="96" t="s">
        <v>44</v>
      </c>
      <c r="K962" s="96" t="s">
        <v>44</v>
      </c>
      <c r="L962" s="123" t="s">
        <v>44</v>
      </c>
      <c r="M962" s="101"/>
    </row>
    <row r="963" spans="2:13" ht="25.35" customHeight="1" x14ac:dyDescent="0.3">
      <c r="B963" s="127"/>
      <c r="C963" s="96"/>
      <c r="D963" s="96"/>
      <c r="E963" s="96"/>
      <c r="F963" s="96"/>
      <c r="G963" s="96"/>
      <c r="H963" s="96"/>
      <c r="I963" s="96"/>
      <c r="J963" s="96"/>
      <c r="K963" s="96"/>
      <c r="L963" s="123"/>
      <c r="M963" s="101"/>
    </row>
    <row r="964" spans="2:13" ht="25.35" customHeight="1" x14ac:dyDescent="0.3">
      <c r="B964" s="127"/>
      <c r="C964" s="96"/>
      <c r="D964" s="96"/>
      <c r="E964" s="96"/>
      <c r="F964" s="96"/>
      <c r="G964" s="96"/>
      <c r="H964" s="96"/>
      <c r="I964" s="96"/>
      <c r="J964" s="96"/>
      <c r="K964" s="96"/>
      <c r="L964" s="123"/>
      <c r="M964" s="101"/>
    </row>
    <row r="965" spans="2:13" ht="25.35" customHeight="1" x14ac:dyDescent="0.25">
      <c r="B965" s="576" t="s">
        <v>85</v>
      </c>
      <c r="C965" s="577"/>
      <c r="D965" s="577"/>
      <c r="E965" s="577"/>
      <c r="F965" s="577"/>
      <c r="G965" s="577"/>
      <c r="H965" s="577"/>
      <c r="I965" s="577"/>
      <c r="J965" s="577"/>
      <c r="K965" s="577"/>
      <c r="L965" s="577"/>
      <c r="M965" s="578"/>
    </row>
    <row r="966" spans="2:13" ht="25.35" customHeight="1" x14ac:dyDescent="0.25">
      <c r="B966" s="576" t="s">
        <v>86</v>
      </c>
      <c r="C966" s="577"/>
      <c r="D966" s="577"/>
      <c r="E966" s="577"/>
      <c r="F966" s="577"/>
      <c r="G966" s="577"/>
      <c r="H966" s="577"/>
      <c r="I966" s="577"/>
      <c r="J966" s="577"/>
      <c r="K966" s="577"/>
      <c r="L966" s="577"/>
      <c r="M966" s="578"/>
    </row>
    <row r="967" spans="2:13" ht="25.35" customHeight="1" x14ac:dyDescent="0.3">
      <c r="B967" s="95"/>
      <c r="C967" s="96"/>
      <c r="D967" s="96"/>
      <c r="E967" s="96"/>
      <c r="F967" s="96"/>
      <c r="G967" s="96"/>
      <c r="H967" s="96"/>
      <c r="I967" s="96"/>
      <c r="J967" s="96"/>
      <c r="K967" s="96"/>
      <c r="L967" s="96"/>
      <c r="M967" s="101"/>
    </row>
    <row r="968" spans="2:13" ht="25.35" customHeight="1" x14ac:dyDescent="0.3">
      <c r="B968" s="95"/>
      <c r="C968" s="96"/>
      <c r="D968" s="96"/>
      <c r="E968" s="96"/>
      <c r="F968" s="96"/>
      <c r="G968" s="96"/>
      <c r="H968" s="96"/>
      <c r="I968" s="96"/>
      <c r="J968" s="96"/>
      <c r="K968" s="96"/>
      <c r="L968" s="96"/>
      <c r="M968" s="101"/>
    </row>
    <row r="969" spans="2:13" ht="25.35" customHeight="1" x14ac:dyDescent="0.3">
      <c r="B969" s="567"/>
      <c r="C969" s="568"/>
      <c r="D969" s="568"/>
      <c r="E969" s="96"/>
      <c r="F969" s="96"/>
      <c r="G969" s="96"/>
      <c r="H969" s="96"/>
      <c r="I969" s="96"/>
      <c r="J969" s="568"/>
      <c r="K969" s="568"/>
      <c r="L969" s="568"/>
      <c r="M969" s="101"/>
    </row>
    <row r="970" spans="2:13" ht="25.35" customHeight="1" x14ac:dyDescent="0.3">
      <c r="B970" s="569" t="s">
        <v>87</v>
      </c>
      <c r="C970" s="570"/>
      <c r="D970" s="570"/>
      <c r="E970" s="96"/>
      <c r="F970" s="96"/>
      <c r="G970" s="96"/>
      <c r="H970" s="96"/>
      <c r="I970" s="128" t="s">
        <v>88</v>
      </c>
      <c r="J970" s="128"/>
      <c r="K970" s="128"/>
      <c r="L970" s="102"/>
      <c r="M970" s="101"/>
    </row>
    <row r="971" spans="2:13" ht="25.35" customHeight="1" x14ac:dyDescent="0.3">
      <c r="B971" s="95" t="s">
        <v>44</v>
      </c>
      <c r="C971" s="96"/>
      <c r="D971" s="96"/>
      <c r="E971" s="96"/>
      <c r="F971" s="96"/>
      <c r="G971" s="96"/>
      <c r="H971" s="96"/>
      <c r="I971" s="96"/>
      <c r="J971" s="570"/>
      <c r="K971" s="570"/>
      <c r="L971" s="570"/>
      <c r="M971" s="101"/>
    </row>
    <row r="972" spans="2:13" ht="25.35" customHeight="1" x14ac:dyDescent="0.3">
      <c r="B972" s="95" t="s">
        <v>64</v>
      </c>
      <c r="C972" s="570">
        <f>C935</f>
        <v>0</v>
      </c>
      <c r="D972" s="570"/>
      <c r="E972" s="570"/>
      <c r="F972" s="96"/>
      <c r="G972" s="96"/>
      <c r="H972" s="96"/>
      <c r="I972" s="99" t="s">
        <v>104</v>
      </c>
      <c r="J972" s="571">
        <f>+'PB '!C7</f>
        <v>0</v>
      </c>
      <c r="K972" s="571"/>
      <c r="L972" s="571"/>
      <c r="M972" s="572"/>
    </row>
    <row r="973" spans="2:13" ht="25.35" customHeight="1" thickBot="1" x14ac:dyDescent="0.35">
      <c r="B973" s="129"/>
      <c r="C973" s="130"/>
      <c r="D973" s="130"/>
      <c r="E973" s="130"/>
      <c r="F973" s="130"/>
      <c r="G973" s="130"/>
      <c r="H973" s="130"/>
      <c r="I973" s="130"/>
      <c r="J973" s="131"/>
      <c r="K973" s="132"/>
      <c r="L973" s="132"/>
      <c r="M973" s="133"/>
    </row>
    <row r="974" spans="2:13" ht="25.35" customHeight="1" x14ac:dyDescent="0.35">
      <c r="B974" s="135"/>
      <c r="C974" s="135"/>
      <c r="D974" s="135"/>
      <c r="E974" s="135"/>
      <c r="F974" s="135"/>
      <c r="G974" s="135"/>
      <c r="H974" s="135"/>
      <c r="I974" s="135"/>
      <c r="J974" s="135"/>
      <c r="K974" s="135"/>
      <c r="L974" s="135"/>
      <c r="M974" s="135"/>
    </row>
    <row r="975" spans="2:13" ht="25.35" customHeight="1" x14ac:dyDescent="0.35">
      <c r="B975" s="135"/>
      <c r="C975" s="135"/>
      <c r="D975" s="135"/>
      <c r="E975" s="135"/>
      <c r="F975" s="135"/>
      <c r="G975" s="135"/>
      <c r="H975" s="135"/>
      <c r="I975" s="135"/>
      <c r="J975" s="135"/>
      <c r="K975" s="135"/>
      <c r="L975" s="135"/>
      <c r="M975" s="135"/>
    </row>
    <row r="976" spans="2:13" ht="25.35" customHeight="1" x14ac:dyDescent="0.35">
      <c r="B976" s="135"/>
      <c r="C976" s="135"/>
      <c r="D976" s="135"/>
      <c r="E976" s="135"/>
      <c r="F976" s="135"/>
      <c r="G976" s="135"/>
      <c r="H976" s="135"/>
      <c r="I976" s="135"/>
      <c r="J976" s="135"/>
      <c r="K976" s="135"/>
      <c r="L976" s="135"/>
      <c r="M976" s="135"/>
    </row>
    <row r="977" spans="2:13" ht="25.35" customHeight="1" thickBot="1" x14ac:dyDescent="0.4">
      <c r="B977" s="135"/>
      <c r="C977" s="135"/>
      <c r="D977" s="135"/>
      <c r="E977" s="135"/>
      <c r="F977" s="135"/>
      <c r="G977" s="135"/>
      <c r="H977" s="135"/>
      <c r="I977" s="135"/>
      <c r="J977" s="135"/>
      <c r="K977" s="135"/>
      <c r="L977" s="135"/>
      <c r="M977" s="135"/>
    </row>
    <row r="978" spans="2:13" ht="25.35" customHeight="1" x14ac:dyDescent="0.3">
      <c r="B978" s="584"/>
      <c r="C978" s="585"/>
      <c r="D978" s="585"/>
      <c r="E978" s="585"/>
      <c r="F978" s="585"/>
      <c r="G978" s="585"/>
      <c r="H978" s="585"/>
      <c r="I978" s="585"/>
      <c r="J978" s="585"/>
      <c r="K978" s="585"/>
      <c r="L978" s="585"/>
      <c r="M978" s="586"/>
    </row>
    <row r="979" spans="2:13" ht="25.35" customHeight="1" x14ac:dyDescent="0.3">
      <c r="B979" s="587" t="s">
        <v>62</v>
      </c>
      <c r="C979" s="588"/>
      <c r="D979" s="588"/>
      <c r="E979" s="588"/>
      <c r="F979" s="588"/>
      <c r="G979" s="588"/>
      <c r="H979" s="588"/>
      <c r="I979" s="588"/>
      <c r="J979" s="588"/>
      <c r="K979" s="588"/>
      <c r="L979" s="588"/>
      <c r="M979" s="589"/>
    </row>
    <row r="980" spans="2:13" ht="25.35" customHeight="1" x14ac:dyDescent="0.3">
      <c r="B980" s="95" t="s">
        <v>63</v>
      </c>
      <c r="C980" s="570" t="str">
        <f>C933</f>
        <v>Vessel name</v>
      </c>
      <c r="D980" s="570"/>
      <c r="E980" s="570"/>
      <c r="F980" s="96"/>
      <c r="G980" s="570"/>
      <c r="H980" s="570"/>
      <c r="I980" s="570"/>
      <c r="J980" s="96" t="s">
        <v>44</v>
      </c>
      <c r="K980" s="97"/>
      <c r="L980" s="582"/>
      <c r="M980" s="583"/>
    </row>
    <row r="981" spans="2:13" ht="25.35" customHeight="1" x14ac:dyDescent="0.3">
      <c r="B981" s="98"/>
      <c r="C981" s="96"/>
      <c r="D981" s="96"/>
      <c r="E981" s="99"/>
      <c r="F981" s="100"/>
      <c r="G981" s="100"/>
      <c r="H981" s="100"/>
      <c r="I981" s="96"/>
      <c r="J981" s="96"/>
      <c r="K981" s="97"/>
      <c r="L981" s="97"/>
      <c r="M981" s="101"/>
    </row>
    <row r="982" spans="2:13" ht="25.35" customHeight="1" x14ac:dyDescent="0.3">
      <c r="B982" s="95" t="s">
        <v>64</v>
      </c>
      <c r="C982" s="570">
        <f>+'PB '!C29</f>
        <v>0</v>
      </c>
      <c r="D982" s="570"/>
      <c r="E982" s="570"/>
      <c r="F982" s="570"/>
      <c r="G982" s="102"/>
      <c r="H982" s="96" t="s">
        <v>21</v>
      </c>
      <c r="I982" s="151" t="s">
        <v>129</v>
      </c>
      <c r="J982" s="136"/>
      <c r="K982" s="96"/>
      <c r="L982" s="582"/>
      <c r="M982" s="583"/>
    </row>
    <row r="983" spans="2:13" ht="25.35" customHeight="1" x14ac:dyDescent="0.3">
      <c r="B983" s="95"/>
      <c r="C983" s="96"/>
      <c r="D983" s="96"/>
      <c r="E983" s="96"/>
      <c r="F983" s="96"/>
      <c r="G983" s="96" t="s">
        <v>65</v>
      </c>
      <c r="H983" s="96"/>
      <c r="I983" s="96"/>
      <c r="J983" s="96"/>
      <c r="K983" s="96"/>
      <c r="L983" s="96"/>
      <c r="M983" s="101"/>
    </row>
    <row r="984" spans="2:13" ht="25.35" customHeight="1" x14ac:dyDescent="0.3">
      <c r="B984" s="95"/>
      <c r="C984" s="96"/>
      <c r="D984" s="96"/>
      <c r="E984" s="96"/>
      <c r="F984" s="96"/>
      <c r="G984" s="96" t="s">
        <v>44</v>
      </c>
      <c r="H984" s="96"/>
      <c r="I984" s="96"/>
      <c r="J984" s="96"/>
      <c r="K984" s="96"/>
      <c r="L984" s="96"/>
      <c r="M984" s="101"/>
    </row>
    <row r="985" spans="2:13" ht="25.35" customHeight="1" x14ac:dyDescent="0.3">
      <c r="B985" s="95"/>
      <c r="C985" s="96"/>
      <c r="D985" s="96"/>
      <c r="E985" s="96"/>
      <c r="F985" s="96"/>
      <c r="G985" s="103" t="s">
        <v>66</v>
      </c>
      <c r="H985" s="104"/>
      <c r="I985" s="103"/>
      <c r="J985" s="103"/>
      <c r="K985" s="96" t="s">
        <v>51</v>
      </c>
      <c r="L985" s="105">
        <f>'PB '!V29</f>
        <v>0</v>
      </c>
      <c r="M985" s="101"/>
    </row>
    <row r="986" spans="2:13" ht="25.35" customHeight="1" x14ac:dyDescent="0.3">
      <c r="B986" s="95"/>
      <c r="C986" s="96"/>
      <c r="D986" s="96"/>
      <c r="E986" s="96"/>
      <c r="F986" s="96"/>
      <c r="G986" s="96"/>
      <c r="H986" s="96"/>
      <c r="I986" s="96"/>
      <c r="J986" s="96"/>
      <c r="K986" s="96"/>
      <c r="L986" s="96"/>
      <c r="M986" s="101"/>
    </row>
    <row r="987" spans="2:13" ht="25.35" customHeight="1" x14ac:dyDescent="0.3">
      <c r="B987" s="590" t="s">
        <v>67</v>
      </c>
      <c r="C987" s="591"/>
      <c r="D987" s="592" t="s">
        <v>60</v>
      </c>
      <c r="E987" s="593"/>
      <c r="F987" s="579" t="s">
        <v>61</v>
      </c>
      <c r="G987" s="580"/>
      <c r="H987" s="106" t="s">
        <v>68</v>
      </c>
      <c r="I987" s="107" t="s">
        <v>69</v>
      </c>
      <c r="J987" s="106" t="s">
        <v>51</v>
      </c>
      <c r="K987" s="108"/>
      <c r="L987" s="108"/>
      <c r="M987" s="109"/>
    </row>
    <row r="988" spans="2:13" ht="25.35" customHeight="1" x14ac:dyDescent="0.3">
      <c r="B988" s="560" t="s">
        <v>70</v>
      </c>
      <c r="C988" s="581"/>
      <c r="D988" s="110">
        <f>'PB '!E29</f>
        <v>28</v>
      </c>
      <c r="E988" s="111">
        <f>'PB '!C1</f>
        <v>0</v>
      </c>
      <c r="F988" s="112">
        <f>'PB '!F29</f>
        <v>31</v>
      </c>
      <c r="G988" s="111">
        <f>E988</f>
        <v>0</v>
      </c>
      <c r="H988" s="113">
        <f>+'PB '!G29</f>
        <v>4</v>
      </c>
      <c r="I988" s="114">
        <v>752</v>
      </c>
      <c r="J988" s="115">
        <f>I988*H988/30</f>
        <v>100.26666666666667</v>
      </c>
      <c r="K988" s="96"/>
      <c r="L988" s="96"/>
      <c r="M988" s="101"/>
    </row>
    <row r="989" spans="2:13" ht="25.35" customHeight="1" x14ac:dyDescent="0.3">
      <c r="B989" s="560" t="s">
        <v>71</v>
      </c>
      <c r="C989" s="581"/>
      <c r="D989" s="110">
        <f>D988</f>
        <v>28</v>
      </c>
      <c r="E989" s="111">
        <f>E988</f>
        <v>0</v>
      </c>
      <c r="F989" s="112">
        <f>F988</f>
        <v>31</v>
      </c>
      <c r="G989" s="111">
        <f>E988</f>
        <v>0</v>
      </c>
      <c r="H989" s="113">
        <f>H988</f>
        <v>4</v>
      </c>
      <c r="I989" s="114">
        <v>470</v>
      </c>
      <c r="J989" s="115">
        <f>I989*H989/30</f>
        <v>62.666666666666664</v>
      </c>
      <c r="K989" s="96"/>
      <c r="L989" s="96"/>
      <c r="M989" s="101"/>
    </row>
    <row r="990" spans="2:13" ht="25.35" customHeight="1" x14ac:dyDescent="0.3">
      <c r="B990" s="557" t="s">
        <v>72</v>
      </c>
      <c r="C990" s="558"/>
      <c r="D990" s="110">
        <f>D988</f>
        <v>28</v>
      </c>
      <c r="E990" s="111">
        <f>E988</f>
        <v>0</v>
      </c>
      <c r="F990" s="112">
        <f>F988</f>
        <v>31</v>
      </c>
      <c r="G990" s="111">
        <f>E988</f>
        <v>0</v>
      </c>
      <c r="H990" s="113">
        <f>H988</f>
        <v>4</v>
      </c>
      <c r="I990" s="114">
        <v>62.65</v>
      </c>
      <c r="J990" s="115">
        <f>I990*H990/30</f>
        <v>8.3533333333333335</v>
      </c>
      <c r="K990" s="96"/>
      <c r="L990" s="96"/>
      <c r="M990" s="101"/>
    </row>
    <row r="991" spans="2:13" ht="25.35" customHeight="1" x14ac:dyDescent="0.3">
      <c r="B991" s="557" t="s">
        <v>73</v>
      </c>
      <c r="C991" s="558"/>
      <c r="D991" s="110">
        <f>D988</f>
        <v>28</v>
      </c>
      <c r="E991" s="111">
        <f>E988</f>
        <v>0</v>
      </c>
      <c r="F991" s="112">
        <f>F988</f>
        <v>31</v>
      </c>
      <c r="G991" s="111">
        <f>E988</f>
        <v>0</v>
      </c>
      <c r="H991" s="113">
        <f>H988</f>
        <v>4</v>
      </c>
      <c r="I991" s="114">
        <v>315.35000000000002</v>
      </c>
      <c r="J991" s="115">
        <f>I991*H991/30</f>
        <v>42.046666666666667</v>
      </c>
      <c r="K991" s="96"/>
      <c r="L991" s="96"/>
      <c r="M991" s="101"/>
    </row>
    <row r="992" spans="2:13" ht="25.35" customHeight="1" x14ac:dyDescent="0.3">
      <c r="B992" s="562" t="s">
        <v>74</v>
      </c>
      <c r="C992" s="563"/>
      <c r="D992" s="110"/>
      <c r="E992" s="111"/>
      <c r="F992" s="112"/>
      <c r="G992" s="111"/>
      <c r="H992" s="118"/>
      <c r="I992" s="114"/>
      <c r="J992" s="115">
        <f>'PB '!L29</f>
        <v>25.066666666666666</v>
      </c>
      <c r="K992" s="96"/>
      <c r="L992" s="96"/>
      <c r="M992" s="101"/>
    </row>
    <row r="993" spans="2:13" ht="25.35" customHeight="1" x14ac:dyDescent="0.3">
      <c r="B993" s="564" t="s">
        <v>173</v>
      </c>
      <c r="C993" s="561"/>
      <c r="D993" s="117"/>
      <c r="E993" s="111"/>
      <c r="F993" s="117"/>
      <c r="G993" s="111"/>
      <c r="H993" s="118"/>
      <c r="I993" s="114"/>
      <c r="J993" s="115">
        <f>'PB '!O29</f>
        <v>0</v>
      </c>
      <c r="K993" s="96"/>
      <c r="L993" s="96"/>
      <c r="M993" s="101"/>
    </row>
    <row r="994" spans="2:13" ht="25.35" customHeight="1" x14ac:dyDescent="0.3">
      <c r="B994" s="95"/>
      <c r="C994" s="96"/>
      <c r="D994" s="96"/>
      <c r="E994" s="96"/>
      <c r="F994" s="565" t="s">
        <v>76</v>
      </c>
      <c r="G994" s="565"/>
      <c r="H994" s="565"/>
      <c r="I994" s="566"/>
      <c r="J994" s="119">
        <f>SUM(J988:J993)</f>
        <v>238.39999999999998</v>
      </c>
      <c r="K994" s="120" t="s">
        <v>51</v>
      </c>
      <c r="L994" s="121">
        <f>J994</f>
        <v>238.39999999999998</v>
      </c>
      <c r="M994" s="101"/>
    </row>
    <row r="995" spans="2:13" ht="25.35" customHeight="1" thickBot="1" x14ac:dyDescent="0.35">
      <c r="B995" s="95"/>
      <c r="C995" s="96"/>
      <c r="D995" s="96"/>
      <c r="E995" s="96"/>
      <c r="F995" s="96"/>
      <c r="G995" s="96"/>
      <c r="H995" s="96"/>
      <c r="I995" s="96"/>
      <c r="J995" s="96"/>
      <c r="K995" s="96"/>
      <c r="L995" s="122">
        <f>L985+L994</f>
        <v>238.39999999999998</v>
      </c>
      <c r="M995" s="101"/>
    </row>
    <row r="996" spans="2:13" ht="25.35" customHeight="1" x14ac:dyDescent="0.3">
      <c r="B996" s="95"/>
      <c r="C996" s="96"/>
      <c r="D996" s="96"/>
      <c r="E996" s="96"/>
      <c r="F996" s="96"/>
      <c r="G996" s="96"/>
      <c r="H996" s="96"/>
      <c r="I996" s="96"/>
      <c r="J996" s="96"/>
      <c r="K996" s="96"/>
      <c r="L996" s="123"/>
      <c r="M996" s="101"/>
    </row>
    <row r="997" spans="2:13" ht="25.35" customHeight="1" x14ac:dyDescent="0.3">
      <c r="B997" s="95"/>
      <c r="C997" s="96"/>
      <c r="D997" s="96"/>
      <c r="E997" s="96"/>
      <c r="F997" s="96"/>
      <c r="G997" s="96"/>
      <c r="H997" s="96"/>
      <c r="I997" s="96"/>
      <c r="J997" s="96"/>
      <c r="K997" s="96"/>
      <c r="L997" s="123"/>
      <c r="M997" s="101"/>
    </row>
    <row r="998" spans="2:13" ht="25.35" customHeight="1" x14ac:dyDescent="0.3">
      <c r="B998" s="557" t="s">
        <v>77</v>
      </c>
      <c r="C998" s="558"/>
      <c r="D998" s="558"/>
      <c r="E998" s="558"/>
      <c r="F998" s="558"/>
      <c r="G998" s="558"/>
      <c r="H998" s="558"/>
      <c r="I998" s="559"/>
      <c r="J998" s="124"/>
      <c r="K998" s="96"/>
      <c r="L998" s="123"/>
      <c r="M998" s="101"/>
    </row>
    <row r="999" spans="2:13" ht="25.35" customHeight="1" x14ac:dyDescent="0.3">
      <c r="B999" s="560" t="s">
        <v>78</v>
      </c>
      <c r="C999" s="561"/>
      <c r="D999" s="561"/>
      <c r="E999" s="561"/>
      <c r="F999" s="561"/>
      <c r="G999" s="561"/>
      <c r="H999" s="561"/>
      <c r="I999" s="561"/>
      <c r="J999" s="114">
        <f>'PB '!Q29</f>
        <v>0</v>
      </c>
      <c r="K999" s="96"/>
      <c r="L999" s="123"/>
      <c r="M999" s="101"/>
    </row>
    <row r="1000" spans="2:13" ht="25.35" customHeight="1" x14ac:dyDescent="0.3">
      <c r="B1000" s="560" t="s">
        <v>79</v>
      </c>
      <c r="C1000" s="561"/>
      <c r="D1000" s="561"/>
      <c r="E1000" s="561"/>
      <c r="F1000" s="561"/>
      <c r="G1000" s="561"/>
      <c r="H1000" s="561"/>
      <c r="I1000" s="561"/>
      <c r="J1000" s="114">
        <f>'PB '!R29</f>
        <v>238.39999999999998</v>
      </c>
      <c r="K1000" s="96"/>
      <c r="L1000" s="123"/>
      <c r="M1000" s="101"/>
    </row>
    <row r="1001" spans="2:13" ht="25.35" customHeight="1" x14ac:dyDescent="0.3">
      <c r="B1001" s="560" t="s">
        <v>80</v>
      </c>
      <c r="C1001" s="561"/>
      <c r="D1001" s="561"/>
      <c r="E1001" s="561"/>
      <c r="F1001" s="561"/>
      <c r="G1001" s="561"/>
      <c r="H1001" s="561"/>
      <c r="I1001" s="561"/>
      <c r="J1001" s="114">
        <f>'PB '!S29</f>
        <v>0</v>
      </c>
      <c r="K1001" s="96"/>
      <c r="L1001" s="123"/>
      <c r="M1001" s="101"/>
    </row>
    <row r="1002" spans="2:13" ht="25.35" customHeight="1" x14ac:dyDescent="0.3">
      <c r="B1002" s="560" t="s">
        <v>81</v>
      </c>
      <c r="C1002" s="561"/>
      <c r="D1002" s="561"/>
      <c r="E1002" s="561"/>
      <c r="F1002" s="561"/>
      <c r="G1002" s="561"/>
      <c r="H1002" s="561"/>
      <c r="I1002" s="561"/>
      <c r="J1002" s="114">
        <v>0</v>
      </c>
      <c r="K1002" s="96"/>
      <c r="L1002" s="123"/>
      <c r="M1002" s="101"/>
    </row>
    <row r="1003" spans="2:13" ht="25.35" customHeight="1" x14ac:dyDescent="0.3">
      <c r="B1003" s="557" t="s">
        <v>82</v>
      </c>
      <c r="C1003" s="558"/>
      <c r="D1003" s="558"/>
      <c r="E1003" s="558"/>
      <c r="F1003" s="558"/>
      <c r="G1003" s="558"/>
      <c r="H1003" s="558"/>
      <c r="I1003" s="559"/>
      <c r="J1003" s="114">
        <f>'PB '!T29</f>
        <v>0</v>
      </c>
      <c r="K1003" s="96"/>
      <c r="L1003" s="123"/>
      <c r="M1003" s="101"/>
    </row>
    <row r="1004" spans="2:13" ht="25.35" customHeight="1" thickBot="1" x14ac:dyDescent="0.35">
      <c r="B1004" s="560" t="s">
        <v>119</v>
      </c>
      <c r="C1004" s="561"/>
      <c r="D1004" s="561"/>
      <c r="E1004" s="561"/>
      <c r="F1004" s="561"/>
      <c r="G1004" s="561"/>
      <c r="H1004" s="561"/>
      <c r="I1004" s="561"/>
      <c r="J1004" s="114">
        <v>0</v>
      </c>
      <c r="K1004" s="96"/>
      <c r="L1004" s="123"/>
      <c r="M1004" s="101"/>
    </row>
    <row r="1005" spans="2:13" ht="25.35" customHeight="1" thickBot="1" x14ac:dyDescent="0.35">
      <c r="B1005" s="95"/>
      <c r="C1005" s="96"/>
      <c r="D1005" s="96"/>
      <c r="E1005" s="96"/>
      <c r="F1005" s="573" t="s">
        <v>83</v>
      </c>
      <c r="G1005" s="574"/>
      <c r="H1005" s="574"/>
      <c r="I1005" s="575"/>
      <c r="J1005" s="114">
        <f>SUM(J999:J1004)</f>
        <v>238.39999999999998</v>
      </c>
      <c r="K1005" s="96" t="s">
        <v>51</v>
      </c>
      <c r="L1005" s="125">
        <f>J1005</f>
        <v>238.39999999999998</v>
      </c>
      <c r="M1005" s="101"/>
    </row>
    <row r="1006" spans="2:13" ht="25.35" customHeight="1" x14ac:dyDescent="0.3">
      <c r="B1006" s="95"/>
      <c r="C1006" s="96"/>
      <c r="D1006" s="96"/>
      <c r="E1006" s="96"/>
      <c r="F1006" s="96"/>
      <c r="G1006" s="96"/>
      <c r="H1006" s="96"/>
      <c r="I1006" s="96"/>
      <c r="J1006" s="96"/>
      <c r="K1006" s="96"/>
      <c r="L1006" s="123"/>
      <c r="M1006" s="101"/>
    </row>
    <row r="1007" spans="2:13" ht="25.35" customHeight="1" x14ac:dyDescent="0.3">
      <c r="B1007" s="95"/>
      <c r="C1007" s="96"/>
      <c r="D1007" s="96"/>
      <c r="E1007" s="96"/>
      <c r="F1007" s="96"/>
      <c r="G1007" s="96"/>
      <c r="H1007" s="96"/>
      <c r="I1007" s="96"/>
      <c r="J1007" s="96"/>
      <c r="K1007" s="96"/>
      <c r="L1007" s="123"/>
      <c r="M1007" s="101"/>
    </row>
    <row r="1008" spans="2:13" ht="25.35" customHeight="1" thickBot="1" x14ac:dyDescent="0.35">
      <c r="B1008" s="95"/>
      <c r="C1008" s="96"/>
      <c r="D1008" s="96"/>
      <c r="E1008" s="96"/>
      <c r="F1008" s="112" t="s">
        <v>84</v>
      </c>
      <c r="G1008" s="112"/>
      <c r="H1008" s="112"/>
      <c r="I1008" s="112"/>
      <c r="J1008" s="112"/>
      <c r="K1008" s="96" t="s">
        <v>51</v>
      </c>
      <c r="L1008" s="126">
        <f>L995-L1005</f>
        <v>0</v>
      </c>
      <c r="M1008" s="101"/>
    </row>
    <row r="1009" spans="2:13" ht="25.35" customHeight="1" x14ac:dyDescent="0.3">
      <c r="B1009" s="127"/>
      <c r="C1009" s="96"/>
      <c r="D1009" s="96"/>
      <c r="E1009" s="96"/>
      <c r="F1009" s="96"/>
      <c r="G1009" s="96"/>
      <c r="H1009" s="96"/>
      <c r="I1009" s="96" t="s">
        <v>44</v>
      </c>
      <c r="J1009" s="96" t="s">
        <v>44</v>
      </c>
      <c r="K1009" s="96" t="s">
        <v>44</v>
      </c>
      <c r="L1009" s="123" t="s">
        <v>44</v>
      </c>
      <c r="M1009" s="101"/>
    </row>
    <row r="1010" spans="2:13" ht="25.35" customHeight="1" x14ac:dyDescent="0.3">
      <c r="B1010" s="127"/>
      <c r="C1010" s="96"/>
      <c r="D1010" s="96"/>
      <c r="E1010" s="96"/>
      <c r="F1010" s="96"/>
      <c r="G1010" s="96"/>
      <c r="H1010" s="96"/>
      <c r="I1010" s="96"/>
      <c r="J1010" s="96"/>
      <c r="K1010" s="96"/>
      <c r="L1010" s="123"/>
      <c r="M1010" s="101"/>
    </row>
    <row r="1011" spans="2:13" ht="25.35" customHeight="1" x14ac:dyDescent="0.3">
      <c r="B1011" s="127"/>
      <c r="C1011" s="96"/>
      <c r="D1011" s="96"/>
      <c r="E1011" s="96"/>
      <c r="F1011" s="96"/>
      <c r="G1011" s="96"/>
      <c r="H1011" s="96"/>
      <c r="I1011" s="96"/>
      <c r="J1011" s="96"/>
      <c r="K1011" s="96"/>
      <c r="L1011" s="123"/>
      <c r="M1011" s="101"/>
    </row>
    <row r="1012" spans="2:13" ht="25.35" customHeight="1" x14ac:dyDescent="0.25">
      <c r="B1012" s="576" t="s">
        <v>85</v>
      </c>
      <c r="C1012" s="577"/>
      <c r="D1012" s="577"/>
      <c r="E1012" s="577"/>
      <c r="F1012" s="577"/>
      <c r="G1012" s="577"/>
      <c r="H1012" s="577"/>
      <c r="I1012" s="577"/>
      <c r="J1012" s="577"/>
      <c r="K1012" s="577"/>
      <c r="L1012" s="577"/>
      <c r="M1012" s="578"/>
    </row>
    <row r="1013" spans="2:13" ht="25.35" customHeight="1" x14ac:dyDescent="0.25">
      <c r="B1013" s="576" t="s">
        <v>86</v>
      </c>
      <c r="C1013" s="577"/>
      <c r="D1013" s="577"/>
      <c r="E1013" s="577"/>
      <c r="F1013" s="577"/>
      <c r="G1013" s="577"/>
      <c r="H1013" s="577"/>
      <c r="I1013" s="577"/>
      <c r="J1013" s="577"/>
      <c r="K1013" s="577"/>
      <c r="L1013" s="577"/>
      <c r="M1013" s="578"/>
    </row>
    <row r="1014" spans="2:13" ht="25.35" customHeight="1" x14ac:dyDescent="0.3">
      <c r="B1014" s="95"/>
      <c r="C1014" s="96"/>
      <c r="D1014" s="96"/>
      <c r="E1014" s="96"/>
      <c r="F1014" s="96"/>
      <c r="G1014" s="96"/>
      <c r="H1014" s="96"/>
      <c r="I1014" s="96"/>
      <c r="J1014" s="96"/>
      <c r="K1014" s="96"/>
      <c r="L1014" s="96"/>
      <c r="M1014" s="101"/>
    </row>
    <row r="1015" spans="2:13" ht="25.35" customHeight="1" x14ac:dyDescent="0.3">
      <c r="B1015" s="95"/>
      <c r="C1015" s="96"/>
      <c r="D1015" s="96"/>
      <c r="E1015" s="96"/>
      <c r="F1015" s="96"/>
      <c r="G1015" s="96"/>
      <c r="H1015" s="96"/>
      <c r="I1015" s="96"/>
      <c r="J1015" s="96"/>
      <c r="K1015" s="96"/>
      <c r="L1015" s="96"/>
      <c r="M1015" s="101"/>
    </row>
    <row r="1016" spans="2:13" ht="25.35" customHeight="1" x14ac:dyDescent="0.3">
      <c r="B1016" s="567"/>
      <c r="C1016" s="568"/>
      <c r="D1016" s="568"/>
      <c r="E1016" s="96"/>
      <c r="F1016" s="96"/>
      <c r="G1016" s="96"/>
      <c r="H1016" s="96"/>
      <c r="I1016" s="96"/>
      <c r="J1016" s="568"/>
      <c r="K1016" s="568"/>
      <c r="L1016" s="568"/>
      <c r="M1016" s="101"/>
    </row>
    <row r="1017" spans="2:13" ht="25.35" customHeight="1" x14ac:dyDescent="0.3">
      <c r="B1017" s="569" t="s">
        <v>87</v>
      </c>
      <c r="C1017" s="570"/>
      <c r="D1017" s="570"/>
      <c r="E1017" s="96"/>
      <c r="F1017" s="96"/>
      <c r="G1017" s="96"/>
      <c r="H1017" s="96"/>
      <c r="I1017" s="128" t="s">
        <v>88</v>
      </c>
      <c r="J1017" s="128"/>
      <c r="K1017" s="128"/>
      <c r="L1017" s="102"/>
      <c r="M1017" s="101"/>
    </row>
    <row r="1018" spans="2:13" ht="25.35" customHeight="1" x14ac:dyDescent="0.3">
      <c r="B1018" s="95" t="s">
        <v>44</v>
      </c>
      <c r="C1018" s="96"/>
      <c r="D1018" s="96"/>
      <c r="E1018" s="96"/>
      <c r="F1018" s="96"/>
      <c r="G1018" s="96"/>
      <c r="H1018" s="96"/>
      <c r="I1018" s="96"/>
      <c r="J1018" s="570"/>
      <c r="K1018" s="570"/>
      <c r="L1018" s="570"/>
      <c r="M1018" s="101"/>
    </row>
    <row r="1019" spans="2:13" ht="25.35" customHeight="1" x14ac:dyDescent="0.3">
      <c r="B1019" s="95" t="s">
        <v>64</v>
      </c>
      <c r="C1019" s="570">
        <f>C982</f>
        <v>0</v>
      </c>
      <c r="D1019" s="570"/>
      <c r="E1019" s="570"/>
      <c r="F1019" s="96"/>
      <c r="G1019" s="96"/>
      <c r="H1019" s="96"/>
      <c r="I1019" s="99" t="s">
        <v>104</v>
      </c>
      <c r="J1019" s="571">
        <f>+'PB '!C7</f>
        <v>0</v>
      </c>
      <c r="K1019" s="571"/>
      <c r="L1019" s="571"/>
      <c r="M1019" s="572"/>
    </row>
    <row r="1020" spans="2:13" ht="25.35" customHeight="1" thickBot="1" x14ac:dyDescent="0.35">
      <c r="B1020" s="129"/>
      <c r="C1020" s="130"/>
      <c r="D1020" s="130"/>
      <c r="E1020" s="130"/>
      <c r="F1020" s="130"/>
      <c r="G1020" s="130"/>
      <c r="H1020" s="130"/>
      <c r="I1020" s="130"/>
      <c r="J1020" s="131"/>
      <c r="K1020" s="132"/>
      <c r="L1020" s="132"/>
      <c r="M1020" s="133"/>
    </row>
    <row r="1021" spans="2:13" ht="25.35" customHeight="1" x14ac:dyDescent="0.35">
      <c r="B1021" s="135"/>
      <c r="C1021" s="135"/>
      <c r="D1021" s="135"/>
      <c r="E1021" s="135"/>
      <c r="F1021" s="135"/>
      <c r="G1021" s="135"/>
      <c r="H1021" s="135"/>
      <c r="I1021" s="135"/>
      <c r="J1021" s="135"/>
      <c r="K1021" s="135"/>
      <c r="L1021" s="135"/>
      <c r="M1021" s="135"/>
    </row>
    <row r="1022" spans="2:13" ht="25.35" customHeight="1" x14ac:dyDescent="0.35">
      <c r="B1022" s="135"/>
      <c r="C1022" s="135"/>
      <c r="D1022" s="135"/>
      <c r="E1022" s="135"/>
      <c r="F1022" s="135"/>
      <c r="G1022" s="135"/>
      <c r="H1022" s="135"/>
      <c r="I1022" s="135"/>
      <c r="J1022" s="135"/>
      <c r="K1022" s="135"/>
      <c r="L1022" s="135"/>
      <c r="M1022" s="135"/>
    </row>
    <row r="1023" spans="2:13" ht="25.35" customHeight="1" x14ac:dyDescent="0.35">
      <c r="B1023" s="135"/>
      <c r="C1023" s="135"/>
      <c r="D1023" s="135"/>
      <c r="E1023" s="135"/>
      <c r="F1023" s="135"/>
      <c r="G1023" s="135"/>
      <c r="H1023" s="135"/>
      <c r="I1023" s="135"/>
      <c r="J1023" s="135"/>
      <c r="K1023" s="135"/>
      <c r="L1023" s="135"/>
      <c r="M1023" s="135"/>
    </row>
    <row r="1024" spans="2:13" ht="25.35" customHeight="1" thickBot="1" x14ac:dyDescent="0.4">
      <c r="B1024" s="135"/>
      <c r="C1024" s="135"/>
      <c r="D1024" s="135"/>
      <c r="E1024" s="135"/>
      <c r="F1024" s="135"/>
      <c r="G1024" s="135"/>
      <c r="H1024" s="135"/>
      <c r="I1024" s="135"/>
      <c r="J1024" s="135"/>
      <c r="K1024" s="135"/>
      <c r="L1024" s="135"/>
      <c r="M1024" s="135"/>
    </row>
    <row r="1025" spans="2:13" ht="25.35" customHeight="1" x14ac:dyDescent="0.3">
      <c r="B1025" s="584"/>
      <c r="C1025" s="585"/>
      <c r="D1025" s="585"/>
      <c r="E1025" s="585"/>
      <c r="F1025" s="585"/>
      <c r="G1025" s="585"/>
      <c r="H1025" s="585"/>
      <c r="I1025" s="585"/>
      <c r="J1025" s="585"/>
      <c r="K1025" s="585"/>
      <c r="L1025" s="585"/>
      <c r="M1025" s="586"/>
    </row>
    <row r="1026" spans="2:13" ht="25.35" customHeight="1" x14ac:dyDescent="0.3">
      <c r="B1026" s="587" t="s">
        <v>62</v>
      </c>
      <c r="C1026" s="588"/>
      <c r="D1026" s="588"/>
      <c r="E1026" s="588"/>
      <c r="F1026" s="588"/>
      <c r="G1026" s="588"/>
      <c r="H1026" s="588"/>
      <c r="I1026" s="588"/>
      <c r="J1026" s="588"/>
      <c r="K1026" s="588"/>
      <c r="L1026" s="588"/>
      <c r="M1026" s="589"/>
    </row>
    <row r="1027" spans="2:13" ht="25.35" customHeight="1" x14ac:dyDescent="0.3">
      <c r="B1027" s="95" t="s">
        <v>63</v>
      </c>
      <c r="C1027" s="570" t="str">
        <f>C980</f>
        <v>Vessel name</v>
      </c>
      <c r="D1027" s="570"/>
      <c r="E1027" s="570"/>
      <c r="F1027" s="96"/>
      <c r="G1027" s="570"/>
      <c r="H1027" s="570"/>
      <c r="I1027" s="570"/>
      <c r="J1027" s="96" t="s">
        <v>44</v>
      </c>
      <c r="K1027" s="97"/>
      <c r="L1027" s="582"/>
      <c r="M1027" s="583"/>
    </row>
    <row r="1028" spans="2:13" ht="25.35" customHeight="1" x14ac:dyDescent="0.3">
      <c r="B1028" s="98"/>
      <c r="C1028" s="96"/>
      <c r="D1028" s="96"/>
      <c r="E1028" s="99"/>
      <c r="F1028" s="100"/>
      <c r="G1028" s="100"/>
      <c r="H1028" s="100"/>
      <c r="I1028" s="96"/>
      <c r="J1028" s="96"/>
      <c r="K1028" s="97"/>
      <c r="L1028" s="97"/>
      <c r="M1028" s="101"/>
    </row>
    <row r="1029" spans="2:13" ht="25.35" customHeight="1" x14ac:dyDescent="0.3">
      <c r="B1029" s="95" t="s">
        <v>64</v>
      </c>
      <c r="C1029" s="570">
        <f>+'PB '!C30</f>
        <v>0</v>
      </c>
      <c r="D1029" s="570"/>
      <c r="E1029" s="570"/>
      <c r="F1029" s="570"/>
      <c r="G1029" s="102"/>
      <c r="H1029" s="96" t="s">
        <v>21</v>
      </c>
      <c r="I1029" s="136" t="s">
        <v>142</v>
      </c>
      <c r="J1029" s="136"/>
      <c r="K1029" s="96"/>
      <c r="L1029" s="582"/>
      <c r="M1029" s="583"/>
    </row>
    <row r="1030" spans="2:13" ht="25.35" customHeight="1" x14ac:dyDescent="0.3">
      <c r="B1030" s="95"/>
      <c r="C1030" s="96"/>
      <c r="D1030" s="96"/>
      <c r="E1030" s="96"/>
      <c r="F1030" s="96"/>
      <c r="G1030" s="96" t="s">
        <v>65</v>
      </c>
      <c r="H1030" s="96"/>
      <c r="I1030" s="96"/>
      <c r="J1030" s="96"/>
      <c r="K1030" s="96"/>
      <c r="L1030" s="96"/>
      <c r="M1030" s="101"/>
    </row>
    <row r="1031" spans="2:13" ht="25.35" customHeight="1" x14ac:dyDescent="0.3">
      <c r="B1031" s="95"/>
      <c r="C1031" s="96"/>
      <c r="D1031" s="96"/>
      <c r="E1031" s="96"/>
      <c r="F1031" s="96"/>
      <c r="G1031" s="96" t="s">
        <v>44</v>
      </c>
      <c r="H1031" s="96"/>
      <c r="I1031" s="96"/>
      <c r="J1031" s="96"/>
      <c r="K1031" s="96"/>
      <c r="L1031" s="96"/>
      <c r="M1031" s="101"/>
    </row>
    <row r="1032" spans="2:13" ht="25.35" customHeight="1" x14ac:dyDescent="0.3">
      <c r="B1032" s="95"/>
      <c r="C1032" s="96"/>
      <c r="D1032" s="96"/>
      <c r="E1032" s="96"/>
      <c r="F1032" s="96"/>
      <c r="G1032" s="103" t="s">
        <v>66</v>
      </c>
      <c r="H1032" s="104"/>
      <c r="I1032" s="103"/>
      <c r="J1032" s="103"/>
      <c r="K1032" s="96" t="s">
        <v>51</v>
      </c>
      <c r="L1032" s="105">
        <f>'PB '!V30</f>
        <v>0</v>
      </c>
      <c r="M1032" s="101"/>
    </row>
    <row r="1033" spans="2:13" ht="25.35" customHeight="1" x14ac:dyDescent="0.3">
      <c r="B1033" s="95"/>
      <c r="C1033" s="96"/>
      <c r="D1033" s="96"/>
      <c r="E1033" s="96"/>
      <c r="F1033" s="96"/>
      <c r="G1033" s="96"/>
      <c r="H1033" s="96"/>
      <c r="I1033" s="96"/>
      <c r="J1033" s="96"/>
      <c r="K1033" s="96"/>
      <c r="L1033" s="96"/>
      <c r="M1033" s="101"/>
    </row>
    <row r="1034" spans="2:13" ht="25.35" customHeight="1" x14ac:dyDescent="0.3">
      <c r="B1034" s="590" t="s">
        <v>67</v>
      </c>
      <c r="C1034" s="591"/>
      <c r="D1034" s="592" t="s">
        <v>60</v>
      </c>
      <c r="E1034" s="593"/>
      <c r="F1034" s="579" t="s">
        <v>61</v>
      </c>
      <c r="G1034" s="580"/>
      <c r="H1034" s="106" t="s">
        <v>68</v>
      </c>
      <c r="I1034" s="107" t="s">
        <v>69</v>
      </c>
      <c r="J1034" s="106" t="s">
        <v>51</v>
      </c>
      <c r="K1034" s="108"/>
      <c r="L1034" s="108"/>
      <c r="M1034" s="109"/>
    </row>
    <row r="1035" spans="2:13" ht="25.35" customHeight="1" x14ac:dyDescent="0.3">
      <c r="B1035" s="560" t="s">
        <v>70</v>
      </c>
      <c r="C1035" s="581"/>
      <c r="D1035" s="110">
        <f>'PB '!E30</f>
        <v>1</v>
      </c>
      <c r="E1035" s="111">
        <f>'PB '!C1</f>
        <v>0</v>
      </c>
      <c r="F1035" s="112">
        <f>'PB '!F30</f>
        <v>31</v>
      </c>
      <c r="G1035" s="111">
        <f>E1035</f>
        <v>0</v>
      </c>
      <c r="H1035" s="113">
        <f>+'PB '!G30</f>
        <v>30</v>
      </c>
      <c r="I1035" s="114">
        <v>752</v>
      </c>
      <c r="J1035" s="115">
        <f>I1035*H1035/30</f>
        <v>752</v>
      </c>
      <c r="K1035" s="96"/>
      <c r="L1035" s="96"/>
      <c r="M1035" s="101"/>
    </row>
    <row r="1036" spans="2:13" ht="25.35" customHeight="1" x14ac:dyDescent="0.3">
      <c r="B1036" s="560" t="s">
        <v>71</v>
      </c>
      <c r="C1036" s="581"/>
      <c r="D1036" s="110">
        <f>D1035</f>
        <v>1</v>
      </c>
      <c r="E1036" s="111">
        <f>E1035</f>
        <v>0</v>
      </c>
      <c r="F1036" s="112">
        <f>F1035</f>
        <v>31</v>
      </c>
      <c r="G1036" s="111">
        <f>E1035</f>
        <v>0</v>
      </c>
      <c r="H1036" s="113">
        <f>H1035</f>
        <v>30</v>
      </c>
      <c r="I1036" s="114">
        <v>470</v>
      </c>
      <c r="J1036" s="115">
        <f>I1036*H1036/30</f>
        <v>470</v>
      </c>
      <c r="K1036" s="96"/>
      <c r="L1036" s="96"/>
      <c r="M1036" s="101"/>
    </row>
    <row r="1037" spans="2:13" ht="25.35" customHeight="1" x14ac:dyDescent="0.3">
      <c r="B1037" s="557" t="s">
        <v>72</v>
      </c>
      <c r="C1037" s="558"/>
      <c r="D1037" s="110">
        <f>D1035</f>
        <v>1</v>
      </c>
      <c r="E1037" s="111">
        <f>E1035</f>
        <v>0</v>
      </c>
      <c r="F1037" s="112">
        <f>F1035</f>
        <v>31</v>
      </c>
      <c r="G1037" s="111">
        <f>E1035</f>
        <v>0</v>
      </c>
      <c r="H1037" s="113">
        <f>H1035</f>
        <v>30</v>
      </c>
      <c r="I1037" s="114">
        <v>98.79</v>
      </c>
      <c r="J1037" s="115">
        <f>I1037*H1037/30</f>
        <v>98.79</v>
      </c>
      <c r="K1037" s="96"/>
      <c r="L1037" s="96"/>
      <c r="M1037" s="101"/>
    </row>
    <row r="1038" spans="2:13" ht="25.35" customHeight="1" x14ac:dyDescent="0.3">
      <c r="B1038" s="557" t="s">
        <v>73</v>
      </c>
      <c r="C1038" s="558"/>
      <c r="D1038" s="110">
        <f>D1035</f>
        <v>1</v>
      </c>
      <c r="E1038" s="111">
        <f>E1035</f>
        <v>0</v>
      </c>
      <c r="F1038" s="112">
        <f>F1035</f>
        <v>31</v>
      </c>
      <c r="G1038" s="111">
        <f>E1035</f>
        <v>0</v>
      </c>
      <c r="H1038" s="113">
        <f>H1035</f>
        <v>30</v>
      </c>
      <c r="I1038" s="114">
        <v>279.20999999999998</v>
      </c>
      <c r="J1038" s="115">
        <f>I1038*H1038/30</f>
        <v>279.20999999999998</v>
      </c>
      <c r="K1038" s="96"/>
      <c r="L1038" s="96"/>
      <c r="M1038" s="101"/>
    </row>
    <row r="1039" spans="2:13" ht="25.35" customHeight="1" x14ac:dyDescent="0.3">
      <c r="B1039" s="562" t="s">
        <v>74</v>
      </c>
      <c r="C1039" s="563"/>
      <c r="D1039" s="110"/>
      <c r="E1039" s="111"/>
      <c r="F1039" s="112"/>
      <c r="G1039" s="111"/>
      <c r="H1039" s="118"/>
      <c r="I1039" s="114"/>
      <c r="J1039" s="115">
        <f>'PB '!N30</f>
        <v>0</v>
      </c>
      <c r="K1039" s="96"/>
      <c r="L1039" s="96"/>
      <c r="M1039" s="101"/>
    </row>
    <row r="1040" spans="2:13" ht="25.35" customHeight="1" x14ac:dyDescent="0.3">
      <c r="B1040" s="564" t="str">
        <f>'PB '!M5</f>
        <v>HRA</v>
      </c>
      <c r="C1040" s="561"/>
      <c r="D1040" s="117"/>
      <c r="E1040" s="111"/>
      <c r="F1040" s="117"/>
      <c r="G1040" s="111"/>
      <c r="H1040" s="118"/>
      <c r="I1040" s="114"/>
      <c r="J1040" s="115">
        <f>'PB '!M30</f>
        <v>0</v>
      </c>
      <c r="K1040" s="96"/>
      <c r="L1040" s="96"/>
      <c r="M1040" s="101"/>
    </row>
    <row r="1041" spans="2:13" ht="25.35" customHeight="1" x14ac:dyDescent="0.3">
      <c r="B1041" s="95"/>
      <c r="C1041" s="96"/>
      <c r="D1041" s="96"/>
      <c r="E1041" s="96"/>
      <c r="F1041" s="565" t="s">
        <v>76</v>
      </c>
      <c r="G1041" s="565"/>
      <c r="H1041" s="565"/>
      <c r="I1041" s="566"/>
      <c r="J1041" s="119">
        <f>SUM(J1035:J1040)</f>
        <v>1600</v>
      </c>
      <c r="K1041" s="120" t="s">
        <v>51</v>
      </c>
      <c r="L1041" s="121">
        <f>J1041</f>
        <v>1600</v>
      </c>
      <c r="M1041" s="101"/>
    </row>
    <row r="1042" spans="2:13" ht="25.35" customHeight="1" thickBot="1" x14ac:dyDescent="0.35">
      <c r="B1042" s="95"/>
      <c r="C1042" s="96"/>
      <c r="D1042" s="96"/>
      <c r="E1042" s="96"/>
      <c r="F1042" s="96"/>
      <c r="G1042" s="96"/>
      <c r="H1042" s="96"/>
      <c r="I1042" s="96"/>
      <c r="J1042" s="96"/>
      <c r="K1042" s="96"/>
      <c r="L1042" s="122">
        <f>L1032+L1041</f>
        <v>1600</v>
      </c>
      <c r="M1042" s="101"/>
    </row>
    <row r="1043" spans="2:13" ht="25.35" customHeight="1" x14ac:dyDescent="0.3">
      <c r="B1043" s="95"/>
      <c r="C1043" s="96"/>
      <c r="D1043" s="96"/>
      <c r="E1043" s="96"/>
      <c r="F1043" s="96"/>
      <c r="G1043" s="96"/>
      <c r="H1043" s="96"/>
      <c r="I1043" s="96"/>
      <c r="J1043" s="96"/>
      <c r="K1043" s="96"/>
      <c r="L1043" s="123"/>
      <c r="M1043" s="101"/>
    </row>
    <row r="1044" spans="2:13" ht="25.35" customHeight="1" x14ac:dyDescent="0.3">
      <c r="B1044" s="95"/>
      <c r="C1044" s="96"/>
      <c r="D1044" s="96"/>
      <c r="E1044" s="96"/>
      <c r="F1044" s="96"/>
      <c r="G1044" s="96"/>
      <c r="H1044" s="96"/>
      <c r="I1044" s="96"/>
      <c r="J1044" s="96"/>
      <c r="K1044" s="96"/>
      <c r="L1044" s="123"/>
      <c r="M1044" s="101"/>
    </row>
    <row r="1045" spans="2:13" ht="25.35" customHeight="1" x14ac:dyDescent="0.3">
      <c r="B1045" s="557" t="s">
        <v>77</v>
      </c>
      <c r="C1045" s="558"/>
      <c r="D1045" s="558"/>
      <c r="E1045" s="558"/>
      <c r="F1045" s="558"/>
      <c r="G1045" s="558"/>
      <c r="H1045" s="558"/>
      <c r="I1045" s="559"/>
      <c r="J1045" s="124"/>
      <c r="K1045" s="96"/>
      <c r="L1045" s="123"/>
      <c r="M1045" s="101"/>
    </row>
    <row r="1046" spans="2:13" ht="25.35" customHeight="1" x14ac:dyDescent="0.3">
      <c r="B1046" s="560" t="s">
        <v>78</v>
      </c>
      <c r="C1046" s="561"/>
      <c r="D1046" s="561"/>
      <c r="E1046" s="561"/>
      <c r="F1046" s="561"/>
      <c r="G1046" s="561"/>
      <c r="H1046" s="561"/>
      <c r="I1046" s="561"/>
      <c r="J1046" s="114">
        <f>'PB '!Q30</f>
        <v>100</v>
      </c>
      <c r="K1046" s="96"/>
      <c r="L1046" s="123"/>
      <c r="M1046" s="101"/>
    </row>
    <row r="1047" spans="2:13" ht="25.35" customHeight="1" x14ac:dyDescent="0.3">
      <c r="B1047" s="560" t="s">
        <v>79</v>
      </c>
      <c r="C1047" s="561"/>
      <c r="D1047" s="561"/>
      <c r="E1047" s="561"/>
      <c r="F1047" s="561"/>
      <c r="G1047" s="561"/>
      <c r="H1047" s="561"/>
      <c r="I1047" s="561"/>
      <c r="J1047" s="114">
        <f>'PB '!R30</f>
        <v>1500</v>
      </c>
      <c r="K1047" s="96"/>
      <c r="L1047" s="123"/>
      <c r="M1047" s="101"/>
    </row>
    <row r="1048" spans="2:13" ht="25.35" customHeight="1" x14ac:dyDescent="0.3">
      <c r="B1048" s="560" t="s">
        <v>80</v>
      </c>
      <c r="C1048" s="561"/>
      <c r="D1048" s="561"/>
      <c r="E1048" s="561"/>
      <c r="F1048" s="561"/>
      <c r="G1048" s="561"/>
      <c r="H1048" s="561"/>
      <c r="I1048" s="561"/>
      <c r="J1048" s="114">
        <f>'PB '!S30</f>
        <v>0</v>
      </c>
      <c r="K1048" s="96"/>
      <c r="L1048" s="123"/>
      <c r="M1048" s="101"/>
    </row>
    <row r="1049" spans="2:13" ht="25.35" customHeight="1" x14ac:dyDescent="0.3">
      <c r="B1049" s="560" t="s">
        <v>81</v>
      </c>
      <c r="C1049" s="561"/>
      <c r="D1049" s="561"/>
      <c r="E1049" s="561"/>
      <c r="F1049" s="561"/>
      <c r="G1049" s="561"/>
      <c r="H1049" s="561"/>
      <c r="I1049" s="561"/>
      <c r="J1049" s="114">
        <v>0</v>
      </c>
      <c r="K1049" s="96"/>
      <c r="L1049" s="123"/>
      <c r="M1049" s="101"/>
    </row>
    <row r="1050" spans="2:13" ht="25.35" customHeight="1" x14ac:dyDescent="0.3">
      <c r="B1050" s="557" t="s">
        <v>107</v>
      </c>
      <c r="C1050" s="558"/>
      <c r="D1050" s="558"/>
      <c r="E1050" s="558"/>
      <c r="F1050" s="558"/>
      <c r="G1050" s="558"/>
      <c r="H1050" s="558"/>
      <c r="I1050" s="559"/>
      <c r="J1050" s="114">
        <f>'PB '!T30</f>
        <v>0</v>
      </c>
      <c r="K1050" s="96"/>
      <c r="L1050" s="123"/>
      <c r="M1050" s="101"/>
    </row>
    <row r="1051" spans="2:13" ht="25.35" customHeight="1" thickBot="1" x14ac:dyDescent="0.35">
      <c r="B1051" s="560" t="s">
        <v>120</v>
      </c>
      <c r="C1051" s="561"/>
      <c r="D1051" s="561"/>
      <c r="E1051" s="561"/>
      <c r="F1051" s="561"/>
      <c r="G1051" s="561"/>
      <c r="H1051" s="561"/>
      <c r="I1051" s="561"/>
      <c r="J1051" s="114">
        <v>0</v>
      </c>
      <c r="K1051" s="96"/>
      <c r="L1051" s="123"/>
      <c r="M1051" s="101"/>
    </row>
    <row r="1052" spans="2:13" ht="25.35" customHeight="1" thickBot="1" x14ac:dyDescent="0.35">
      <c r="B1052" s="95"/>
      <c r="C1052" s="96"/>
      <c r="D1052" s="96"/>
      <c r="E1052" s="96"/>
      <c r="F1052" s="573" t="s">
        <v>83</v>
      </c>
      <c r="G1052" s="574"/>
      <c r="H1052" s="574"/>
      <c r="I1052" s="575"/>
      <c r="J1052" s="114">
        <f>SUM(J1046:J1051)</f>
        <v>1600</v>
      </c>
      <c r="K1052" s="96" t="s">
        <v>51</v>
      </c>
      <c r="L1052" s="125">
        <f>J1052</f>
        <v>1600</v>
      </c>
      <c r="M1052" s="101"/>
    </row>
    <row r="1053" spans="2:13" ht="25.35" customHeight="1" x14ac:dyDescent="0.3">
      <c r="B1053" s="95"/>
      <c r="C1053" s="96"/>
      <c r="D1053" s="96"/>
      <c r="E1053" s="96"/>
      <c r="F1053" s="96"/>
      <c r="G1053" s="96"/>
      <c r="H1053" s="96"/>
      <c r="I1053" s="96"/>
      <c r="J1053" s="96"/>
      <c r="K1053" s="96"/>
      <c r="L1053" s="123"/>
      <c r="M1053" s="101"/>
    </row>
    <row r="1054" spans="2:13" ht="25.35" customHeight="1" x14ac:dyDescent="0.3">
      <c r="B1054" s="95"/>
      <c r="C1054" s="96"/>
      <c r="D1054" s="96"/>
      <c r="E1054" s="96"/>
      <c r="F1054" s="96"/>
      <c r="G1054" s="96"/>
      <c r="H1054" s="96"/>
      <c r="I1054" s="96"/>
      <c r="J1054" s="96"/>
      <c r="K1054" s="96"/>
      <c r="L1054" s="123"/>
      <c r="M1054" s="101"/>
    </row>
    <row r="1055" spans="2:13" ht="25.35" customHeight="1" thickBot="1" x14ac:dyDescent="0.35">
      <c r="B1055" s="95"/>
      <c r="C1055" s="96"/>
      <c r="D1055" s="96"/>
      <c r="E1055" s="96"/>
      <c r="F1055" s="112" t="s">
        <v>84</v>
      </c>
      <c r="G1055" s="112"/>
      <c r="H1055" s="112"/>
      <c r="I1055" s="112"/>
      <c r="J1055" s="112"/>
      <c r="K1055" s="96" t="s">
        <v>51</v>
      </c>
      <c r="L1055" s="126">
        <f>L1042-L1052</f>
        <v>0</v>
      </c>
      <c r="M1055" s="101"/>
    </row>
    <row r="1056" spans="2:13" ht="25.35" customHeight="1" x14ac:dyDescent="0.3">
      <c r="B1056" s="127"/>
      <c r="C1056" s="96"/>
      <c r="D1056" s="96"/>
      <c r="E1056" s="96"/>
      <c r="F1056" s="96"/>
      <c r="G1056" s="96"/>
      <c r="H1056" s="96"/>
      <c r="I1056" s="96" t="s">
        <v>44</v>
      </c>
      <c r="J1056" s="96" t="s">
        <v>44</v>
      </c>
      <c r="K1056" s="96" t="s">
        <v>44</v>
      </c>
      <c r="L1056" s="123" t="s">
        <v>44</v>
      </c>
      <c r="M1056" s="101"/>
    </row>
    <row r="1057" spans="2:13" ht="25.35" customHeight="1" x14ac:dyDescent="0.3">
      <c r="B1057" s="127"/>
      <c r="C1057" s="96"/>
      <c r="D1057" s="96"/>
      <c r="E1057" s="96"/>
      <c r="F1057" s="96"/>
      <c r="G1057" s="96"/>
      <c r="H1057" s="96"/>
      <c r="I1057" s="96"/>
      <c r="J1057" s="96"/>
      <c r="K1057" s="96"/>
      <c r="L1057" s="123"/>
      <c r="M1057" s="101"/>
    </row>
    <row r="1058" spans="2:13" ht="25.35" customHeight="1" x14ac:dyDescent="0.3">
      <c r="B1058" s="127"/>
      <c r="C1058" s="96"/>
      <c r="D1058" s="96"/>
      <c r="E1058" s="96"/>
      <c r="F1058" s="96"/>
      <c r="G1058" s="96"/>
      <c r="H1058" s="96"/>
      <c r="I1058" s="96"/>
      <c r="J1058" s="96"/>
      <c r="K1058" s="96"/>
      <c r="L1058" s="123"/>
      <c r="M1058" s="101"/>
    </row>
    <row r="1059" spans="2:13" ht="25.35" customHeight="1" x14ac:dyDescent="0.25">
      <c r="B1059" s="576" t="s">
        <v>85</v>
      </c>
      <c r="C1059" s="577"/>
      <c r="D1059" s="577"/>
      <c r="E1059" s="577"/>
      <c r="F1059" s="577"/>
      <c r="G1059" s="577"/>
      <c r="H1059" s="577"/>
      <c r="I1059" s="577"/>
      <c r="J1059" s="577"/>
      <c r="K1059" s="577"/>
      <c r="L1059" s="577"/>
      <c r="M1059" s="578"/>
    </row>
    <row r="1060" spans="2:13" ht="25.35" customHeight="1" x14ac:dyDescent="0.25">
      <c r="B1060" s="576" t="s">
        <v>86</v>
      </c>
      <c r="C1060" s="577"/>
      <c r="D1060" s="577"/>
      <c r="E1060" s="577"/>
      <c r="F1060" s="577"/>
      <c r="G1060" s="577"/>
      <c r="H1060" s="577"/>
      <c r="I1060" s="577"/>
      <c r="J1060" s="577"/>
      <c r="K1060" s="577"/>
      <c r="L1060" s="577"/>
      <c r="M1060" s="578"/>
    </row>
    <row r="1061" spans="2:13" ht="25.35" customHeight="1" x14ac:dyDescent="0.3">
      <c r="B1061" s="95"/>
      <c r="C1061" s="96"/>
      <c r="D1061" s="96"/>
      <c r="E1061" s="96"/>
      <c r="F1061" s="96"/>
      <c r="G1061" s="96"/>
      <c r="H1061" s="96"/>
      <c r="I1061" s="96"/>
      <c r="J1061" s="96"/>
      <c r="K1061" s="96"/>
      <c r="L1061" s="96"/>
      <c r="M1061" s="101"/>
    </row>
    <row r="1062" spans="2:13" ht="25.35" customHeight="1" x14ac:dyDescent="0.3">
      <c r="B1062" s="95"/>
      <c r="C1062" s="96"/>
      <c r="D1062" s="96"/>
      <c r="E1062" s="96"/>
      <c r="F1062" s="96"/>
      <c r="G1062" s="96"/>
      <c r="H1062" s="96"/>
      <c r="I1062" s="96"/>
      <c r="J1062" s="96"/>
      <c r="K1062" s="96"/>
      <c r="L1062" s="96"/>
      <c r="M1062" s="101"/>
    </row>
    <row r="1063" spans="2:13" ht="25.35" customHeight="1" x14ac:dyDescent="0.3">
      <c r="B1063" s="567"/>
      <c r="C1063" s="568"/>
      <c r="D1063" s="568"/>
      <c r="E1063" s="96"/>
      <c r="F1063" s="96"/>
      <c r="G1063" s="96"/>
      <c r="H1063" s="96"/>
      <c r="I1063" s="96"/>
      <c r="J1063" s="568"/>
      <c r="K1063" s="568"/>
      <c r="L1063" s="568"/>
      <c r="M1063" s="101"/>
    </row>
    <row r="1064" spans="2:13" ht="25.35" customHeight="1" x14ac:dyDescent="0.3">
      <c r="B1064" s="569" t="s">
        <v>87</v>
      </c>
      <c r="C1064" s="570"/>
      <c r="D1064" s="570"/>
      <c r="E1064" s="96"/>
      <c r="F1064" s="96"/>
      <c r="G1064" s="96"/>
      <c r="H1064" s="96"/>
      <c r="I1064" s="128" t="s">
        <v>88</v>
      </c>
      <c r="J1064" s="128"/>
      <c r="K1064" s="128"/>
      <c r="L1064" s="102"/>
      <c r="M1064" s="101"/>
    </row>
    <row r="1065" spans="2:13" ht="25.35" customHeight="1" x14ac:dyDescent="0.3">
      <c r="B1065" s="95" t="s">
        <v>44</v>
      </c>
      <c r="C1065" s="96"/>
      <c r="D1065" s="96"/>
      <c r="E1065" s="96"/>
      <c r="F1065" s="96"/>
      <c r="G1065" s="96"/>
      <c r="H1065" s="96"/>
      <c r="I1065" s="96"/>
      <c r="J1065" s="570"/>
      <c r="K1065" s="570"/>
      <c r="L1065" s="570"/>
      <c r="M1065" s="101"/>
    </row>
    <row r="1066" spans="2:13" ht="25.35" customHeight="1" x14ac:dyDescent="0.3">
      <c r="B1066" s="95" t="s">
        <v>64</v>
      </c>
      <c r="C1066" s="570">
        <f>C1029</f>
        <v>0</v>
      </c>
      <c r="D1066" s="570"/>
      <c r="E1066" s="570"/>
      <c r="F1066" s="96"/>
      <c r="G1066" s="96"/>
      <c r="H1066" s="96"/>
      <c r="I1066" s="99" t="s">
        <v>104</v>
      </c>
      <c r="J1066" s="571">
        <f>+'PB '!C7</f>
        <v>0</v>
      </c>
      <c r="K1066" s="571"/>
      <c r="L1066" s="571"/>
      <c r="M1066" s="572"/>
    </row>
    <row r="1067" spans="2:13" ht="25.35" customHeight="1" thickBot="1" x14ac:dyDescent="0.35">
      <c r="B1067" s="129"/>
      <c r="C1067" s="130"/>
      <c r="D1067" s="130"/>
      <c r="E1067" s="130"/>
      <c r="F1067" s="130"/>
      <c r="G1067" s="130"/>
      <c r="H1067" s="130"/>
      <c r="I1067" s="130"/>
      <c r="J1067" s="131"/>
      <c r="K1067" s="132"/>
      <c r="L1067" s="132"/>
      <c r="M1067" s="133"/>
    </row>
    <row r="1068" spans="2:13" ht="25.35" customHeight="1" x14ac:dyDescent="0.35">
      <c r="B1068" s="135"/>
      <c r="C1068" s="135"/>
      <c r="D1068" s="135"/>
      <c r="E1068" s="135"/>
      <c r="F1068" s="135"/>
      <c r="G1068" s="135"/>
      <c r="H1068" s="135"/>
      <c r="I1068" s="135"/>
      <c r="J1068" s="135"/>
      <c r="K1068" s="135"/>
      <c r="L1068" s="135"/>
      <c r="M1068" s="135"/>
    </row>
    <row r="1069" spans="2:13" ht="25.35" customHeight="1" x14ac:dyDescent="0.35">
      <c r="B1069" s="135"/>
      <c r="C1069" s="135"/>
      <c r="D1069" s="135"/>
      <c r="E1069" s="135"/>
      <c r="F1069" s="135"/>
      <c r="G1069" s="135"/>
      <c r="H1069" s="135"/>
      <c r="I1069" s="135"/>
      <c r="J1069" s="135"/>
      <c r="K1069" s="135"/>
      <c r="L1069" s="135"/>
      <c r="M1069" s="135"/>
    </row>
    <row r="1070" spans="2:13" ht="25.35" customHeight="1" x14ac:dyDescent="0.35">
      <c r="B1070" s="135"/>
      <c r="C1070" s="135"/>
      <c r="D1070" s="135"/>
      <c r="E1070" s="135"/>
      <c r="F1070" s="135"/>
      <c r="G1070" s="135"/>
      <c r="H1070" s="135"/>
      <c r="I1070" s="135"/>
      <c r="J1070" s="135"/>
      <c r="K1070" s="135"/>
      <c r="L1070" s="135"/>
      <c r="M1070" s="135"/>
    </row>
    <row r="1071" spans="2:13" ht="25.35" customHeight="1" x14ac:dyDescent="0.35">
      <c r="B1071" s="135"/>
      <c r="C1071" s="135"/>
      <c r="D1071" s="135"/>
      <c r="E1071" s="135"/>
      <c r="F1071" s="135"/>
      <c r="G1071" s="135"/>
      <c r="H1071" s="135"/>
      <c r="I1071" s="135"/>
      <c r="J1071" s="135"/>
      <c r="K1071" s="135"/>
      <c r="L1071" s="135"/>
      <c r="M1071" s="135"/>
    </row>
    <row r="1072" spans="2:13" ht="25.35" customHeight="1" x14ac:dyDescent="0.35">
      <c r="B1072" s="135"/>
      <c r="C1072" s="135"/>
      <c r="D1072" s="135"/>
      <c r="E1072" s="135"/>
      <c r="F1072" s="135"/>
      <c r="G1072" s="135"/>
      <c r="H1072" s="135"/>
      <c r="I1072" s="135"/>
      <c r="J1072" s="135"/>
      <c r="K1072" s="135"/>
      <c r="L1072" s="135"/>
      <c r="M1072" s="135"/>
    </row>
    <row r="1073" spans="2:13" ht="25.35" customHeight="1" thickBot="1" x14ac:dyDescent="0.4">
      <c r="B1073" s="135"/>
      <c r="C1073" s="135"/>
      <c r="D1073" s="135"/>
      <c r="E1073" s="135"/>
      <c r="F1073" s="135"/>
      <c r="G1073" s="135"/>
      <c r="H1073" s="135"/>
      <c r="I1073" s="135"/>
      <c r="J1073" s="135"/>
      <c r="K1073" s="135"/>
      <c r="L1073" s="135"/>
      <c r="M1073" s="135"/>
    </row>
    <row r="1074" spans="2:13" ht="25.35" customHeight="1" x14ac:dyDescent="0.3">
      <c r="B1074" s="584"/>
      <c r="C1074" s="585"/>
      <c r="D1074" s="585"/>
      <c r="E1074" s="585"/>
      <c r="F1074" s="585"/>
      <c r="G1074" s="585"/>
      <c r="H1074" s="585"/>
      <c r="I1074" s="585"/>
      <c r="J1074" s="585"/>
      <c r="K1074" s="585"/>
      <c r="L1074" s="585"/>
      <c r="M1074" s="586"/>
    </row>
    <row r="1075" spans="2:13" ht="25.35" customHeight="1" x14ac:dyDescent="0.3">
      <c r="B1075" s="587" t="s">
        <v>62</v>
      </c>
      <c r="C1075" s="588"/>
      <c r="D1075" s="588"/>
      <c r="E1075" s="588"/>
      <c r="F1075" s="588"/>
      <c r="G1075" s="588"/>
      <c r="H1075" s="588"/>
      <c r="I1075" s="588"/>
      <c r="J1075" s="588"/>
      <c r="K1075" s="588"/>
      <c r="L1075" s="588"/>
      <c r="M1075" s="589"/>
    </row>
    <row r="1076" spans="2:13" ht="25.35" customHeight="1" x14ac:dyDescent="0.3">
      <c r="B1076" s="95" t="s">
        <v>63</v>
      </c>
      <c r="C1076" s="570" t="str">
        <f>C1027</f>
        <v>Vessel name</v>
      </c>
      <c r="D1076" s="570"/>
      <c r="E1076" s="570"/>
      <c r="F1076" s="96"/>
      <c r="G1076" s="570"/>
      <c r="H1076" s="570"/>
      <c r="I1076" s="570"/>
      <c r="J1076" s="96" t="s">
        <v>44</v>
      </c>
      <c r="K1076" s="97"/>
      <c r="L1076" s="582"/>
      <c r="M1076" s="583"/>
    </row>
    <row r="1077" spans="2:13" ht="25.35" customHeight="1" x14ac:dyDescent="0.3">
      <c r="B1077" s="98"/>
      <c r="C1077" s="96"/>
      <c r="D1077" s="96"/>
      <c r="E1077" s="99"/>
      <c r="F1077" s="100"/>
      <c r="G1077" s="100"/>
      <c r="H1077" s="100"/>
      <c r="I1077" s="96"/>
      <c r="J1077" s="96"/>
      <c r="K1077" s="97"/>
      <c r="L1077" s="97"/>
      <c r="M1077" s="101"/>
    </row>
    <row r="1078" spans="2:13" ht="25.35" customHeight="1" x14ac:dyDescent="0.3">
      <c r="B1078" s="95" t="s">
        <v>64</v>
      </c>
      <c r="C1078" s="570">
        <f>+'PB '!C31</f>
        <v>0</v>
      </c>
      <c r="D1078" s="570"/>
      <c r="E1078" s="570"/>
      <c r="F1078" s="570"/>
      <c r="G1078" s="102"/>
      <c r="H1078" s="96" t="s">
        <v>21</v>
      </c>
      <c r="I1078" s="136" t="str">
        <f>'PB '!D31</f>
        <v>GS</v>
      </c>
      <c r="J1078" s="136"/>
      <c r="K1078" s="96"/>
      <c r="L1078" s="582"/>
      <c r="M1078" s="583"/>
    </row>
    <row r="1079" spans="2:13" ht="25.35" customHeight="1" x14ac:dyDescent="0.3">
      <c r="B1079" s="95"/>
      <c r="C1079" s="96"/>
      <c r="D1079" s="96"/>
      <c r="E1079" s="96"/>
      <c r="F1079" s="96"/>
      <c r="G1079" s="96" t="s">
        <v>65</v>
      </c>
      <c r="H1079" s="96"/>
      <c r="I1079" s="96"/>
      <c r="J1079" s="96"/>
      <c r="K1079" s="96"/>
      <c r="L1079" s="96"/>
      <c r="M1079" s="101"/>
    </row>
    <row r="1080" spans="2:13" ht="25.35" customHeight="1" x14ac:dyDescent="0.3">
      <c r="B1080" s="95"/>
      <c r="C1080" s="96"/>
      <c r="D1080" s="96"/>
      <c r="E1080" s="96"/>
      <c r="F1080" s="96"/>
      <c r="G1080" s="96" t="s">
        <v>44</v>
      </c>
      <c r="H1080" s="96"/>
      <c r="I1080" s="96"/>
      <c r="J1080" s="96"/>
      <c r="K1080" s="96"/>
      <c r="L1080" s="96"/>
      <c r="M1080" s="101"/>
    </row>
    <row r="1081" spans="2:13" ht="25.35" customHeight="1" x14ac:dyDescent="0.3">
      <c r="B1081" s="95"/>
      <c r="C1081" s="96"/>
      <c r="D1081" s="96"/>
      <c r="E1081" s="96"/>
      <c r="F1081" s="96"/>
      <c r="G1081" s="103" t="s">
        <v>66</v>
      </c>
      <c r="H1081" s="104"/>
      <c r="I1081" s="103"/>
      <c r="J1081" s="103"/>
      <c r="K1081" s="96" t="s">
        <v>51</v>
      </c>
      <c r="L1081" s="105">
        <f>'PB '!V31</f>
        <v>0</v>
      </c>
      <c r="M1081" s="101"/>
    </row>
    <row r="1082" spans="2:13" ht="25.35" customHeight="1" x14ac:dyDescent="0.3">
      <c r="B1082" s="95"/>
      <c r="C1082" s="96"/>
      <c r="D1082" s="96"/>
      <c r="E1082" s="96"/>
      <c r="F1082" s="96"/>
      <c r="G1082" s="96"/>
      <c r="H1082" s="96"/>
      <c r="I1082" s="96"/>
      <c r="J1082" s="96"/>
      <c r="K1082" s="96"/>
      <c r="L1082" s="96"/>
      <c r="M1082" s="101"/>
    </row>
    <row r="1083" spans="2:13" ht="25.35" customHeight="1" x14ac:dyDescent="0.3">
      <c r="B1083" s="590" t="s">
        <v>67</v>
      </c>
      <c r="C1083" s="591"/>
      <c r="D1083" s="592" t="s">
        <v>60</v>
      </c>
      <c r="E1083" s="593"/>
      <c r="F1083" s="579" t="s">
        <v>61</v>
      </c>
      <c r="G1083" s="580"/>
      <c r="H1083" s="106" t="s">
        <v>68</v>
      </c>
      <c r="I1083" s="107" t="s">
        <v>69</v>
      </c>
      <c r="J1083" s="106" t="s">
        <v>51</v>
      </c>
      <c r="K1083" s="108"/>
      <c r="L1083" s="108"/>
      <c r="M1083" s="109"/>
    </row>
    <row r="1084" spans="2:13" ht="25.35" customHeight="1" x14ac:dyDescent="0.3">
      <c r="B1084" s="560" t="s">
        <v>70</v>
      </c>
      <c r="C1084" s="581"/>
      <c r="D1084" s="110">
        <v>1</v>
      </c>
      <c r="E1084" s="111">
        <f>'PB '!C1</f>
        <v>0</v>
      </c>
      <c r="F1084" s="112">
        <f>'PB '!F31</f>
        <v>31</v>
      </c>
      <c r="G1084" s="111">
        <f>E1084</f>
        <v>0</v>
      </c>
      <c r="H1084" s="113">
        <f>'PB '!G31</f>
        <v>30</v>
      </c>
      <c r="I1084" s="114">
        <v>199</v>
      </c>
      <c r="J1084" s="115">
        <f>I1084*H1084/30</f>
        <v>199</v>
      </c>
      <c r="K1084" s="96"/>
      <c r="L1084" s="96"/>
      <c r="M1084" s="101"/>
    </row>
    <row r="1085" spans="2:13" ht="25.35" customHeight="1" x14ac:dyDescent="0.3">
      <c r="B1085" s="560" t="s">
        <v>71</v>
      </c>
      <c r="C1085" s="581"/>
      <c r="D1085" s="110">
        <v>1</v>
      </c>
      <c r="E1085" s="111">
        <f>E1084</f>
        <v>0</v>
      </c>
      <c r="F1085" s="112">
        <f>F1084</f>
        <v>31</v>
      </c>
      <c r="G1085" s="111">
        <f>E1084</f>
        <v>0</v>
      </c>
      <c r="H1085" s="113">
        <f>H1084</f>
        <v>30</v>
      </c>
      <c r="I1085" s="114">
        <v>125</v>
      </c>
      <c r="J1085" s="115">
        <f>I1085*H1085/30</f>
        <v>125</v>
      </c>
      <c r="K1085" s="96"/>
      <c r="L1085" s="96"/>
      <c r="M1085" s="101"/>
    </row>
    <row r="1086" spans="2:13" ht="25.35" customHeight="1" x14ac:dyDescent="0.3">
      <c r="B1086" s="557" t="s">
        <v>72</v>
      </c>
      <c r="C1086" s="558"/>
      <c r="D1086" s="110">
        <f>D1084</f>
        <v>1</v>
      </c>
      <c r="E1086" s="111">
        <f>E1084</f>
        <v>0</v>
      </c>
      <c r="F1086" s="112">
        <f>F1084</f>
        <v>31</v>
      </c>
      <c r="G1086" s="111">
        <f>E1084</f>
        <v>0</v>
      </c>
      <c r="H1086" s="113">
        <f>H1084</f>
        <v>30</v>
      </c>
      <c r="I1086" s="114">
        <v>26</v>
      </c>
      <c r="J1086" s="115">
        <f>I1086*H1086/30</f>
        <v>26</v>
      </c>
      <c r="K1086" s="96"/>
      <c r="L1086" s="96"/>
      <c r="M1086" s="101"/>
    </row>
    <row r="1087" spans="2:13" ht="25.35" customHeight="1" x14ac:dyDescent="0.3">
      <c r="B1087" s="557" t="s">
        <v>73</v>
      </c>
      <c r="C1087" s="558"/>
      <c r="D1087" s="110">
        <f>D1084</f>
        <v>1</v>
      </c>
      <c r="E1087" s="111">
        <f>E1084</f>
        <v>0</v>
      </c>
      <c r="F1087" s="112">
        <f>F1084</f>
        <v>31</v>
      </c>
      <c r="G1087" s="111">
        <f>E1084</f>
        <v>0</v>
      </c>
      <c r="H1087" s="113">
        <f>H1084</f>
        <v>30</v>
      </c>
      <c r="I1087" s="114">
        <v>100</v>
      </c>
      <c r="J1087" s="115">
        <f>I1087*H1087/30</f>
        <v>100</v>
      </c>
      <c r="K1087" s="96"/>
      <c r="L1087" s="96"/>
      <c r="M1087" s="101"/>
    </row>
    <row r="1088" spans="2:13" ht="25.35" customHeight="1" x14ac:dyDescent="0.3">
      <c r="B1088" s="562" t="s">
        <v>74</v>
      </c>
      <c r="C1088" s="563"/>
      <c r="D1088" s="110"/>
      <c r="E1088" s="111"/>
      <c r="F1088" s="112"/>
      <c r="G1088" s="111"/>
      <c r="H1088" s="118"/>
      <c r="I1088" s="114"/>
      <c r="J1088" s="115">
        <f>'PB '!L31</f>
        <v>0</v>
      </c>
      <c r="K1088" s="96"/>
      <c r="L1088" s="96"/>
      <c r="M1088" s="101"/>
    </row>
    <row r="1089" spans="2:13" ht="25.35" customHeight="1" x14ac:dyDescent="0.3">
      <c r="B1089" s="564" t="s">
        <v>152</v>
      </c>
      <c r="C1089" s="561"/>
      <c r="D1089" s="117"/>
      <c r="E1089" s="111"/>
      <c r="F1089" s="117"/>
      <c r="G1089" s="111"/>
      <c r="H1089" s="118"/>
      <c r="I1089" s="114"/>
      <c r="J1089" s="115">
        <f>'PB '!M31</f>
        <v>0</v>
      </c>
      <c r="K1089" s="96"/>
      <c r="L1089" s="96"/>
      <c r="M1089" s="101"/>
    </row>
    <row r="1090" spans="2:13" ht="25.35" customHeight="1" x14ac:dyDescent="0.3">
      <c r="B1090" s="95"/>
      <c r="C1090" s="96"/>
      <c r="D1090" s="96"/>
      <c r="E1090" s="96"/>
      <c r="F1090" s="565" t="s">
        <v>76</v>
      </c>
      <c r="G1090" s="565"/>
      <c r="H1090" s="565"/>
      <c r="I1090" s="566"/>
      <c r="J1090" s="119">
        <f>SUM(J1084:J1089)</f>
        <v>450</v>
      </c>
      <c r="K1090" s="120" t="s">
        <v>51</v>
      </c>
      <c r="L1090" s="121">
        <f>J1090</f>
        <v>450</v>
      </c>
      <c r="M1090" s="101"/>
    </row>
    <row r="1091" spans="2:13" ht="25.35" customHeight="1" thickBot="1" x14ac:dyDescent="0.35">
      <c r="B1091" s="95"/>
      <c r="C1091" s="96"/>
      <c r="D1091" s="96"/>
      <c r="E1091" s="96"/>
      <c r="F1091" s="96"/>
      <c r="G1091" s="96"/>
      <c r="H1091" s="96"/>
      <c r="I1091" s="96"/>
      <c r="J1091" s="96"/>
      <c r="K1091" s="96"/>
      <c r="L1091" s="122">
        <f>L1081+L1090</f>
        <v>450</v>
      </c>
      <c r="M1091" s="101"/>
    </row>
    <row r="1092" spans="2:13" ht="25.35" customHeight="1" x14ac:dyDescent="0.3">
      <c r="B1092" s="95"/>
      <c r="C1092" s="96"/>
      <c r="D1092" s="96"/>
      <c r="E1092" s="96"/>
      <c r="F1092" s="96"/>
      <c r="G1092" s="96"/>
      <c r="H1092" s="96"/>
      <c r="I1092" s="96"/>
      <c r="J1092" s="96"/>
      <c r="K1092" s="96"/>
      <c r="L1092" s="123"/>
      <c r="M1092" s="101"/>
    </row>
    <row r="1093" spans="2:13" ht="25.35" customHeight="1" x14ac:dyDescent="0.3">
      <c r="B1093" s="95"/>
      <c r="C1093" s="96"/>
      <c r="D1093" s="96"/>
      <c r="E1093" s="96"/>
      <c r="F1093" s="96"/>
      <c r="G1093" s="96"/>
      <c r="H1093" s="96"/>
      <c r="I1093" s="96"/>
      <c r="J1093" s="96"/>
      <c r="K1093" s="96"/>
      <c r="L1093" s="123"/>
      <c r="M1093" s="101"/>
    </row>
    <row r="1094" spans="2:13" ht="25.35" customHeight="1" x14ac:dyDescent="0.3">
      <c r="B1094" s="557" t="s">
        <v>77</v>
      </c>
      <c r="C1094" s="558"/>
      <c r="D1094" s="558"/>
      <c r="E1094" s="558"/>
      <c r="F1094" s="558"/>
      <c r="G1094" s="558"/>
      <c r="H1094" s="558"/>
      <c r="I1094" s="559"/>
      <c r="J1094" s="124"/>
      <c r="K1094" s="96"/>
      <c r="L1094" s="123"/>
      <c r="M1094" s="101"/>
    </row>
    <row r="1095" spans="2:13" ht="25.35" customHeight="1" x14ac:dyDescent="0.3">
      <c r="B1095" s="560" t="s">
        <v>78</v>
      </c>
      <c r="C1095" s="561"/>
      <c r="D1095" s="561"/>
      <c r="E1095" s="561"/>
      <c r="F1095" s="561"/>
      <c r="G1095" s="561"/>
      <c r="H1095" s="561"/>
      <c r="I1095" s="561"/>
      <c r="J1095" s="114">
        <f>'PB '!Q31</f>
        <v>0</v>
      </c>
      <c r="K1095" s="96"/>
      <c r="L1095" s="123"/>
      <c r="M1095" s="101"/>
    </row>
    <row r="1096" spans="2:13" ht="25.35" customHeight="1" x14ac:dyDescent="0.3">
      <c r="B1096" s="560" t="s">
        <v>79</v>
      </c>
      <c r="C1096" s="561"/>
      <c r="D1096" s="561"/>
      <c r="E1096" s="561"/>
      <c r="F1096" s="561"/>
      <c r="G1096" s="561"/>
      <c r="H1096" s="561"/>
      <c r="I1096" s="561"/>
      <c r="J1096" s="114">
        <f>'PB '!R31</f>
        <v>450</v>
      </c>
      <c r="K1096" s="96"/>
      <c r="L1096" s="123"/>
      <c r="M1096" s="101"/>
    </row>
    <row r="1097" spans="2:13" ht="25.35" customHeight="1" x14ac:dyDescent="0.3">
      <c r="B1097" s="560" t="s">
        <v>80</v>
      </c>
      <c r="C1097" s="561"/>
      <c r="D1097" s="561"/>
      <c r="E1097" s="561"/>
      <c r="F1097" s="561"/>
      <c r="G1097" s="561"/>
      <c r="H1097" s="561"/>
      <c r="I1097" s="561"/>
      <c r="J1097" s="114">
        <f>'PB '!S31</f>
        <v>0</v>
      </c>
      <c r="K1097" s="96"/>
      <c r="L1097" s="123"/>
      <c r="M1097" s="101"/>
    </row>
    <row r="1098" spans="2:13" ht="25.35" customHeight="1" x14ac:dyDescent="0.3">
      <c r="B1098" s="560" t="s">
        <v>81</v>
      </c>
      <c r="C1098" s="561"/>
      <c r="D1098" s="561"/>
      <c r="E1098" s="561"/>
      <c r="F1098" s="561"/>
      <c r="G1098" s="561"/>
      <c r="H1098" s="561"/>
      <c r="I1098" s="561"/>
      <c r="J1098" s="114">
        <v>0</v>
      </c>
      <c r="K1098" s="96"/>
      <c r="L1098" s="123"/>
      <c r="M1098" s="101"/>
    </row>
    <row r="1099" spans="2:13" ht="25.35" customHeight="1" x14ac:dyDescent="0.3">
      <c r="B1099" s="557" t="s">
        <v>82</v>
      </c>
      <c r="C1099" s="558"/>
      <c r="D1099" s="558"/>
      <c r="E1099" s="558"/>
      <c r="F1099" s="558"/>
      <c r="G1099" s="558"/>
      <c r="H1099" s="558"/>
      <c r="I1099" s="559"/>
      <c r="J1099" s="114">
        <f>'PB '!S31</f>
        <v>0</v>
      </c>
      <c r="K1099" s="96"/>
      <c r="L1099" s="123"/>
      <c r="M1099" s="101"/>
    </row>
    <row r="1100" spans="2:13" ht="25.35" customHeight="1" thickBot="1" x14ac:dyDescent="0.35">
      <c r="B1100" s="560" t="s">
        <v>119</v>
      </c>
      <c r="C1100" s="561"/>
      <c r="D1100" s="561"/>
      <c r="E1100" s="561"/>
      <c r="F1100" s="561"/>
      <c r="G1100" s="561"/>
      <c r="H1100" s="561"/>
      <c r="I1100" s="561"/>
      <c r="J1100" s="114">
        <v>0</v>
      </c>
      <c r="K1100" s="96"/>
      <c r="L1100" s="123"/>
      <c r="M1100" s="101"/>
    </row>
    <row r="1101" spans="2:13" ht="25.35" customHeight="1" thickBot="1" x14ac:dyDescent="0.35">
      <c r="B1101" s="95"/>
      <c r="C1101" s="96"/>
      <c r="D1101" s="96"/>
      <c r="E1101" s="96"/>
      <c r="F1101" s="573" t="s">
        <v>83</v>
      </c>
      <c r="G1101" s="574"/>
      <c r="H1101" s="574"/>
      <c r="I1101" s="575"/>
      <c r="J1101" s="114">
        <f>SUM(J1095:J1100)</f>
        <v>450</v>
      </c>
      <c r="K1101" s="96" t="s">
        <v>51</v>
      </c>
      <c r="L1101" s="125">
        <f>J1101</f>
        <v>450</v>
      </c>
      <c r="M1101" s="101"/>
    </row>
    <row r="1102" spans="2:13" ht="25.35" customHeight="1" x14ac:dyDescent="0.3">
      <c r="B1102" s="95"/>
      <c r="C1102" s="96"/>
      <c r="D1102" s="96"/>
      <c r="E1102" s="96"/>
      <c r="F1102" s="96"/>
      <c r="G1102" s="96"/>
      <c r="H1102" s="96"/>
      <c r="I1102" s="96"/>
      <c r="J1102" s="96"/>
      <c r="K1102" s="96"/>
      <c r="L1102" s="123"/>
      <c r="M1102" s="101"/>
    </row>
    <row r="1103" spans="2:13" ht="25.35" customHeight="1" x14ac:dyDescent="0.3">
      <c r="B1103" s="95"/>
      <c r="C1103" s="96"/>
      <c r="D1103" s="96"/>
      <c r="E1103" s="96"/>
      <c r="F1103" s="96"/>
      <c r="G1103" s="96"/>
      <c r="H1103" s="96"/>
      <c r="I1103" s="96"/>
      <c r="J1103" s="96"/>
      <c r="K1103" s="96"/>
      <c r="L1103" s="123"/>
      <c r="M1103" s="101"/>
    </row>
    <row r="1104" spans="2:13" ht="25.35" customHeight="1" thickBot="1" x14ac:dyDescent="0.35">
      <c r="B1104" s="95"/>
      <c r="C1104" s="96"/>
      <c r="D1104" s="96"/>
      <c r="E1104" s="96"/>
      <c r="F1104" s="112" t="s">
        <v>84</v>
      </c>
      <c r="G1104" s="112"/>
      <c r="H1104" s="112"/>
      <c r="I1104" s="112"/>
      <c r="J1104" s="112"/>
      <c r="K1104" s="96" t="s">
        <v>51</v>
      </c>
      <c r="L1104" s="126">
        <f>L1091-L1101</f>
        <v>0</v>
      </c>
      <c r="M1104" s="101"/>
    </row>
    <row r="1105" spans="2:13" ht="25.35" customHeight="1" x14ac:dyDescent="0.3">
      <c r="B1105" s="127"/>
      <c r="C1105" s="96"/>
      <c r="D1105" s="96"/>
      <c r="E1105" s="96"/>
      <c r="F1105" s="96"/>
      <c r="G1105" s="96"/>
      <c r="H1105" s="96"/>
      <c r="I1105" s="96" t="s">
        <v>44</v>
      </c>
      <c r="J1105" s="96" t="s">
        <v>44</v>
      </c>
      <c r="K1105" s="96" t="s">
        <v>44</v>
      </c>
      <c r="L1105" s="123" t="s">
        <v>44</v>
      </c>
      <c r="M1105" s="101"/>
    </row>
    <row r="1106" spans="2:13" ht="25.35" customHeight="1" x14ac:dyDescent="0.3">
      <c r="B1106" s="127"/>
      <c r="C1106" s="96"/>
      <c r="D1106" s="96"/>
      <c r="E1106" s="96"/>
      <c r="F1106" s="96"/>
      <c r="G1106" s="96"/>
      <c r="H1106" s="96"/>
      <c r="I1106" s="96"/>
      <c r="J1106" s="96"/>
      <c r="K1106" s="96"/>
      <c r="L1106" s="123"/>
      <c r="M1106" s="101"/>
    </row>
    <row r="1107" spans="2:13" ht="25.35" customHeight="1" x14ac:dyDescent="0.3">
      <c r="B1107" s="127"/>
      <c r="C1107" s="96"/>
      <c r="D1107" s="96"/>
      <c r="E1107" s="96"/>
      <c r="F1107" s="96"/>
      <c r="G1107" s="96"/>
      <c r="H1107" s="96"/>
      <c r="I1107" s="96"/>
      <c r="J1107" s="96"/>
      <c r="K1107" s="96"/>
      <c r="L1107" s="123"/>
      <c r="M1107" s="101"/>
    </row>
    <row r="1108" spans="2:13" ht="25.35" customHeight="1" x14ac:dyDescent="0.25">
      <c r="B1108" s="576" t="s">
        <v>85</v>
      </c>
      <c r="C1108" s="577"/>
      <c r="D1108" s="577"/>
      <c r="E1108" s="577"/>
      <c r="F1108" s="577"/>
      <c r="G1108" s="577"/>
      <c r="H1108" s="577"/>
      <c r="I1108" s="577"/>
      <c r="J1108" s="577"/>
      <c r="K1108" s="577"/>
      <c r="L1108" s="577"/>
      <c r="M1108" s="578"/>
    </row>
    <row r="1109" spans="2:13" ht="25.35" customHeight="1" x14ac:dyDescent="0.25">
      <c r="B1109" s="576" t="s">
        <v>86</v>
      </c>
      <c r="C1109" s="577"/>
      <c r="D1109" s="577"/>
      <c r="E1109" s="577"/>
      <c r="F1109" s="577"/>
      <c r="G1109" s="577"/>
      <c r="H1109" s="577"/>
      <c r="I1109" s="577"/>
      <c r="J1109" s="577"/>
      <c r="K1109" s="577"/>
      <c r="L1109" s="577"/>
      <c r="M1109" s="578"/>
    </row>
    <row r="1110" spans="2:13" ht="25.35" customHeight="1" x14ac:dyDescent="0.3">
      <c r="B1110" s="95"/>
      <c r="C1110" s="96"/>
      <c r="D1110" s="96"/>
      <c r="E1110" s="96"/>
      <c r="F1110" s="96"/>
      <c r="G1110" s="96"/>
      <c r="H1110" s="96"/>
      <c r="I1110" s="96"/>
      <c r="J1110" s="96"/>
      <c r="K1110" s="96"/>
      <c r="L1110" s="96"/>
      <c r="M1110" s="101"/>
    </row>
    <row r="1111" spans="2:13" ht="25.35" customHeight="1" x14ac:dyDescent="0.3">
      <c r="B1111" s="95"/>
      <c r="C1111" s="96"/>
      <c r="D1111" s="96"/>
      <c r="E1111" s="96"/>
      <c r="F1111" s="96"/>
      <c r="G1111" s="96"/>
      <c r="H1111" s="96"/>
      <c r="I1111" s="96"/>
      <c r="J1111" s="96"/>
      <c r="K1111" s="96"/>
      <c r="L1111" s="96"/>
      <c r="M1111" s="101"/>
    </row>
    <row r="1112" spans="2:13" ht="25.35" customHeight="1" x14ac:dyDescent="0.3">
      <c r="B1112" s="567"/>
      <c r="C1112" s="568"/>
      <c r="D1112" s="568"/>
      <c r="E1112" s="96"/>
      <c r="F1112" s="96"/>
      <c r="G1112" s="96"/>
      <c r="H1112" s="96"/>
      <c r="I1112" s="96"/>
      <c r="J1112" s="568"/>
      <c r="K1112" s="568"/>
      <c r="L1112" s="568"/>
      <c r="M1112" s="101"/>
    </row>
    <row r="1113" spans="2:13" ht="25.35" customHeight="1" x14ac:dyDescent="0.3">
      <c r="B1113" s="569" t="s">
        <v>87</v>
      </c>
      <c r="C1113" s="570"/>
      <c r="D1113" s="570"/>
      <c r="E1113" s="96"/>
      <c r="F1113" s="96"/>
      <c r="G1113" s="96"/>
      <c r="H1113" s="96"/>
      <c r="I1113" s="128" t="s">
        <v>88</v>
      </c>
      <c r="J1113" s="128"/>
      <c r="K1113" s="128"/>
      <c r="L1113" s="102"/>
      <c r="M1113" s="101"/>
    </row>
    <row r="1114" spans="2:13" ht="25.35" customHeight="1" x14ac:dyDescent="0.3">
      <c r="B1114" s="95" t="s">
        <v>44</v>
      </c>
      <c r="C1114" s="96"/>
      <c r="D1114" s="96"/>
      <c r="E1114" s="96"/>
      <c r="F1114" s="96"/>
      <c r="G1114" s="96"/>
      <c r="H1114" s="96"/>
      <c r="I1114" s="96"/>
      <c r="J1114" s="570"/>
      <c r="K1114" s="570"/>
      <c r="L1114" s="570"/>
      <c r="M1114" s="101"/>
    </row>
    <row r="1115" spans="2:13" ht="25.35" customHeight="1" x14ac:dyDescent="0.3">
      <c r="B1115" s="95" t="s">
        <v>64</v>
      </c>
      <c r="C1115" s="570">
        <f>C1078</f>
        <v>0</v>
      </c>
      <c r="D1115" s="570"/>
      <c r="E1115" s="570"/>
      <c r="F1115" s="96"/>
      <c r="G1115" s="96"/>
      <c r="H1115" s="96"/>
      <c r="I1115" s="99" t="s">
        <v>104</v>
      </c>
      <c r="J1115" s="571">
        <f>+'PB '!C7</f>
        <v>0</v>
      </c>
      <c r="K1115" s="571"/>
      <c r="L1115" s="571"/>
      <c r="M1115" s="572"/>
    </row>
    <row r="1116" spans="2:13" ht="25.35" customHeight="1" thickBot="1" x14ac:dyDescent="0.35">
      <c r="B1116" s="139"/>
      <c r="C1116" s="140"/>
      <c r="D1116" s="140"/>
      <c r="E1116" s="140"/>
      <c r="F1116" s="140"/>
      <c r="G1116" s="140"/>
      <c r="H1116" s="140"/>
      <c r="I1116" s="140"/>
      <c r="J1116" s="140"/>
      <c r="K1116" s="140"/>
      <c r="L1116" s="140"/>
      <c r="M1116" s="141"/>
    </row>
  </sheetData>
  <mergeCells count="805">
    <mergeCell ref="B269:M269"/>
    <mergeCell ref="F754:G754"/>
    <mergeCell ref="D754:E754"/>
    <mergeCell ref="B754:C754"/>
    <mergeCell ref="B877:D877"/>
    <mergeCell ref="J878:L878"/>
    <mergeCell ref="C879:E879"/>
    <mergeCell ref="J879:M879"/>
    <mergeCell ref="B1100:I1100"/>
    <mergeCell ref="B1064:D1064"/>
    <mergeCell ref="J1065:L1065"/>
    <mergeCell ref="C1066:E1066"/>
    <mergeCell ref="J1066:M1066"/>
    <mergeCell ref="B1074:M1074"/>
    <mergeCell ref="B860:I860"/>
    <mergeCell ref="B861:I861"/>
    <mergeCell ref="B862:I862"/>
    <mergeCell ref="B863:I863"/>
    <mergeCell ref="B864:I864"/>
    <mergeCell ref="F865:I865"/>
    <mergeCell ref="B872:M872"/>
    <mergeCell ref="B873:M873"/>
    <mergeCell ref="B876:D876"/>
    <mergeCell ref="J876:L876"/>
    <mergeCell ref="B1083:C1083"/>
    <mergeCell ref="D1083:E1083"/>
    <mergeCell ref="F1083:G1083"/>
    <mergeCell ref="B1084:C1084"/>
    <mergeCell ref="B1085:C1085"/>
    <mergeCell ref="B1086:C1086"/>
    <mergeCell ref="B1087:C1087"/>
    <mergeCell ref="B755:C755"/>
    <mergeCell ref="B852:C852"/>
    <mergeCell ref="B853:C853"/>
    <mergeCell ref="F854:I854"/>
    <mergeCell ref="B858:I858"/>
    <mergeCell ref="B859:I859"/>
    <mergeCell ref="C1078:F1078"/>
    <mergeCell ref="B1075:M1075"/>
    <mergeCell ref="C1076:E1076"/>
    <mergeCell ref="G1076:I1076"/>
    <mergeCell ref="L1076:M1076"/>
    <mergeCell ref="B1047:I1047"/>
    <mergeCell ref="B1048:I1048"/>
    <mergeCell ref="B1049:I1049"/>
    <mergeCell ref="B1050:I1050"/>
    <mergeCell ref="B1051:I1051"/>
    <mergeCell ref="F1052:I1052"/>
    <mergeCell ref="B1113:D1113"/>
    <mergeCell ref="J1114:L1114"/>
    <mergeCell ref="C1115:E1115"/>
    <mergeCell ref="J1115:M1115"/>
    <mergeCell ref="B1088:C1088"/>
    <mergeCell ref="B1089:C1089"/>
    <mergeCell ref="F1090:I1090"/>
    <mergeCell ref="B1094:I1094"/>
    <mergeCell ref="B1095:I1095"/>
    <mergeCell ref="B1096:I1096"/>
    <mergeCell ref="B1097:I1097"/>
    <mergeCell ref="B1098:I1098"/>
    <mergeCell ref="B1099:I1099"/>
    <mergeCell ref="F1101:I1101"/>
    <mergeCell ref="B1108:M1108"/>
    <mergeCell ref="B1109:M1109"/>
    <mergeCell ref="B1112:D1112"/>
    <mergeCell ref="J1112:L1112"/>
    <mergeCell ref="B1059:M1059"/>
    <mergeCell ref="B1060:M1060"/>
    <mergeCell ref="B1063:D1063"/>
    <mergeCell ref="J1063:L1063"/>
    <mergeCell ref="L1078:M1078"/>
    <mergeCell ref="B583:I583"/>
    <mergeCell ref="F584:I584"/>
    <mergeCell ref="B591:M591"/>
    <mergeCell ref="B592:M592"/>
    <mergeCell ref="B595:D595"/>
    <mergeCell ref="J595:L595"/>
    <mergeCell ref="B596:D596"/>
    <mergeCell ref="J597:L597"/>
    <mergeCell ref="C598:E598"/>
    <mergeCell ref="J598:M598"/>
    <mergeCell ref="B1035:C1035"/>
    <mergeCell ref="B1036:C1036"/>
    <mergeCell ref="B1037:C1037"/>
    <mergeCell ref="B1038:C1038"/>
    <mergeCell ref="B1039:C1039"/>
    <mergeCell ref="B1040:C1040"/>
    <mergeCell ref="F1041:I1041"/>
    <mergeCell ref="B1045:I1045"/>
    <mergeCell ref="B1046:I1046"/>
    <mergeCell ref="B571:C571"/>
    <mergeCell ref="B572:C572"/>
    <mergeCell ref="F573:I573"/>
    <mergeCell ref="B577:I577"/>
    <mergeCell ref="B578:I578"/>
    <mergeCell ref="B579:I579"/>
    <mergeCell ref="B580:I580"/>
    <mergeCell ref="B581:I581"/>
    <mergeCell ref="B582:I582"/>
    <mergeCell ref="B1025:M1025"/>
    <mergeCell ref="B1026:M1026"/>
    <mergeCell ref="C1027:E1027"/>
    <mergeCell ref="G1027:I1027"/>
    <mergeCell ref="L1027:M1027"/>
    <mergeCell ref="C1029:F1029"/>
    <mergeCell ref="L1029:M1029"/>
    <mergeCell ref="B1034:C1034"/>
    <mergeCell ref="D1034:E1034"/>
    <mergeCell ref="F1034:G1034"/>
    <mergeCell ref="B1004:I1004"/>
    <mergeCell ref="F1005:I1005"/>
    <mergeCell ref="B1012:M1012"/>
    <mergeCell ref="B1013:M1013"/>
    <mergeCell ref="B1016:D1016"/>
    <mergeCell ref="J1016:L1016"/>
    <mergeCell ref="B1017:D1017"/>
    <mergeCell ref="J1018:L1018"/>
    <mergeCell ref="C1019:E1019"/>
    <mergeCell ref="J1019:M1019"/>
    <mergeCell ref="B992:C992"/>
    <mergeCell ref="B993:C993"/>
    <mergeCell ref="F994:I994"/>
    <mergeCell ref="B998:I998"/>
    <mergeCell ref="B999:I999"/>
    <mergeCell ref="B1000:I1000"/>
    <mergeCell ref="B1001:I1001"/>
    <mergeCell ref="B1002:I1002"/>
    <mergeCell ref="B1003:I1003"/>
    <mergeCell ref="C982:F982"/>
    <mergeCell ref="L982:M982"/>
    <mergeCell ref="B987:C987"/>
    <mergeCell ref="D987:E987"/>
    <mergeCell ref="F987:G987"/>
    <mergeCell ref="B988:C988"/>
    <mergeCell ref="B989:C989"/>
    <mergeCell ref="B990:C990"/>
    <mergeCell ref="B991:C991"/>
    <mergeCell ref="B87:D87"/>
    <mergeCell ref="J88:L88"/>
    <mergeCell ref="C89:E89"/>
    <mergeCell ref="J89:M89"/>
    <mergeCell ref="B978:M978"/>
    <mergeCell ref="B979:M979"/>
    <mergeCell ref="C980:E980"/>
    <mergeCell ref="G980:I980"/>
    <mergeCell ref="L980:M980"/>
    <mergeCell ref="B95:M95"/>
    <mergeCell ref="B96:M96"/>
    <mergeCell ref="C97:E97"/>
    <mergeCell ref="G97:I97"/>
    <mergeCell ref="L97:M97"/>
    <mergeCell ref="B105:C105"/>
    <mergeCell ref="B106:C106"/>
    <mergeCell ref="B107:C107"/>
    <mergeCell ref="B108:C108"/>
    <mergeCell ref="B109:C109"/>
    <mergeCell ref="C99:F99"/>
    <mergeCell ref="I99:J99"/>
    <mergeCell ref="L99:M99"/>
    <mergeCell ref="B104:C104"/>
    <mergeCell ref="D104:E104"/>
    <mergeCell ref="B70:I70"/>
    <mergeCell ref="B71:I71"/>
    <mergeCell ref="B72:I72"/>
    <mergeCell ref="B73:I73"/>
    <mergeCell ref="B74:I74"/>
    <mergeCell ref="F75:I75"/>
    <mergeCell ref="B82:M82"/>
    <mergeCell ref="B83:M83"/>
    <mergeCell ref="B86:D86"/>
    <mergeCell ref="J86:L86"/>
    <mergeCell ref="B58:C58"/>
    <mergeCell ref="B59:C59"/>
    <mergeCell ref="B60:C60"/>
    <mergeCell ref="B61:C61"/>
    <mergeCell ref="B62:C62"/>
    <mergeCell ref="B63:C63"/>
    <mergeCell ref="F64:I64"/>
    <mergeCell ref="B68:I68"/>
    <mergeCell ref="B69:I69"/>
    <mergeCell ref="B14:C14"/>
    <mergeCell ref="B2:M2"/>
    <mergeCell ref="B3:M3"/>
    <mergeCell ref="C4:E4"/>
    <mergeCell ref="G4:I4"/>
    <mergeCell ref="L4:M4"/>
    <mergeCell ref="C6:F6"/>
    <mergeCell ref="I6:J6"/>
    <mergeCell ref="L6:M6"/>
    <mergeCell ref="B11:C11"/>
    <mergeCell ref="D11:E11"/>
    <mergeCell ref="F11:G11"/>
    <mergeCell ref="B12:C12"/>
    <mergeCell ref="B13:C13"/>
    <mergeCell ref="F30:I30"/>
    <mergeCell ref="B15:C15"/>
    <mergeCell ref="B16:C16"/>
    <mergeCell ref="B18:C18"/>
    <mergeCell ref="F19:I19"/>
    <mergeCell ref="B23:I23"/>
    <mergeCell ref="B24:I24"/>
    <mergeCell ref="B25:I25"/>
    <mergeCell ref="B26:I26"/>
    <mergeCell ref="B27:I27"/>
    <mergeCell ref="B28:I28"/>
    <mergeCell ref="B29:I29"/>
    <mergeCell ref="B17:C17"/>
    <mergeCell ref="C44:E44"/>
    <mergeCell ref="J44:M44"/>
    <mergeCell ref="B37:M37"/>
    <mergeCell ref="B38:M38"/>
    <mergeCell ref="B41:D41"/>
    <mergeCell ref="J41:L41"/>
    <mergeCell ref="B42:D42"/>
    <mergeCell ref="J43:L43"/>
    <mergeCell ref="B48:M48"/>
    <mergeCell ref="C39:K40"/>
    <mergeCell ref="B49:M49"/>
    <mergeCell ref="C50:E50"/>
    <mergeCell ref="G50:I50"/>
    <mergeCell ref="L50:M50"/>
    <mergeCell ref="C52:F52"/>
    <mergeCell ref="I52:J52"/>
    <mergeCell ref="L52:M52"/>
    <mergeCell ref="B57:C57"/>
    <mergeCell ref="D57:E57"/>
    <mergeCell ref="F57:G57"/>
    <mergeCell ref="F104:G104"/>
    <mergeCell ref="B118:I118"/>
    <mergeCell ref="B119:I119"/>
    <mergeCell ref="B120:I120"/>
    <mergeCell ref="B121:I121"/>
    <mergeCell ref="F122:I122"/>
    <mergeCell ref="B110:C110"/>
    <mergeCell ref="F111:I111"/>
    <mergeCell ref="B115:I115"/>
    <mergeCell ref="B116:I116"/>
    <mergeCell ref="B117:I117"/>
    <mergeCell ref="J135:L135"/>
    <mergeCell ref="C136:E136"/>
    <mergeCell ref="J136:M136"/>
    <mergeCell ref="B142:M142"/>
    <mergeCell ref="B143:M143"/>
    <mergeCell ref="B129:M129"/>
    <mergeCell ref="B130:M130"/>
    <mergeCell ref="B133:D133"/>
    <mergeCell ref="J133:L133"/>
    <mergeCell ref="B134:D134"/>
    <mergeCell ref="B151:C151"/>
    <mergeCell ref="D151:E151"/>
    <mergeCell ref="F151:G151"/>
    <mergeCell ref="B152:C152"/>
    <mergeCell ref="B153:C153"/>
    <mergeCell ref="C144:E144"/>
    <mergeCell ref="G144:I144"/>
    <mergeCell ref="L144:M144"/>
    <mergeCell ref="C146:F146"/>
    <mergeCell ref="I146:J146"/>
    <mergeCell ref="L146:M146"/>
    <mergeCell ref="B162:I162"/>
    <mergeCell ref="B163:I163"/>
    <mergeCell ref="B164:I164"/>
    <mergeCell ref="B165:I165"/>
    <mergeCell ref="B166:I166"/>
    <mergeCell ref="B154:C154"/>
    <mergeCell ref="B155:C155"/>
    <mergeCell ref="B156:C156"/>
    <mergeCell ref="B157:C157"/>
    <mergeCell ref="F158:I158"/>
    <mergeCell ref="B180:D180"/>
    <mergeCell ref="J180:L180"/>
    <mergeCell ref="B181:D181"/>
    <mergeCell ref="J182:L182"/>
    <mergeCell ref="C183:E183"/>
    <mergeCell ref="J183:M183"/>
    <mergeCell ref="B167:I167"/>
    <mergeCell ref="B168:I168"/>
    <mergeCell ref="F169:I169"/>
    <mergeCell ref="B176:M176"/>
    <mergeCell ref="B177:M177"/>
    <mergeCell ref="C192:F192"/>
    <mergeCell ref="I192:J192"/>
    <mergeCell ref="L192:M192"/>
    <mergeCell ref="B197:C197"/>
    <mergeCell ref="D197:E197"/>
    <mergeCell ref="F197:G197"/>
    <mergeCell ref="B188:M188"/>
    <mergeCell ref="B189:M189"/>
    <mergeCell ref="C190:E190"/>
    <mergeCell ref="G190:I190"/>
    <mergeCell ref="L190:M190"/>
    <mergeCell ref="B203:C203"/>
    <mergeCell ref="F204:I204"/>
    <mergeCell ref="B208:I208"/>
    <mergeCell ref="B209:I209"/>
    <mergeCell ref="B210:I210"/>
    <mergeCell ref="B198:C198"/>
    <mergeCell ref="B199:C199"/>
    <mergeCell ref="B200:C200"/>
    <mergeCell ref="B201:C201"/>
    <mergeCell ref="B202:C202"/>
    <mergeCell ref="B222:M222"/>
    <mergeCell ref="B223:M223"/>
    <mergeCell ref="B226:D226"/>
    <mergeCell ref="J226:L226"/>
    <mergeCell ref="B227:D227"/>
    <mergeCell ref="B211:I211"/>
    <mergeCell ref="B212:I212"/>
    <mergeCell ref="B213:I213"/>
    <mergeCell ref="B214:I214"/>
    <mergeCell ref="F215:I215"/>
    <mergeCell ref="C235:E235"/>
    <mergeCell ref="G235:I235"/>
    <mergeCell ref="L235:M235"/>
    <mergeCell ref="C237:F237"/>
    <mergeCell ref="I237:J237"/>
    <mergeCell ref="L237:M237"/>
    <mergeCell ref="J228:L228"/>
    <mergeCell ref="C229:E229"/>
    <mergeCell ref="J229:M229"/>
    <mergeCell ref="B233:M233"/>
    <mergeCell ref="B234:M234"/>
    <mergeCell ref="B245:C245"/>
    <mergeCell ref="B246:C246"/>
    <mergeCell ref="B247:C247"/>
    <mergeCell ref="B248:C248"/>
    <mergeCell ref="F249:I249"/>
    <mergeCell ref="B242:C242"/>
    <mergeCell ref="D242:E242"/>
    <mergeCell ref="F242:G242"/>
    <mergeCell ref="B243:C243"/>
    <mergeCell ref="B244:C244"/>
    <mergeCell ref="B258:I258"/>
    <mergeCell ref="B259:I259"/>
    <mergeCell ref="F260:I260"/>
    <mergeCell ref="B267:M267"/>
    <mergeCell ref="B268:M268"/>
    <mergeCell ref="B253:I253"/>
    <mergeCell ref="B254:I254"/>
    <mergeCell ref="B255:I255"/>
    <mergeCell ref="B256:I256"/>
    <mergeCell ref="B257:I257"/>
    <mergeCell ref="B266:M266"/>
    <mergeCell ref="B280:M280"/>
    <mergeCell ref="B281:M281"/>
    <mergeCell ref="C282:E282"/>
    <mergeCell ref="G282:I282"/>
    <mergeCell ref="L282:M282"/>
    <mergeCell ref="B271:D271"/>
    <mergeCell ref="J271:L271"/>
    <mergeCell ref="B272:D272"/>
    <mergeCell ref="J273:L273"/>
    <mergeCell ref="J274:M274"/>
    <mergeCell ref="C274:F274"/>
    <mergeCell ref="B290:C290"/>
    <mergeCell ref="B291:C291"/>
    <mergeCell ref="B292:C292"/>
    <mergeCell ref="B293:C293"/>
    <mergeCell ref="B294:C294"/>
    <mergeCell ref="C284:F284"/>
    <mergeCell ref="I284:J284"/>
    <mergeCell ref="L284:M284"/>
    <mergeCell ref="B289:C289"/>
    <mergeCell ref="D289:E289"/>
    <mergeCell ref="F289:G289"/>
    <mergeCell ref="B303:I303"/>
    <mergeCell ref="B304:I304"/>
    <mergeCell ref="B305:I305"/>
    <mergeCell ref="B306:I306"/>
    <mergeCell ref="F307:I307"/>
    <mergeCell ref="B295:C295"/>
    <mergeCell ref="F296:I296"/>
    <mergeCell ref="B300:I300"/>
    <mergeCell ref="B301:I301"/>
    <mergeCell ref="B302:I302"/>
    <mergeCell ref="J320:L320"/>
    <mergeCell ref="C321:E321"/>
    <mergeCell ref="J321:M321"/>
    <mergeCell ref="B326:M326"/>
    <mergeCell ref="B327:M327"/>
    <mergeCell ref="B314:M314"/>
    <mergeCell ref="B315:M315"/>
    <mergeCell ref="B318:D318"/>
    <mergeCell ref="J318:L318"/>
    <mergeCell ref="B319:D319"/>
    <mergeCell ref="B335:C335"/>
    <mergeCell ref="D335:E335"/>
    <mergeCell ref="F335:G335"/>
    <mergeCell ref="B336:C336"/>
    <mergeCell ref="B337:C337"/>
    <mergeCell ref="C328:E328"/>
    <mergeCell ref="G328:I328"/>
    <mergeCell ref="L328:M328"/>
    <mergeCell ref="C330:F330"/>
    <mergeCell ref="I330:J330"/>
    <mergeCell ref="L330:M330"/>
    <mergeCell ref="B346:I346"/>
    <mergeCell ref="B347:I347"/>
    <mergeCell ref="B348:I348"/>
    <mergeCell ref="B349:I349"/>
    <mergeCell ref="B350:I350"/>
    <mergeCell ref="B338:C338"/>
    <mergeCell ref="B339:C339"/>
    <mergeCell ref="B340:C340"/>
    <mergeCell ref="B341:C341"/>
    <mergeCell ref="F342:I342"/>
    <mergeCell ref="B364:D364"/>
    <mergeCell ref="J364:L364"/>
    <mergeCell ref="B365:D365"/>
    <mergeCell ref="J366:L366"/>
    <mergeCell ref="C367:E367"/>
    <mergeCell ref="J367:M367"/>
    <mergeCell ref="B351:I351"/>
    <mergeCell ref="B352:I352"/>
    <mergeCell ref="F353:I353"/>
    <mergeCell ref="B360:M360"/>
    <mergeCell ref="B361:M361"/>
    <mergeCell ref="C362:K363"/>
    <mergeCell ref="C376:F376"/>
    <mergeCell ref="I376:J376"/>
    <mergeCell ref="L376:M376"/>
    <mergeCell ref="B381:C381"/>
    <mergeCell ref="D381:E381"/>
    <mergeCell ref="F381:G381"/>
    <mergeCell ref="B372:M372"/>
    <mergeCell ref="B373:M373"/>
    <mergeCell ref="C374:E374"/>
    <mergeCell ref="G374:I374"/>
    <mergeCell ref="L374:M374"/>
    <mergeCell ref="B387:C387"/>
    <mergeCell ref="F388:I388"/>
    <mergeCell ref="B392:I392"/>
    <mergeCell ref="B393:I393"/>
    <mergeCell ref="B394:I394"/>
    <mergeCell ref="B382:C382"/>
    <mergeCell ref="B383:C383"/>
    <mergeCell ref="B384:C384"/>
    <mergeCell ref="B385:C385"/>
    <mergeCell ref="B386:C386"/>
    <mergeCell ref="B406:M406"/>
    <mergeCell ref="B407:M407"/>
    <mergeCell ref="B410:D410"/>
    <mergeCell ref="J410:L410"/>
    <mergeCell ref="B411:D411"/>
    <mergeCell ref="B395:I395"/>
    <mergeCell ref="B396:I396"/>
    <mergeCell ref="B397:I397"/>
    <mergeCell ref="B398:I398"/>
    <mergeCell ref="F399:I399"/>
    <mergeCell ref="C420:E420"/>
    <mergeCell ref="G420:I420"/>
    <mergeCell ref="L420:M420"/>
    <mergeCell ref="C422:F422"/>
    <mergeCell ref="J412:L412"/>
    <mergeCell ref="C413:E413"/>
    <mergeCell ref="J413:M413"/>
    <mergeCell ref="B418:M418"/>
    <mergeCell ref="B419:M419"/>
    <mergeCell ref="B430:C430"/>
    <mergeCell ref="B431:C431"/>
    <mergeCell ref="B432:C432"/>
    <mergeCell ref="B433:C433"/>
    <mergeCell ref="F434:I434"/>
    <mergeCell ref="B427:C427"/>
    <mergeCell ref="D427:E427"/>
    <mergeCell ref="F427:G427"/>
    <mergeCell ref="B428:C428"/>
    <mergeCell ref="B429:C429"/>
    <mergeCell ref="B443:I443"/>
    <mergeCell ref="B444:I444"/>
    <mergeCell ref="F445:I445"/>
    <mergeCell ref="B452:M452"/>
    <mergeCell ref="B453:M453"/>
    <mergeCell ref="B438:I438"/>
    <mergeCell ref="B439:I439"/>
    <mergeCell ref="B440:I440"/>
    <mergeCell ref="B441:I441"/>
    <mergeCell ref="B442:I442"/>
    <mergeCell ref="B464:M464"/>
    <mergeCell ref="B465:M465"/>
    <mergeCell ref="C466:E466"/>
    <mergeCell ref="G466:I466"/>
    <mergeCell ref="L466:M466"/>
    <mergeCell ref="B456:D456"/>
    <mergeCell ref="J456:L456"/>
    <mergeCell ref="B457:D457"/>
    <mergeCell ref="J458:L458"/>
    <mergeCell ref="C459:E459"/>
    <mergeCell ref="J459:M459"/>
    <mergeCell ref="B474:C474"/>
    <mergeCell ref="B475:C475"/>
    <mergeCell ref="B476:C476"/>
    <mergeCell ref="B477:C477"/>
    <mergeCell ref="B478:C478"/>
    <mergeCell ref="C468:F468"/>
    <mergeCell ref="L468:M468"/>
    <mergeCell ref="B473:C473"/>
    <mergeCell ref="D473:E473"/>
    <mergeCell ref="F473:G473"/>
    <mergeCell ref="B487:I487"/>
    <mergeCell ref="B488:I488"/>
    <mergeCell ref="B489:I489"/>
    <mergeCell ref="B490:I490"/>
    <mergeCell ref="F491:I491"/>
    <mergeCell ref="B479:C479"/>
    <mergeCell ref="F480:I480"/>
    <mergeCell ref="B484:I484"/>
    <mergeCell ref="B485:I485"/>
    <mergeCell ref="B486:I486"/>
    <mergeCell ref="B510:M510"/>
    <mergeCell ref="B511:M511"/>
    <mergeCell ref="C512:E512"/>
    <mergeCell ref="G512:I512"/>
    <mergeCell ref="L512:M512"/>
    <mergeCell ref="J504:L504"/>
    <mergeCell ref="C505:E505"/>
    <mergeCell ref="J505:M505"/>
    <mergeCell ref="B498:M498"/>
    <mergeCell ref="B499:M499"/>
    <mergeCell ref="B502:D502"/>
    <mergeCell ref="J502:L502"/>
    <mergeCell ref="B503:D503"/>
    <mergeCell ref="B520:C520"/>
    <mergeCell ref="B521:C521"/>
    <mergeCell ref="B522:C522"/>
    <mergeCell ref="B523:C523"/>
    <mergeCell ref="B524:C524"/>
    <mergeCell ref="C514:F514"/>
    <mergeCell ref="L514:M514"/>
    <mergeCell ref="B519:C519"/>
    <mergeCell ref="D519:E519"/>
    <mergeCell ref="F519:G519"/>
    <mergeCell ref="B533:I533"/>
    <mergeCell ref="B534:I534"/>
    <mergeCell ref="B535:I535"/>
    <mergeCell ref="B536:I536"/>
    <mergeCell ref="F537:I537"/>
    <mergeCell ref="B525:C525"/>
    <mergeCell ref="F526:I526"/>
    <mergeCell ref="B530:I530"/>
    <mergeCell ref="B531:I531"/>
    <mergeCell ref="B532:I532"/>
    <mergeCell ref="J550:L550"/>
    <mergeCell ref="C551:E551"/>
    <mergeCell ref="J551:M551"/>
    <mergeCell ref="B604:M604"/>
    <mergeCell ref="B605:M605"/>
    <mergeCell ref="B544:M544"/>
    <mergeCell ref="B545:M545"/>
    <mergeCell ref="B548:D548"/>
    <mergeCell ref="J548:L548"/>
    <mergeCell ref="B549:D549"/>
    <mergeCell ref="B557:M557"/>
    <mergeCell ref="B558:M558"/>
    <mergeCell ref="C559:E559"/>
    <mergeCell ref="G559:I559"/>
    <mergeCell ref="L559:M559"/>
    <mergeCell ref="C561:F561"/>
    <mergeCell ref="L561:M561"/>
    <mergeCell ref="B566:C566"/>
    <mergeCell ref="D566:E566"/>
    <mergeCell ref="F566:G566"/>
    <mergeCell ref="B567:C567"/>
    <mergeCell ref="B568:C568"/>
    <mergeCell ref="B569:C569"/>
    <mergeCell ref="B570:C570"/>
    <mergeCell ref="B613:C613"/>
    <mergeCell ref="D613:E613"/>
    <mergeCell ref="F613:G613"/>
    <mergeCell ref="B614:C614"/>
    <mergeCell ref="B615:C615"/>
    <mergeCell ref="C606:E606"/>
    <mergeCell ref="G606:I606"/>
    <mergeCell ref="L606:M606"/>
    <mergeCell ref="C608:F608"/>
    <mergeCell ref="L608:M608"/>
    <mergeCell ref="B624:I624"/>
    <mergeCell ref="B625:I625"/>
    <mergeCell ref="B626:I626"/>
    <mergeCell ref="B627:I627"/>
    <mergeCell ref="B628:I628"/>
    <mergeCell ref="B616:C616"/>
    <mergeCell ref="B617:C617"/>
    <mergeCell ref="B618:C618"/>
    <mergeCell ref="B619:C619"/>
    <mergeCell ref="F620:I620"/>
    <mergeCell ref="B642:D642"/>
    <mergeCell ref="J642:L642"/>
    <mergeCell ref="B643:D643"/>
    <mergeCell ref="J644:L644"/>
    <mergeCell ref="C645:E645"/>
    <mergeCell ref="J645:M645"/>
    <mergeCell ref="B629:I629"/>
    <mergeCell ref="B630:I630"/>
    <mergeCell ref="F631:I631"/>
    <mergeCell ref="B638:M638"/>
    <mergeCell ref="B639:M639"/>
    <mergeCell ref="C654:F654"/>
    <mergeCell ref="L654:M654"/>
    <mergeCell ref="B659:C659"/>
    <mergeCell ref="D659:E659"/>
    <mergeCell ref="F659:G659"/>
    <mergeCell ref="B650:M650"/>
    <mergeCell ref="B651:M651"/>
    <mergeCell ref="C652:E652"/>
    <mergeCell ref="G652:I652"/>
    <mergeCell ref="L652:M652"/>
    <mergeCell ref="B665:C665"/>
    <mergeCell ref="F666:I666"/>
    <mergeCell ref="B670:I670"/>
    <mergeCell ref="B671:I671"/>
    <mergeCell ref="B672:I672"/>
    <mergeCell ref="B660:C660"/>
    <mergeCell ref="B661:C661"/>
    <mergeCell ref="B662:C662"/>
    <mergeCell ref="B663:C663"/>
    <mergeCell ref="B664:C664"/>
    <mergeCell ref="B684:M684"/>
    <mergeCell ref="B685:M685"/>
    <mergeCell ref="B688:D688"/>
    <mergeCell ref="J688:L688"/>
    <mergeCell ref="B689:D689"/>
    <mergeCell ref="C691:F691"/>
    <mergeCell ref="B673:I673"/>
    <mergeCell ref="B674:I674"/>
    <mergeCell ref="B675:I675"/>
    <mergeCell ref="B676:I676"/>
    <mergeCell ref="F677:I677"/>
    <mergeCell ref="C699:E699"/>
    <mergeCell ref="G699:I699"/>
    <mergeCell ref="L699:M699"/>
    <mergeCell ref="C701:F701"/>
    <mergeCell ref="L701:M701"/>
    <mergeCell ref="J690:L690"/>
    <mergeCell ref="J691:M691"/>
    <mergeCell ref="B697:M697"/>
    <mergeCell ref="B698:M698"/>
    <mergeCell ref="B709:C709"/>
    <mergeCell ref="B710:C710"/>
    <mergeCell ref="B711:C711"/>
    <mergeCell ref="B712:C712"/>
    <mergeCell ref="F713:I713"/>
    <mergeCell ref="B706:C706"/>
    <mergeCell ref="D706:E706"/>
    <mergeCell ref="F706:G706"/>
    <mergeCell ref="B707:C707"/>
    <mergeCell ref="B708:C708"/>
    <mergeCell ref="B722:I722"/>
    <mergeCell ref="B723:I723"/>
    <mergeCell ref="F724:I724"/>
    <mergeCell ref="B731:M731"/>
    <mergeCell ref="B732:M732"/>
    <mergeCell ref="B717:I717"/>
    <mergeCell ref="B718:I718"/>
    <mergeCell ref="B719:I719"/>
    <mergeCell ref="B720:I720"/>
    <mergeCell ref="B721:I721"/>
    <mergeCell ref="B735:D735"/>
    <mergeCell ref="J735:L735"/>
    <mergeCell ref="B736:D736"/>
    <mergeCell ref="J737:L737"/>
    <mergeCell ref="C738:E738"/>
    <mergeCell ref="J738:M738"/>
    <mergeCell ref="B769:I769"/>
    <mergeCell ref="B757:C757"/>
    <mergeCell ref="B758:C758"/>
    <mergeCell ref="B759:C759"/>
    <mergeCell ref="B760:C760"/>
    <mergeCell ref="F761:I761"/>
    <mergeCell ref="L749:M749"/>
    <mergeCell ref="C749:F749"/>
    <mergeCell ref="L747:M747"/>
    <mergeCell ref="G747:I747"/>
    <mergeCell ref="C747:E747"/>
    <mergeCell ref="B746:M746"/>
    <mergeCell ref="B745:M745"/>
    <mergeCell ref="B768:I768"/>
    <mergeCell ref="B767:I767"/>
    <mergeCell ref="B766:I766"/>
    <mergeCell ref="B765:I765"/>
    <mergeCell ref="B756:C756"/>
    <mergeCell ref="B783:D783"/>
    <mergeCell ref="J783:L783"/>
    <mergeCell ref="B784:D784"/>
    <mergeCell ref="J785:L785"/>
    <mergeCell ref="C786:E786"/>
    <mergeCell ref="J786:M786"/>
    <mergeCell ref="B770:I770"/>
    <mergeCell ref="B771:I771"/>
    <mergeCell ref="F772:I772"/>
    <mergeCell ref="B779:M779"/>
    <mergeCell ref="B780:M780"/>
    <mergeCell ref="L888:M888"/>
    <mergeCell ref="B893:C893"/>
    <mergeCell ref="D893:E893"/>
    <mergeCell ref="F893:G893"/>
    <mergeCell ref="B884:M884"/>
    <mergeCell ref="B885:M885"/>
    <mergeCell ref="C886:E886"/>
    <mergeCell ref="G886:I886"/>
    <mergeCell ref="L886:M886"/>
    <mergeCell ref="B801:C801"/>
    <mergeCell ref="B802:C802"/>
    <mergeCell ref="B803:C803"/>
    <mergeCell ref="B804:C804"/>
    <mergeCell ref="B805:C805"/>
    <mergeCell ref="B806:C806"/>
    <mergeCell ref="F807:I807"/>
    <mergeCell ref="B811:I811"/>
    <mergeCell ref="C888:F888"/>
    <mergeCell ref="B825:M825"/>
    <mergeCell ref="B826:M826"/>
    <mergeCell ref="B829:D829"/>
    <mergeCell ref="J829:L829"/>
    <mergeCell ref="B830:D830"/>
    <mergeCell ref="J831:L831"/>
    <mergeCell ref="C832:E832"/>
    <mergeCell ref="J832:M832"/>
    <mergeCell ref="B838:M838"/>
    <mergeCell ref="B839:M839"/>
    <mergeCell ref="C840:E840"/>
    <mergeCell ref="G840:I840"/>
    <mergeCell ref="L840:M840"/>
    <mergeCell ref="C842:F842"/>
    <mergeCell ref="L842:M842"/>
    <mergeCell ref="B791:M791"/>
    <mergeCell ref="B792:M792"/>
    <mergeCell ref="C793:E793"/>
    <mergeCell ref="G793:I793"/>
    <mergeCell ref="L793:M793"/>
    <mergeCell ref="C795:F795"/>
    <mergeCell ref="L795:M795"/>
    <mergeCell ref="B800:C800"/>
    <mergeCell ref="D800:E800"/>
    <mergeCell ref="F800:G800"/>
    <mergeCell ref="B812:I812"/>
    <mergeCell ref="F900:I900"/>
    <mergeCell ref="B904:I904"/>
    <mergeCell ref="B905:I905"/>
    <mergeCell ref="B906:I906"/>
    <mergeCell ref="B894:C894"/>
    <mergeCell ref="B895:C895"/>
    <mergeCell ref="B896:C896"/>
    <mergeCell ref="B897:C897"/>
    <mergeCell ref="B898:C898"/>
    <mergeCell ref="B899:C899"/>
    <mergeCell ref="B813:I813"/>
    <mergeCell ref="B814:I814"/>
    <mergeCell ref="B815:I815"/>
    <mergeCell ref="B816:I816"/>
    <mergeCell ref="B817:I817"/>
    <mergeCell ref="F818:I818"/>
    <mergeCell ref="B847:C847"/>
    <mergeCell ref="D847:E847"/>
    <mergeCell ref="F847:G847"/>
    <mergeCell ref="B848:C848"/>
    <mergeCell ref="B849:C849"/>
    <mergeCell ref="B850:C850"/>
    <mergeCell ref="B851:C851"/>
    <mergeCell ref="B918:M918"/>
    <mergeCell ref="B919:M919"/>
    <mergeCell ref="B922:D922"/>
    <mergeCell ref="J922:L922"/>
    <mergeCell ref="B923:D923"/>
    <mergeCell ref="B907:I907"/>
    <mergeCell ref="B908:I908"/>
    <mergeCell ref="B909:I909"/>
    <mergeCell ref="B910:I910"/>
    <mergeCell ref="F911:I911"/>
    <mergeCell ref="F940:G940"/>
    <mergeCell ref="B941:C941"/>
    <mergeCell ref="B942:C942"/>
    <mergeCell ref="C933:E933"/>
    <mergeCell ref="G933:I933"/>
    <mergeCell ref="L933:M933"/>
    <mergeCell ref="C935:F935"/>
    <mergeCell ref="L935:M935"/>
    <mergeCell ref="J924:L924"/>
    <mergeCell ref="C925:E925"/>
    <mergeCell ref="J925:M925"/>
    <mergeCell ref="B931:M931"/>
    <mergeCell ref="B932:M932"/>
    <mergeCell ref="B940:C940"/>
    <mergeCell ref="D940:E940"/>
    <mergeCell ref="B969:D969"/>
    <mergeCell ref="J969:L969"/>
    <mergeCell ref="B970:D970"/>
    <mergeCell ref="J971:L971"/>
    <mergeCell ref="C972:E972"/>
    <mergeCell ref="J972:M972"/>
    <mergeCell ref="B956:I956"/>
    <mergeCell ref="B957:I957"/>
    <mergeCell ref="F958:I958"/>
    <mergeCell ref="B965:M965"/>
    <mergeCell ref="B966:M966"/>
    <mergeCell ref="B951:I951"/>
    <mergeCell ref="B952:I952"/>
    <mergeCell ref="B953:I953"/>
    <mergeCell ref="B954:I954"/>
    <mergeCell ref="B955:I955"/>
    <mergeCell ref="B943:C943"/>
    <mergeCell ref="B944:C944"/>
    <mergeCell ref="B945:C945"/>
    <mergeCell ref="B946:C946"/>
    <mergeCell ref="F947:I947"/>
  </mergeCells>
  <printOptions horizontalCentered="1" verticalCentered="1"/>
  <pageMargins left="0.25" right="0.25" top="0.75" bottom="0.75" header="0.3" footer="0.3"/>
  <pageSetup paperSize="9" scale="52" fitToHeight="0" orientation="portrait" r:id="rId1"/>
  <rowBreaks count="23" manualBreakCount="23">
    <brk id="46" max="16383" man="1"/>
    <brk id="92" max="16383" man="1"/>
    <brk id="139" max="16383" man="1"/>
    <brk id="185" max="16383" man="1"/>
    <brk id="231" max="16383" man="1"/>
    <brk id="278" max="16383" man="1"/>
    <brk id="324" max="16383" man="1"/>
    <brk id="370" max="16383" man="1"/>
    <brk id="416" max="16383" man="1"/>
    <brk id="462" max="16383" man="1"/>
    <brk id="508" max="16383" man="1"/>
    <brk id="555" max="16383" man="1"/>
    <brk id="601" max="16383" man="1"/>
    <brk id="648" max="16383" man="1"/>
    <brk id="695" max="16383" man="1"/>
    <brk id="742" max="16383" man="1"/>
    <brk id="788" max="16383" man="1"/>
    <brk id="835" max="12" man="1"/>
    <brk id="882" max="12" man="1"/>
    <brk id="929" max="12" man="1"/>
    <brk id="975" max="12" man="1"/>
    <brk id="1022" max="12" man="1"/>
    <brk id="1069"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249"/>
  <sheetViews>
    <sheetView topLeftCell="A208" zoomScale="115" zoomScaleNormal="115" workbookViewId="0">
      <selection activeCell="C4" sqref="C4:E4"/>
    </sheetView>
  </sheetViews>
  <sheetFormatPr defaultColWidth="9.42578125" defaultRowHeight="15" x14ac:dyDescent="0.25"/>
  <cols>
    <col min="1" max="1" width="1" style="93" customWidth="1"/>
    <col min="2" max="2" width="10.5703125" style="93" customWidth="1"/>
    <col min="3" max="3" width="9.42578125" style="93" customWidth="1"/>
    <col min="4" max="4" width="3.42578125" style="93" customWidth="1"/>
    <col min="5" max="5" width="5.5703125" style="93" customWidth="1"/>
    <col min="6" max="6" width="8.42578125" style="93" customWidth="1"/>
    <col min="7" max="7" width="5.42578125" style="93" customWidth="1"/>
    <col min="8" max="8" width="7" style="93" customWidth="1"/>
    <col min="9" max="9" width="8.5703125" style="93" customWidth="1"/>
    <col min="10" max="10" width="10.5703125" style="93" customWidth="1"/>
    <col min="11" max="11" width="4.5703125" style="93" customWidth="1"/>
    <col min="12" max="12" width="12.5703125" style="93" customWidth="1"/>
    <col min="13" max="13" width="0.42578125" style="93" customWidth="1"/>
    <col min="14" max="16384" width="9.42578125" style="93"/>
  </cols>
  <sheetData>
    <row r="1" spans="2:13" ht="21.75" customHeight="1" thickBot="1" x14ac:dyDescent="0.3"/>
    <row r="2" spans="2:13" ht="18.75" customHeight="1" x14ac:dyDescent="0.25">
      <c r="B2" s="657"/>
      <c r="C2" s="648"/>
      <c r="D2" s="648"/>
      <c r="E2" s="648"/>
      <c r="F2" s="648"/>
      <c r="G2" s="648"/>
      <c r="H2" s="648"/>
      <c r="I2" s="648"/>
      <c r="J2" s="648"/>
      <c r="K2" s="648"/>
      <c r="L2" s="648"/>
      <c r="M2" s="649"/>
    </row>
    <row r="3" spans="2:13" ht="24.75" customHeight="1" x14ac:dyDescent="0.25">
      <c r="B3" s="650" t="s">
        <v>89</v>
      </c>
      <c r="C3" s="651"/>
      <c r="D3" s="651"/>
      <c r="E3" s="651"/>
      <c r="F3" s="651"/>
      <c r="G3" s="651"/>
      <c r="H3" s="651"/>
      <c r="I3" s="651"/>
      <c r="J3" s="651"/>
      <c r="K3" s="651"/>
      <c r="L3" s="651"/>
      <c r="M3" s="652"/>
    </row>
    <row r="4" spans="2:13" ht="23.25" customHeight="1" x14ac:dyDescent="0.25">
      <c r="B4" s="192" t="s">
        <v>63</v>
      </c>
      <c r="C4" s="653" t="s">
        <v>138</v>
      </c>
      <c r="D4" s="653"/>
      <c r="E4" s="653"/>
      <c r="F4" s="185"/>
      <c r="G4" s="186" t="s">
        <v>40</v>
      </c>
      <c r="H4" s="654" t="s">
        <v>131</v>
      </c>
      <c r="I4" s="654"/>
      <c r="J4" s="191" t="s">
        <v>90</v>
      </c>
      <c r="L4" s="216">
        <f>L8</f>
        <v>44049</v>
      </c>
      <c r="M4" s="218"/>
    </row>
    <row r="5" spans="2:13" ht="9" customHeight="1" x14ac:dyDescent="0.25">
      <c r="B5" s="187"/>
      <c r="C5" s="185"/>
      <c r="D5" s="185"/>
      <c r="E5" s="188"/>
      <c r="F5" s="185"/>
      <c r="G5" s="204"/>
      <c r="H5" s="204"/>
      <c r="I5" s="185"/>
      <c r="J5" s="185"/>
      <c r="K5" s="191"/>
      <c r="L5" s="191"/>
      <c r="M5" s="196"/>
    </row>
    <row r="6" spans="2:13" x14ac:dyDescent="0.25">
      <c r="B6" s="192" t="s">
        <v>64</v>
      </c>
      <c r="C6" s="641" t="e">
        <f>'PB '!#REF!</f>
        <v>#REF!</v>
      </c>
      <c r="D6" s="641"/>
      <c r="E6" s="641"/>
      <c r="F6" s="641"/>
      <c r="G6" s="189" t="s">
        <v>91</v>
      </c>
      <c r="H6" s="655" t="e">
        <f>'PB '!#REF!</f>
        <v>#REF!</v>
      </c>
      <c r="I6" s="653"/>
      <c r="J6" s="656" t="s">
        <v>92</v>
      </c>
      <c r="K6" s="656"/>
      <c r="L6" s="221">
        <v>43859</v>
      </c>
      <c r="M6" s="209"/>
    </row>
    <row r="7" spans="2:13" ht="9" customHeight="1" x14ac:dyDescent="0.25">
      <c r="B7" s="192"/>
      <c r="C7" s="185"/>
      <c r="D7" s="185"/>
      <c r="E7" s="185"/>
      <c r="F7" s="185"/>
      <c r="G7" s="185" t="s">
        <v>65</v>
      </c>
      <c r="H7" s="185"/>
      <c r="I7" s="185"/>
      <c r="J7" s="185"/>
      <c r="K7" s="186"/>
      <c r="L7" s="193"/>
      <c r="M7" s="209"/>
    </row>
    <row r="8" spans="2:13" x14ac:dyDescent="0.25">
      <c r="B8" s="625" t="s">
        <v>93</v>
      </c>
      <c r="C8" s="626"/>
      <c r="D8" s="641" t="s">
        <v>130</v>
      </c>
      <c r="E8" s="641"/>
      <c r="F8" s="641"/>
      <c r="G8" s="186"/>
      <c r="H8" s="186"/>
      <c r="I8" s="185"/>
      <c r="J8" s="626" t="s">
        <v>94</v>
      </c>
      <c r="K8" s="626"/>
      <c r="L8" s="221">
        <v>44049</v>
      </c>
      <c r="M8" s="196"/>
    </row>
    <row r="9" spans="2:13" ht="9" customHeight="1" x14ac:dyDescent="0.25">
      <c r="B9" s="194"/>
      <c r="C9" s="186"/>
      <c r="D9" s="169"/>
      <c r="E9" s="169"/>
      <c r="F9" s="169"/>
      <c r="G9" s="169"/>
      <c r="H9" s="186"/>
      <c r="I9" s="185"/>
      <c r="J9" s="185"/>
      <c r="K9" s="185"/>
      <c r="L9" s="185"/>
      <c r="M9" s="196"/>
    </row>
    <row r="10" spans="2:13" ht="22.5" customHeight="1" x14ac:dyDescent="0.25">
      <c r="B10" s="625" t="s">
        <v>95</v>
      </c>
      <c r="C10" s="626"/>
      <c r="D10" s="626"/>
      <c r="E10" s="642">
        <f>L8-L6</f>
        <v>190</v>
      </c>
      <c r="F10" s="642"/>
      <c r="G10" s="185" t="s">
        <v>6</v>
      </c>
      <c r="H10" s="643" t="s">
        <v>66</v>
      </c>
      <c r="I10" s="643"/>
      <c r="J10" s="643"/>
      <c r="K10" s="185" t="s">
        <v>51</v>
      </c>
      <c r="L10" s="217" t="e">
        <f>'PB '!#REF!</f>
        <v>#REF!</v>
      </c>
      <c r="M10" s="196"/>
    </row>
    <row r="11" spans="2:13" ht="12" customHeight="1" x14ac:dyDescent="0.25">
      <c r="B11" s="192"/>
      <c r="C11" s="185"/>
      <c r="D11" s="185"/>
      <c r="E11" s="185"/>
      <c r="F11" s="185"/>
      <c r="G11" s="185"/>
      <c r="H11" s="185"/>
      <c r="I11" s="185"/>
      <c r="J11" s="185"/>
      <c r="K11" s="185"/>
      <c r="L11" s="185"/>
      <c r="M11" s="196"/>
    </row>
    <row r="12" spans="2:13" ht="24" customHeight="1" x14ac:dyDescent="0.25">
      <c r="B12" s="644" t="s">
        <v>67</v>
      </c>
      <c r="C12" s="645"/>
      <c r="D12" s="645" t="s">
        <v>60</v>
      </c>
      <c r="E12" s="645"/>
      <c r="F12" s="646" t="s">
        <v>61</v>
      </c>
      <c r="G12" s="646"/>
      <c r="H12" s="208" t="s">
        <v>68</v>
      </c>
      <c r="I12" s="208" t="s">
        <v>69</v>
      </c>
      <c r="J12" s="168" t="s">
        <v>51</v>
      </c>
      <c r="K12" s="169"/>
      <c r="L12" s="169"/>
      <c r="M12" s="195"/>
    </row>
    <row r="13" spans="2:13" ht="16.5" customHeight="1" x14ac:dyDescent="0.25">
      <c r="B13" s="635" t="s">
        <v>70</v>
      </c>
      <c r="C13" s="636"/>
      <c r="D13" s="170">
        <v>1</v>
      </c>
      <c r="E13" s="171">
        <f>'PB '!B1</f>
        <v>0</v>
      </c>
      <c r="F13" s="172" t="e">
        <f>'PB '!#REF!</f>
        <v>#REF!</v>
      </c>
      <c r="G13" s="171">
        <f>'PB '!B1</f>
        <v>0</v>
      </c>
      <c r="H13" s="173" t="e">
        <f>'PB '!#REF!</f>
        <v>#REF!</v>
      </c>
      <c r="I13" s="174" t="e">
        <f>'PB '!#REF!</f>
        <v>#REF!</v>
      </c>
      <c r="J13" s="175" t="e">
        <f>I13*H13/30</f>
        <v>#REF!</v>
      </c>
      <c r="K13" s="185"/>
      <c r="L13" s="185"/>
      <c r="M13" s="196"/>
    </row>
    <row r="14" spans="2:13" ht="16.5" customHeight="1" x14ac:dyDescent="0.25">
      <c r="B14" s="627" t="s">
        <v>71</v>
      </c>
      <c r="C14" s="628"/>
      <c r="D14" s="176">
        <v>1</v>
      </c>
      <c r="E14" s="177">
        <f>'PB '!B1</f>
        <v>0</v>
      </c>
      <c r="F14" s="172" t="e">
        <f>'PB '!#REF!</f>
        <v>#REF!</v>
      </c>
      <c r="G14" s="177">
        <f>'PB '!B1</f>
        <v>0</v>
      </c>
      <c r="H14" s="178" t="e">
        <f>H13</f>
        <v>#REF!</v>
      </c>
      <c r="I14" s="174" t="e">
        <f>'PB '!#REF!</f>
        <v>#REF!</v>
      </c>
      <c r="J14" s="175" t="e">
        <f>I14*H14/30</f>
        <v>#REF!</v>
      </c>
      <c r="K14" s="185"/>
      <c r="L14" s="185"/>
      <c r="M14" s="196"/>
    </row>
    <row r="15" spans="2:13" ht="16.5" customHeight="1" x14ac:dyDescent="0.25">
      <c r="B15" s="629" t="s">
        <v>72</v>
      </c>
      <c r="C15" s="631"/>
      <c r="D15" s="176">
        <v>1</v>
      </c>
      <c r="E15" s="177">
        <f>'PB '!B1</f>
        <v>0</v>
      </c>
      <c r="F15" s="172" t="e">
        <f>'PB '!#REF!</f>
        <v>#REF!</v>
      </c>
      <c r="G15" s="177">
        <f>'PB '!B1</f>
        <v>0</v>
      </c>
      <c r="H15" s="178" t="e">
        <f>H14</f>
        <v>#REF!</v>
      </c>
      <c r="I15" s="174" t="e">
        <f>'PB '!#REF!</f>
        <v>#REF!</v>
      </c>
      <c r="J15" s="175" t="e">
        <f>I15*H15/30</f>
        <v>#REF!</v>
      </c>
      <c r="K15" s="185"/>
      <c r="L15" s="185"/>
      <c r="M15" s="196"/>
    </row>
    <row r="16" spans="2:13" ht="16.5" customHeight="1" x14ac:dyDescent="0.25">
      <c r="B16" s="629" t="s">
        <v>96</v>
      </c>
      <c r="C16" s="631"/>
      <c r="D16" s="176">
        <v>1</v>
      </c>
      <c r="E16" s="177">
        <f>'PB '!B1</f>
        <v>0</v>
      </c>
      <c r="F16" s="172" t="e">
        <f>'PB '!#REF!</f>
        <v>#REF!</v>
      </c>
      <c r="G16" s="177">
        <f>'PB '!B1</f>
        <v>0</v>
      </c>
      <c r="H16" s="178" t="e">
        <f>H15</f>
        <v>#REF!</v>
      </c>
      <c r="I16" s="174" t="e">
        <f>'PB '!#REF!</f>
        <v>#REF!</v>
      </c>
      <c r="J16" s="175" t="e">
        <f>I16*H16/30</f>
        <v>#REF!</v>
      </c>
      <c r="K16" s="185"/>
      <c r="L16" s="185"/>
      <c r="M16" s="196"/>
    </row>
    <row r="17" spans="2:13" ht="16.5" customHeight="1" x14ac:dyDescent="0.25">
      <c r="B17" s="637" t="s">
        <v>74</v>
      </c>
      <c r="C17" s="638"/>
      <c r="D17" s="180"/>
      <c r="E17" s="177"/>
      <c r="F17" s="180"/>
      <c r="G17" s="177"/>
      <c r="H17" s="181"/>
      <c r="I17" s="174" t="e">
        <f>'PB '!#REF!</f>
        <v>#REF!</v>
      </c>
      <c r="J17" s="175" t="e">
        <f>I17</f>
        <v>#REF!</v>
      </c>
      <c r="K17" s="185"/>
      <c r="L17" s="185"/>
      <c r="M17" s="196"/>
    </row>
    <row r="18" spans="2:13" ht="16.5" customHeight="1" x14ac:dyDescent="0.25">
      <c r="B18" s="658"/>
      <c r="C18" s="659"/>
      <c r="D18" s="180"/>
      <c r="E18" s="177"/>
      <c r="F18" s="180"/>
      <c r="G18" s="177"/>
      <c r="H18" s="181"/>
      <c r="I18" s="174" t="e">
        <f>'PB '!#REF!</f>
        <v>#REF!</v>
      </c>
      <c r="J18" s="175" t="e">
        <f>I18</f>
        <v>#REF!</v>
      </c>
      <c r="K18" s="185"/>
      <c r="L18" s="185"/>
      <c r="M18" s="196"/>
    </row>
    <row r="19" spans="2:13" ht="16.5" customHeight="1" x14ac:dyDescent="0.25">
      <c r="B19" s="192"/>
      <c r="C19" s="185"/>
      <c r="D19" s="185"/>
      <c r="E19" s="185"/>
      <c r="F19" s="639" t="s">
        <v>76</v>
      </c>
      <c r="G19" s="639"/>
      <c r="H19" s="639"/>
      <c r="I19" s="640"/>
      <c r="J19" s="182" t="e">
        <f>SUM(J13:J18)</f>
        <v>#REF!</v>
      </c>
      <c r="K19" s="193" t="s">
        <v>51</v>
      </c>
      <c r="L19" s="183" t="e">
        <f>J19</f>
        <v>#REF!</v>
      </c>
      <c r="M19" s="196"/>
    </row>
    <row r="20" spans="2:13" ht="15" customHeight="1" thickBot="1" x14ac:dyDescent="0.3">
      <c r="B20" s="192"/>
      <c r="C20" s="185"/>
      <c r="D20" s="185"/>
      <c r="E20" s="185"/>
      <c r="F20" s="185"/>
      <c r="G20" s="185"/>
      <c r="H20" s="185"/>
      <c r="I20" s="185"/>
      <c r="J20" s="185"/>
      <c r="K20" s="185"/>
      <c r="L20" s="184" t="e">
        <f>L10+L19</f>
        <v>#REF!</v>
      </c>
      <c r="M20" s="196"/>
    </row>
    <row r="21" spans="2:13" ht="6.75" customHeight="1" x14ac:dyDescent="0.25">
      <c r="B21" s="192"/>
      <c r="C21" s="185"/>
      <c r="D21" s="185"/>
      <c r="E21" s="185"/>
      <c r="F21" s="185"/>
      <c r="G21" s="185"/>
      <c r="H21" s="185"/>
      <c r="I21" s="185"/>
      <c r="J21" s="185"/>
      <c r="K21" s="185"/>
      <c r="L21" s="197"/>
      <c r="M21" s="196"/>
    </row>
    <row r="22" spans="2:13" ht="7.5" customHeight="1" x14ac:dyDescent="0.25">
      <c r="B22" s="192"/>
      <c r="C22" s="185"/>
      <c r="D22" s="185"/>
      <c r="E22" s="185"/>
      <c r="F22" s="185"/>
      <c r="G22" s="185"/>
      <c r="H22" s="185"/>
      <c r="I22" s="185"/>
      <c r="J22" s="185"/>
      <c r="K22" s="185"/>
      <c r="L22" s="197"/>
      <c r="M22" s="196"/>
    </row>
    <row r="23" spans="2:13" ht="16.5" customHeight="1" x14ac:dyDescent="0.25">
      <c r="B23" s="627" t="s">
        <v>77</v>
      </c>
      <c r="C23" s="628"/>
      <c r="D23" s="628"/>
      <c r="E23" s="628"/>
      <c r="F23" s="628"/>
      <c r="G23" s="628"/>
      <c r="H23" s="628"/>
      <c r="I23" s="628"/>
      <c r="J23" s="198"/>
      <c r="K23" s="185"/>
      <c r="L23" s="197"/>
      <c r="M23" s="196"/>
    </row>
    <row r="24" spans="2:13" ht="16.5" customHeight="1" x14ac:dyDescent="0.25">
      <c r="B24" s="627" t="s">
        <v>78</v>
      </c>
      <c r="C24" s="628"/>
      <c r="D24" s="628"/>
      <c r="E24" s="628"/>
      <c r="F24" s="628"/>
      <c r="G24" s="628"/>
      <c r="H24" s="628"/>
      <c r="I24" s="628"/>
      <c r="J24" s="179" t="e">
        <f>'PB '!#REF!</f>
        <v>#REF!</v>
      </c>
      <c r="K24" s="185"/>
      <c r="L24" s="197"/>
      <c r="M24" s="196"/>
    </row>
    <row r="25" spans="2:13" ht="16.5" customHeight="1" x14ac:dyDescent="0.25">
      <c r="B25" s="627" t="s">
        <v>79</v>
      </c>
      <c r="C25" s="628"/>
      <c r="D25" s="628"/>
      <c r="E25" s="628"/>
      <c r="F25" s="628"/>
      <c r="G25" s="628"/>
      <c r="H25" s="628"/>
      <c r="I25" s="628"/>
      <c r="J25" s="179" t="e">
        <f>'PB '!#REF!</f>
        <v>#REF!</v>
      </c>
      <c r="K25" s="185"/>
      <c r="L25" s="197"/>
      <c r="M25" s="196"/>
    </row>
    <row r="26" spans="2:13" ht="16.5" customHeight="1" x14ac:dyDescent="0.25">
      <c r="B26" s="627" t="s">
        <v>80</v>
      </c>
      <c r="C26" s="628"/>
      <c r="D26" s="628"/>
      <c r="E26" s="628"/>
      <c r="F26" s="628"/>
      <c r="G26" s="628"/>
      <c r="H26" s="628"/>
      <c r="I26" s="628"/>
      <c r="J26" s="179" t="e">
        <f>'PB '!#REF!</f>
        <v>#REF!</v>
      </c>
      <c r="K26" s="185"/>
      <c r="L26" s="197"/>
      <c r="M26" s="196"/>
    </row>
    <row r="27" spans="2:13" ht="16.5" customHeight="1" x14ac:dyDescent="0.25">
      <c r="B27" s="627" t="s">
        <v>81</v>
      </c>
      <c r="C27" s="628"/>
      <c r="D27" s="628"/>
      <c r="E27" s="628"/>
      <c r="F27" s="628"/>
      <c r="G27" s="628"/>
      <c r="H27" s="628"/>
      <c r="I27" s="628"/>
      <c r="J27" s="179" t="e">
        <f>'PB '!#REF!</f>
        <v>#REF!</v>
      </c>
      <c r="K27" s="185"/>
      <c r="L27" s="197"/>
      <c r="M27" s="196"/>
    </row>
    <row r="28" spans="2:13" ht="16.5" customHeight="1" x14ac:dyDescent="0.25">
      <c r="B28" s="629" t="s">
        <v>97</v>
      </c>
      <c r="C28" s="630"/>
      <c r="D28" s="630"/>
      <c r="E28" s="630"/>
      <c r="F28" s="630"/>
      <c r="G28" s="630"/>
      <c r="H28" s="630"/>
      <c r="I28" s="631"/>
      <c r="J28" s="179" t="e">
        <f>'PB '!#REF!</f>
        <v>#REF!</v>
      </c>
      <c r="K28" s="185"/>
      <c r="L28" s="197"/>
      <c r="M28" s="196"/>
    </row>
    <row r="29" spans="2:13" ht="16.5" customHeight="1" thickBot="1" x14ac:dyDescent="0.3">
      <c r="B29" s="627"/>
      <c r="C29" s="628"/>
      <c r="D29" s="628"/>
      <c r="E29" s="628"/>
      <c r="F29" s="628"/>
      <c r="G29" s="628"/>
      <c r="H29" s="628"/>
      <c r="I29" s="628"/>
      <c r="J29" s="179"/>
      <c r="K29" s="185"/>
      <c r="L29" s="197"/>
      <c r="M29" s="196"/>
    </row>
    <row r="30" spans="2:13" ht="16.5" customHeight="1" thickBot="1" x14ac:dyDescent="0.3">
      <c r="B30" s="192"/>
      <c r="C30" s="185"/>
      <c r="D30" s="185"/>
      <c r="E30" s="185"/>
      <c r="F30" s="632" t="s">
        <v>83</v>
      </c>
      <c r="G30" s="633"/>
      <c r="H30" s="633"/>
      <c r="I30" s="634"/>
      <c r="J30" s="179" t="e">
        <f>SUM(J24:J28)</f>
        <v>#REF!</v>
      </c>
      <c r="K30" s="185" t="s">
        <v>51</v>
      </c>
      <c r="L30" s="199" t="e">
        <f>J30</f>
        <v>#REF!</v>
      </c>
      <c r="M30" s="196"/>
    </row>
    <row r="31" spans="2:13" ht="25.35" customHeight="1" x14ac:dyDescent="0.25">
      <c r="B31" s="192"/>
      <c r="C31" s="185"/>
      <c r="D31" s="185"/>
      <c r="E31" s="185"/>
      <c r="F31" s="185"/>
      <c r="G31" s="185"/>
      <c r="H31" s="185"/>
      <c r="I31" s="185"/>
      <c r="J31" s="185"/>
      <c r="K31" s="185"/>
      <c r="L31" s="197"/>
      <c r="M31" s="196"/>
    </row>
    <row r="32" spans="2:13" ht="9.75" hidden="1" customHeight="1" x14ac:dyDescent="0.25">
      <c r="B32" s="192"/>
      <c r="C32" s="185"/>
      <c r="D32" s="185"/>
      <c r="E32" s="185"/>
      <c r="F32" s="185"/>
      <c r="G32" s="185"/>
      <c r="H32" s="185"/>
      <c r="I32" s="185"/>
      <c r="J32" s="185"/>
      <c r="K32" s="185"/>
      <c r="L32" s="197"/>
      <c r="M32" s="196"/>
    </row>
    <row r="33" spans="2:13" ht="21" customHeight="1" thickBot="1" x14ac:dyDescent="0.3">
      <c r="B33" s="192"/>
      <c r="C33" s="185"/>
      <c r="D33" s="185"/>
      <c r="E33" s="185"/>
      <c r="F33" s="202" t="s">
        <v>98</v>
      </c>
      <c r="G33" s="202"/>
      <c r="H33" s="202"/>
      <c r="I33" s="202"/>
      <c r="J33" s="202"/>
      <c r="K33" s="185" t="s">
        <v>51</v>
      </c>
      <c r="L33" s="200" t="e">
        <f>L20-L30</f>
        <v>#REF!</v>
      </c>
      <c r="M33" s="196"/>
    </row>
    <row r="34" spans="2:13" ht="21" hidden="1" customHeight="1" x14ac:dyDescent="0.25">
      <c r="B34" s="192"/>
      <c r="C34" s="185"/>
      <c r="D34" s="185"/>
      <c r="E34" s="185"/>
      <c r="F34" s="185"/>
      <c r="G34" s="185"/>
      <c r="H34" s="185"/>
      <c r="I34" s="185"/>
      <c r="J34" s="185"/>
      <c r="K34" s="185"/>
      <c r="L34" s="201"/>
      <c r="M34" s="196"/>
    </row>
    <row r="35" spans="2:13" ht="21" hidden="1" customHeight="1" x14ac:dyDescent="0.25">
      <c r="B35" s="192"/>
      <c r="C35" s="185"/>
      <c r="D35" s="185"/>
      <c r="E35" s="185"/>
      <c r="F35" s="185"/>
      <c r="G35" s="185"/>
      <c r="H35" s="185"/>
      <c r="I35" s="185"/>
      <c r="J35" s="185"/>
      <c r="K35" s="185"/>
      <c r="L35" s="201"/>
      <c r="M35" s="196"/>
    </row>
    <row r="36" spans="2:13" ht="21" customHeight="1" x14ac:dyDescent="0.25">
      <c r="B36" s="203"/>
      <c r="C36" s="185"/>
      <c r="D36" s="185"/>
      <c r="E36" s="185"/>
      <c r="F36" s="624" t="s">
        <v>99</v>
      </c>
      <c r="G36" s="624"/>
      <c r="H36" s="624"/>
      <c r="I36" s="624"/>
      <c r="J36" s="624"/>
      <c r="K36" s="185" t="s">
        <v>51</v>
      </c>
      <c r="L36" s="183" t="e">
        <f>'PB '!#REF!</f>
        <v>#REF!</v>
      </c>
      <c r="M36" s="196"/>
    </row>
    <row r="37" spans="2:13" ht="21" hidden="1" customHeight="1" x14ac:dyDescent="0.25">
      <c r="B37" s="203"/>
      <c r="C37" s="185"/>
      <c r="D37" s="185"/>
      <c r="E37" s="185"/>
      <c r="F37" s="185"/>
      <c r="G37" s="185"/>
      <c r="H37" s="185"/>
      <c r="I37" s="185"/>
      <c r="J37" s="185"/>
      <c r="K37" s="185"/>
      <c r="L37" s="197"/>
      <c r="M37" s="196"/>
    </row>
    <row r="38" spans="2:13" ht="21" customHeight="1" x14ac:dyDescent="0.25">
      <c r="B38" s="203"/>
      <c r="C38" s="185"/>
      <c r="D38" s="185"/>
      <c r="E38" s="185"/>
      <c r="F38" s="624" t="s">
        <v>100</v>
      </c>
      <c r="G38" s="624"/>
      <c r="H38" s="624"/>
      <c r="I38" s="624"/>
      <c r="J38" s="624"/>
      <c r="K38" s="185" t="s">
        <v>51</v>
      </c>
      <c r="L38" s="183" t="e">
        <f>L33-L36</f>
        <v>#REF!</v>
      </c>
      <c r="M38" s="196"/>
    </row>
    <row r="39" spans="2:13" x14ac:dyDescent="0.25">
      <c r="B39" s="620"/>
      <c r="C39" s="621"/>
      <c r="D39" s="621"/>
      <c r="E39" s="621"/>
      <c r="F39" s="621"/>
      <c r="G39" s="621"/>
      <c r="H39" s="621"/>
      <c r="I39" s="621"/>
      <c r="J39" s="621"/>
      <c r="K39" s="621"/>
      <c r="L39" s="621"/>
      <c r="M39" s="622"/>
    </row>
    <row r="40" spans="2:13" x14ac:dyDescent="0.25">
      <c r="B40" s="617" t="s">
        <v>101</v>
      </c>
      <c r="C40" s="618"/>
      <c r="D40" s="618"/>
      <c r="E40" s="618"/>
      <c r="F40" s="618"/>
      <c r="G40" s="618"/>
      <c r="H40" s="618"/>
      <c r="I40" s="618"/>
      <c r="J40" s="618"/>
      <c r="K40" s="618"/>
      <c r="L40" s="618"/>
      <c r="M40" s="619"/>
    </row>
    <row r="41" spans="2:13" x14ac:dyDescent="0.25">
      <c r="B41" s="617" t="s">
        <v>102</v>
      </c>
      <c r="C41" s="618"/>
      <c r="D41" s="618"/>
      <c r="E41" s="618"/>
      <c r="F41" s="618"/>
      <c r="G41" s="618"/>
      <c r="H41" s="618"/>
      <c r="I41" s="618"/>
      <c r="J41" s="618"/>
      <c r="K41" s="618"/>
      <c r="L41" s="618"/>
      <c r="M41" s="210"/>
    </row>
    <row r="42" spans="2:13" x14ac:dyDescent="0.25">
      <c r="B42" s="205"/>
      <c r="C42" s="206"/>
      <c r="D42" s="206"/>
      <c r="E42" s="206"/>
      <c r="F42" s="206"/>
      <c r="G42" s="206"/>
      <c r="H42" s="206"/>
      <c r="I42" s="206"/>
      <c r="J42" s="206"/>
      <c r="K42" s="206"/>
      <c r="L42" s="206"/>
      <c r="M42" s="207"/>
    </row>
    <row r="43" spans="2:13" x14ac:dyDescent="0.25">
      <c r="B43" s="620"/>
      <c r="C43" s="621"/>
      <c r="D43" s="621"/>
      <c r="E43" s="621"/>
      <c r="F43" s="621"/>
      <c r="G43" s="621"/>
      <c r="H43" s="621"/>
      <c r="I43" s="621"/>
      <c r="J43" s="621"/>
      <c r="K43" s="621"/>
      <c r="L43" s="621"/>
      <c r="M43" s="622"/>
    </row>
    <row r="44" spans="2:13" x14ac:dyDescent="0.25">
      <c r="B44" s="192"/>
      <c r="C44" s="185"/>
      <c r="D44" s="185"/>
      <c r="E44" s="185"/>
      <c r="F44" s="185"/>
      <c r="G44" s="185"/>
      <c r="H44" s="185"/>
      <c r="I44" s="185"/>
      <c r="J44" s="185"/>
      <c r="K44" s="185"/>
      <c r="L44" s="185"/>
      <c r="M44" s="196"/>
    </row>
    <row r="45" spans="2:13" ht="21.75" customHeight="1" x14ac:dyDescent="0.25">
      <c r="B45" s="192"/>
      <c r="C45" s="185"/>
      <c r="D45" s="185"/>
      <c r="E45" s="185"/>
      <c r="F45" s="185"/>
      <c r="G45" s="185"/>
      <c r="H45" s="185"/>
      <c r="I45" s="185"/>
      <c r="J45" s="185"/>
      <c r="K45" s="185"/>
      <c r="L45" s="185"/>
      <c r="M45" s="196"/>
    </row>
    <row r="46" spans="2:13" x14ac:dyDescent="0.25">
      <c r="B46" s="623"/>
      <c r="C46" s="624"/>
      <c r="D46" s="624"/>
      <c r="E46" s="185"/>
      <c r="F46" s="185"/>
      <c r="G46" s="185"/>
      <c r="H46" s="185"/>
      <c r="I46" s="185"/>
      <c r="J46" s="624"/>
      <c r="K46" s="624"/>
      <c r="L46" s="624"/>
      <c r="M46" s="196"/>
    </row>
    <row r="47" spans="2:13" x14ac:dyDescent="0.25">
      <c r="B47" s="625" t="s">
        <v>87</v>
      </c>
      <c r="C47" s="626"/>
      <c r="D47" s="626"/>
      <c r="E47" s="185"/>
      <c r="F47" s="185"/>
      <c r="G47" s="185"/>
      <c r="H47" s="185"/>
      <c r="I47" s="211" t="s">
        <v>88</v>
      </c>
      <c r="J47" s="211"/>
      <c r="K47" s="211"/>
      <c r="L47" s="189"/>
      <c r="M47" s="196"/>
    </row>
    <row r="48" spans="2:13" x14ac:dyDescent="0.25">
      <c r="B48" s="192" t="s">
        <v>44</v>
      </c>
      <c r="C48" s="185"/>
      <c r="D48" s="185"/>
      <c r="E48" s="185"/>
      <c r="F48" s="185"/>
      <c r="G48" s="185"/>
      <c r="H48" s="185"/>
      <c r="I48" s="185"/>
      <c r="J48" s="626"/>
      <c r="K48" s="626"/>
      <c r="L48" s="626"/>
      <c r="M48" s="196"/>
    </row>
    <row r="49" spans="2:13" ht="15.75" customHeight="1" thickBot="1" x14ac:dyDescent="0.3">
      <c r="B49" s="212" t="s">
        <v>64</v>
      </c>
      <c r="C49" s="215" t="e">
        <f>C6</f>
        <v>#REF!</v>
      </c>
      <c r="D49" s="215"/>
      <c r="E49" s="215"/>
      <c r="F49" s="213"/>
      <c r="G49" s="213"/>
      <c r="H49" s="213" t="s">
        <v>103</v>
      </c>
      <c r="I49" s="219" t="s">
        <v>118</v>
      </c>
      <c r="J49" s="215">
        <f>'PB '!C7</f>
        <v>0</v>
      </c>
      <c r="K49" s="215"/>
      <c r="L49" s="215"/>
      <c r="M49" s="214"/>
    </row>
    <row r="50" spans="2:13" ht="21" customHeight="1" x14ac:dyDescent="0.25"/>
    <row r="51" spans="2:13" ht="20.25" customHeight="1" thickBot="1" x14ac:dyDescent="0.3"/>
    <row r="52" spans="2:13" ht="18" customHeight="1" x14ac:dyDescent="0.25">
      <c r="B52" s="657"/>
      <c r="C52" s="648"/>
      <c r="D52" s="648"/>
      <c r="E52" s="648"/>
      <c r="F52" s="648"/>
      <c r="G52" s="648"/>
      <c r="H52" s="648"/>
      <c r="I52" s="648"/>
      <c r="J52" s="648"/>
      <c r="K52" s="648"/>
      <c r="L52" s="648"/>
      <c r="M52" s="649"/>
    </row>
    <row r="53" spans="2:13" ht="24.75" customHeight="1" x14ac:dyDescent="0.25">
      <c r="B53" s="650" t="s">
        <v>89</v>
      </c>
      <c r="C53" s="651"/>
      <c r="D53" s="651"/>
      <c r="E53" s="651"/>
      <c r="F53" s="651"/>
      <c r="G53" s="651"/>
      <c r="H53" s="651"/>
      <c r="I53" s="651"/>
      <c r="J53" s="651"/>
      <c r="K53" s="651"/>
      <c r="L53" s="651"/>
      <c r="M53" s="652"/>
    </row>
    <row r="54" spans="2:13" ht="23.25" customHeight="1" x14ac:dyDescent="0.25">
      <c r="B54" s="192" t="s">
        <v>63</v>
      </c>
      <c r="C54" s="653" t="str">
        <f>C4</f>
        <v>SOFI 1</v>
      </c>
      <c r="D54" s="653"/>
      <c r="E54" s="653"/>
      <c r="F54" s="185"/>
      <c r="G54" s="186" t="s">
        <v>40</v>
      </c>
      <c r="H54" s="654" t="str">
        <f>H4</f>
        <v>Dubai</v>
      </c>
      <c r="I54" s="654"/>
      <c r="J54" s="191" t="s">
        <v>90</v>
      </c>
      <c r="L54" s="216">
        <f>L4</f>
        <v>44049</v>
      </c>
      <c r="M54" s="218"/>
    </row>
    <row r="55" spans="2:13" ht="12" customHeight="1" x14ac:dyDescent="0.25">
      <c r="B55" s="187"/>
      <c r="C55" s="185"/>
      <c r="D55" s="185"/>
      <c r="E55" s="188"/>
      <c r="F55" s="185"/>
      <c r="G55" s="204"/>
      <c r="H55" s="204"/>
      <c r="I55" s="185"/>
      <c r="J55" s="185"/>
      <c r="K55" s="191"/>
      <c r="L55" s="191"/>
      <c r="M55" s="196"/>
    </row>
    <row r="56" spans="2:13" x14ac:dyDescent="0.25">
      <c r="B56" s="192" t="s">
        <v>64</v>
      </c>
      <c r="C56" s="641" t="e">
        <f>'PB '!#REF!</f>
        <v>#REF!</v>
      </c>
      <c r="D56" s="641"/>
      <c r="E56" s="641"/>
      <c r="F56" s="641"/>
      <c r="G56" s="189" t="s">
        <v>91</v>
      </c>
      <c r="H56" s="655" t="e">
        <f>'PB '!#REF!</f>
        <v>#REF!</v>
      </c>
      <c r="I56" s="653"/>
      <c r="J56" s="656" t="s">
        <v>92</v>
      </c>
      <c r="K56" s="656"/>
      <c r="L56" s="221">
        <v>43855</v>
      </c>
      <c r="M56" s="209"/>
    </row>
    <row r="57" spans="2:13" ht="12" customHeight="1" x14ac:dyDescent="0.25">
      <c r="B57" s="192"/>
      <c r="C57" s="185"/>
      <c r="D57" s="185"/>
      <c r="E57" s="185"/>
      <c r="F57" s="185"/>
      <c r="G57" s="185" t="s">
        <v>65</v>
      </c>
      <c r="H57" s="185"/>
      <c r="I57" s="185"/>
      <c r="J57" s="185"/>
      <c r="K57" s="186"/>
      <c r="L57" s="193"/>
      <c r="M57" s="209"/>
    </row>
    <row r="58" spans="2:13" x14ac:dyDescent="0.25">
      <c r="B58" s="625" t="s">
        <v>93</v>
      </c>
      <c r="C58" s="626"/>
      <c r="D58" s="641" t="s">
        <v>130</v>
      </c>
      <c r="E58" s="641"/>
      <c r="F58" s="641"/>
      <c r="G58" s="186"/>
      <c r="H58" s="186"/>
      <c r="I58" s="185"/>
      <c r="J58" s="626" t="s">
        <v>94</v>
      </c>
      <c r="K58" s="626"/>
      <c r="L58" s="221">
        <f>L8</f>
        <v>44049</v>
      </c>
      <c r="M58" s="196"/>
    </row>
    <row r="59" spans="2:13" ht="12" customHeight="1" x14ac:dyDescent="0.25">
      <c r="B59" s="194"/>
      <c r="C59" s="186"/>
      <c r="D59" s="169"/>
      <c r="E59" s="169"/>
      <c r="F59" s="169"/>
      <c r="G59" s="169"/>
      <c r="H59" s="186"/>
      <c r="I59" s="185"/>
      <c r="J59" s="185"/>
      <c r="K59" s="185"/>
      <c r="L59" s="185"/>
      <c r="M59" s="196"/>
    </row>
    <row r="60" spans="2:13" ht="22.5" customHeight="1" x14ac:dyDescent="0.25">
      <c r="B60" s="625" t="s">
        <v>95</v>
      </c>
      <c r="C60" s="626"/>
      <c r="D60" s="626"/>
      <c r="E60" s="642">
        <f>L58-L56</f>
        <v>194</v>
      </c>
      <c r="F60" s="642"/>
      <c r="G60" s="185" t="s">
        <v>6</v>
      </c>
      <c r="H60" s="643" t="s">
        <v>66</v>
      </c>
      <c r="I60" s="643"/>
      <c r="J60" s="643"/>
      <c r="K60" s="185" t="s">
        <v>51</v>
      </c>
      <c r="L60" s="217" t="e">
        <f>'PB '!#REF!</f>
        <v>#REF!</v>
      </c>
      <c r="M60" s="196"/>
    </row>
    <row r="61" spans="2:13" ht="12" customHeight="1" x14ac:dyDescent="0.25">
      <c r="B61" s="192"/>
      <c r="C61" s="185"/>
      <c r="D61" s="185"/>
      <c r="E61" s="185"/>
      <c r="F61" s="185"/>
      <c r="G61" s="185"/>
      <c r="H61" s="185"/>
      <c r="I61" s="185"/>
      <c r="J61" s="185"/>
      <c r="K61" s="185"/>
      <c r="L61" s="185"/>
      <c r="M61" s="196"/>
    </row>
    <row r="62" spans="2:13" ht="21.75" customHeight="1" x14ac:dyDescent="0.25">
      <c r="B62" s="644" t="s">
        <v>67</v>
      </c>
      <c r="C62" s="645"/>
      <c r="D62" s="645" t="s">
        <v>60</v>
      </c>
      <c r="E62" s="645"/>
      <c r="F62" s="646" t="s">
        <v>61</v>
      </c>
      <c r="G62" s="646"/>
      <c r="H62" s="208" t="s">
        <v>68</v>
      </c>
      <c r="I62" s="208" t="s">
        <v>69</v>
      </c>
      <c r="J62" s="168" t="s">
        <v>51</v>
      </c>
      <c r="K62" s="169"/>
      <c r="L62" s="169"/>
      <c r="M62" s="195"/>
    </row>
    <row r="63" spans="2:13" ht="16.5" customHeight="1" x14ac:dyDescent="0.25">
      <c r="B63" s="635" t="s">
        <v>70</v>
      </c>
      <c r="C63" s="636"/>
      <c r="D63" s="170">
        <v>1</v>
      </c>
      <c r="E63" s="171">
        <f>'PB '!B1</f>
        <v>0</v>
      </c>
      <c r="F63" s="172" t="e">
        <f>'PB '!#REF!</f>
        <v>#REF!</v>
      </c>
      <c r="G63" s="171">
        <f>'PB '!B1</f>
        <v>0</v>
      </c>
      <c r="H63" s="173" t="e">
        <f>'PB '!#REF!</f>
        <v>#REF!</v>
      </c>
      <c r="I63" s="174" t="e">
        <f>'PB '!#REF!</f>
        <v>#REF!</v>
      </c>
      <c r="J63" s="175" t="e">
        <f>I63*H63/30</f>
        <v>#REF!</v>
      </c>
      <c r="K63" s="185"/>
      <c r="L63" s="185"/>
      <c r="M63" s="196"/>
    </row>
    <row r="64" spans="2:13" ht="16.5" customHeight="1" x14ac:dyDescent="0.25">
      <c r="B64" s="627" t="s">
        <v>71</v>
      </c>
      <c r="C64" s="628"/>
      <c r="D64" s="176">
        <v>1</v>
      </c>
      <c r="E64" s="177">
        <f>'PB '!B1</f>
        <v>0</v>
      </c>
      <c r="F64" s="172" t="e">
        <f>'PB '!#REF!</f>
        <v>#REF!</v>
      </c>
      <c r="G64" s="177">
        <f>'PB '!B1</f>
        <v>0</v>
      </c>
      <c r="H64" s="178" t="e">
        <f>H63</f>
        <v>#REF!</v>
      </c>
      <c r="I64" s="174" t="e">
        <f>'PB '!#REF!</f>
        <v>#REF!</v>
      </c>
      <c r="J64" s="175" t="e">
        <f>I64*H64/30</f>
        <v>#REF!</v>
      </c>
      <c r="K64" s="185"/>
      <c r="L64" s="185"/>
      <c r="M64" s="196"/>
    </row>
    <row r="65" spans="2:13" ht="16.5" customHeight="1" x14ac:dyDescent="0.25">
      <c r="B65" s="629" t="s">
        <v>72</v>
      </c>
      <c r="C65" s="631"/>
      <c r="D65" s="176">
        <v>1</v>
      </c>
      <c r="E65" s="177">
        <f>'PB '!B1</f>
        <v>0</v>
      </c>
      <c r="F65" s="172" t="e">
        <f>'PB '!#REF!</f>
        <v>#REF!</v>
      </c>
      <c r="G65" s="177">
        <f>'PB '!B1</f>
        <v>0</v>
      </c>
      <c r="H65" s="178" t="e">
        <f>H64</f>
        <v>#REF!</v>
      </c>
      <c r="I65" s="174" t="e">
        <f>'PB '!#REF!</f>
        <v>#REF!</v>
      </c>
      <c r="J65" s="175" t="e">
        <f>I65*H65/30</f>
        <v>#REF!</v>
      </c>
      <c r="K65" s="185"/>
      <c r="L65" s="185"/>
      <c r="M65" s="196"/>
    </row>
    <row r="66" spans="2:13" ht="16.5" customHeight="1" x14ac:dyDescent="0.25">
      <c r="B66" s="629" t="s">
        <v>96</v>
      </c>
      <c r="C66" s="631"/>
      <c r="D66" s="176">
        <v>1</v>
      </c>
      <c r="E66" s="177">
        <f>'PB '!B1</f>
        <v>0</v>
      </c>
      <c r="F66" s="172" t="e">
        <f>'PB '!#REF!</f>
        <v>#REF!</v>
      </c>
      <c r="G66" s="177">
        <f>'PB '!B1</f>
        <v>0</v>
      </c>
      <c r="H66" s="178" t="e">
        <f>H65</f>
        <v>#REF!</v>
      </c>
      <c r="I66" s="174" t="e">
        <f>'PB '!#REF!</f>
        <v>#REF!</v>
      </c>
      <c r="J66" s="175" t="e">
        <f>I66*H66/30</f>
        <v>#REF!</v>
      </c>
      <c r="K66" s="185"/>
      <c r="L66" s="185"/>
      <c r="M66" s="196"/>
    </row>
    <row r="67" spans="2:13" ht="16.5" customHeight="1" x14ac:dyDescent="0.25">
      <c r="B67" s="637" t="s">
        <v>74</v>
      </c>
      <c r="C67" s="638"/>
      <c r="D67" s="180"/>
      <c r="E67" s="177"/>
      <c r="F67" s="180"/>
      <c r="G67" s="177"/>
      <c r="H67" s="181"/>
      <c r="I67" s="174" t="e">
        <f>'PB '!#REF!</f>
        <v>#REF!</v>
      </c>
      <c r="J67" s="175" t="e">
        <f>I67</f>
        <v>#REF!</v>
      </c>
      <c r="K67" s="185"/>
      <c r="L67" s="185"/>
      <c r="M67" s="196"/>
    </row>
    <row r="68" spans="2:13" ht="16.5" customHeight="1" x14ac:dyDescent="0.25">
      <c r="B68" s="627"/>
      <c r="C68" s="628"/>
      <c r="D68" s="180"/>
      <c r="E68" s="177"/>
      <c r="F68" s="180"/>
      <c r="G68" s="177"/>
      <c r="H68" s="181"/>
      <c r="I68" s="174" t="e">
        <f>'PB '!#REF!</f>
        <v>#REF!</v>
      </c>
      <c r="J68" s="175" t="e">
        <f>I68</f>
        <v>#REF!</v>
      </c>
      <c r="K68" s="185"/>
      <c r="L68" s="185"/>
      <c r="M68" s="196"/>
    </row>
    <row r="69" spans="2:13" ht="16.5" customHeight="1" x14ac:dyDescent="0.25">
      <c r="B69" s="192"/>
      <c r="C69" s="185"/>
      <c r="D69" s="185"/>
      <c r="E69" s="185"/>
      <c r="F69" s="639" t="s">
        <v>76</v>
      </c>
      <c r="G69" s="639"/>
      <c r="H69" s="639"/>
      <c r="I69" s="640"/>
      <c r="J69" s="182" t="e">
        <f>SUM(J63:J68)</f>
        <v>#REF!</v>
      </c>
      <c r="K69" s="193" t="s">
        <v>51</v>
      </c>
      <c r="L69" s="183" t="e">
        <f>J69</f>
        <v>#REF!</v>
      </c>
      <c r="M69" s="196"/>
    </row>
    <row r="70" spans="2:13" ht="16.5" customHeight="1" thickBot="1" x14ac:dyDescent="0.3">
      <c r="B70" s="192"/>
      <c r="C70" s="185"/>
      <c r="D70" s="185"/>
      <c r="E70" s="185"/>
      <c r="F70" s="185"/>
      <c r="G70" s="185"/>
      <c r="H70" s="185"/>
      <c r="I70" s="185"/>
      <c r="J70" s="185"/>
      <c r="K70" s="185"/>
      <c r="L70" s="184" t="e">
        <f>L60+L69</f>
        <v>#REF!</v>
      </c>
      <c r="M70" s="196"/>
    </row>
    <row r="71" spans="2:13" x14ac:dyDescent="0.25">
      <c r="B71" s="192"/>
      <c r="C71" s="185"/>
      <c r="D71" s="185"/>
      <c r="E71" s="185"/>
      <c r="F71" s="185"/>
      <c r="G71" s="185"/>
      <c r="H71" s="185"/>
      <c r="I71" s="185"/>
      <c r="J71" s="185"/>
      <c r="K71" s="185"/>
      <c r="L71" s="197"/>
      <c r="M71" s="196"/>
    </row>
    <row r="72" spans="2:13" x14ac:dyDescent="0.25">
      <c r="B72" s="192"/>
      <c r="C72" s="185"/>
      <c r="D72" s="185"/>
      <c r="E72" s="185"/>
      <c r="F72" s="185"/>
      <c r="G72" s="185"/>
      <c r="H72" s="185"/>
      <c r="I72" s="185"/>
      <c r="J72" s="185"/>
      <c r="K72" s="185"/>
      <c r="L72" s="197"/>
      <c r="M72" s="196"/>
    </row>
    <row r="73" spans="2:13" ht="16.5" customHeight="1" x14ac:dyDescent="0.25">
      <c r="B73" s="627" t="s">
        <v>77</v>
      </c>
      <c r="C73" s="628"/>
      <c r="D73" s="628"/>
      <c r="E73" s="628"/>
      <c r="F73" s="628"/>
      <c r="G73" s="628"/>
      <c r="H73" s="628"/>
      <c r="I73" s="628"/>
      <c r="J73" s="198"/>
      <c r="K73" s="185"/>
      <c r="L73" s="197"/>
      <c r="M73" s="196"/>
    </row>
    <row r="74" spans="2:13" ht="16.5" customHeight="1" x14ac:dyDescent="0.25">
      <c r="B74" s="627" t="s">
        <v>78</v>
      </c>
      <c r="C74" s="628"/>
      <c r="D74" s="628"/>
      <c r="E74" s="628"/>
      <c r="F74" s="628"/>
      <c r="G74" s="628"/>
      <c r="H74" s="628"/>
      <c r="I74" s="628"/>
      <c r="J74" s="179" t="e">
        <f>'PB '!#REF!</f>
        <v>#REF!</v>
      </c>
      <c r="K74" s="185"/>
      <c r="L74" s="197"/>
      <c r="M74" s="196"/>
    </row>
    <row r="75" spans="2:13" ht="16.5" customHeight="1" x14ac:dyDescent="0.25">
      <c r="B75" s="627" t="s">
        <v>79</v>
      </c>
      <c r="C75" s="628"/>
      <c r="D75" s="628"/>
      <c r="E75" s="628"/>
      <c r="F75" s="628"/>
      <c r="G75" s="628"/>
      <c r="H75" s="628"/>
      <c r="I75" s="628"/>
      <c r="J75" s="179" t="e">
        <f>'PB '!#REF!</f>
        <v>#REF!</v>
      </c>
      <c r="K75" s="185"/>
      <c r="L75" s="197"/>
      <c r="M75" s="196"/>
    </row>
    <row r="76" spans="2:13" ht="16.5" customHeight="1" x14ac:dyDescent="0.25">
      <c r="B76" s="627" t="s">
        <v>80</v>
      </c>
      <c r="C76" s="628"/>
      <c r="D76" s="628"/>
      <c r="E76" s="628"/>
      <c r="F76" s="628"/>
      <c r="G76" s="628"/>
      <c r="H76" s="628"/>
      <c r="I76" s="628"/>
      <c r="J76" s="179" t="e">
        <f>'PB '!#REF!</f>
        <v>#REF!</v>
      </c>
      <c r="K76" s="185"/>
      <c r="L76" s="197"/>
      <c r="M76" s="196"/>
    </row>
    <row r="77" spans="2:13" ht="16.5" customHeight="1" x14ac:dyDescent="0.25">
      <c r="B77" s="627" t="s">
        <v>81</v>
      </c>
      <c r="C77" s="628"/>
      <c r="D77" s="628"/>
      <c r="E77" s="628"/>
      <c r="F77" s="628"/>
      <c r="G77" s="628"/>
      <c r="H77" s="628"/>
      <c r="I77" s="628"/>
      <c r="J77" s="179" t="e">
        <f>'PB '!#REF!</f>
        <v>#REF!</v>
      </c>
      <c r="K77" s="185"/>
      <c r="L77" s="197"/>
      <c r="M77" s="196"/>
    </row>
    <row r="78" spans="2:13" ht="16.5" customHeight="1" x14ac:dyDescent="0.25">
      <c r="B78" s="629" t="s">
        <v>97</v>
      </c>
      <c r="C78" s="630"/>
      <c r="D78" s="630"/>
      <c r="E78" s="630"/>
      <c r="F78" s="630"/>
      <c r="G78" s="630"/>
      <c r="H78" s="630"/>
      <c r="I78" s="631"/>
      <c r="J78" s="179" t="e">
        <f>'PB '!#REF!</f>
        <v>#REF!</v>
      </c>
      <c r="K78" s="185"/>
      <c r="L78" s="197"/>
      <c r="M78" s="196"/>
    </row>
    <row r="79" spans="2:13" ht="16.5" customHeight="1" thickBot="1" x14ac:dyDescent="0.3">
      <c r="B79" s="627"/>
      <c r="C79" s="628"/>
      <c r="D79" s="628"/>
      <c r="E79" s="628"/>
      <c r="F79" s="628"/>
      <c r="G79" s="628"/>
      <c r="H79" s="628"/>
      <c r="I79" s="628"/>
      <c r="J79" s="179"/>
      <c r="K79" s="185"/>
      <c r="L79" s="197"/>
      <c r="M79" s="196"/>
    </row>
    <row r="80" spans="2:13" ht="16.5" customHeight="1" thickBot="1" x14ac:dyDescent="0.3">
      <c r="B80" s="192"/>
      <c r="C80" s="185"/>
      <c r="D80" s="185"/>
      <c r="E80" s="185"/>
      <c r="F80" s="632" t="s">
        <v>83</v>
      </c>
      <c r="G80" s="633"/>
      <c r="H80" s="633"/>
      <c r="I80" s="634"/>
      <c r="J80" s="179" t="e">
        <f>SUM(J74:J78)</f>
        <v>#REF!</v>
      </c>
      <c r="K80" s="185" t="s">
        <v>51</v>
      </c>
      <c r="L80" s="199" t="e">
        <f>J80</f>
        <v>#REF!</v>
      </c>
      <c r="M80" s="196"/>
    </row>
    <row r="81" spans="2:13" x14ac:dyDescent="0.25">
      <c r="B81" s="192"/>
      <c r="C81" s="185"/>
      <c r="D81" s="185"/>
      <c r="E81" s="185"/>
      <c r="F81" s="185"/>
      <c r="G81" s="185"/>
      <c r="H81" s="185"/>
      <c r="I81" s="185"/>
      <c r="J81" s="185"/>
      <c r="K81" s="185"/>
      <c r="L81" s="197"/>
      <c r="M81" s="196"/>
    </row>
    <row r="82" spans="2:13" x14ac:dyDescent="0.25">
      <c r="B82" s="192"/>
      <c r="C82" s="185"/>
      <c r="D82" s="185"/>
      <c r="E82" s="185"/>
      <c r="F82" s="185"/>
      <c r="G82" s="185"/>
      <c r="H82" s="185"/>
      <c r="I82" s="185"/>
      <c r="J82" s="185"/>
      <c r="K82" s="185"/>
      <c r="L82" s="197"/>
      <c r="M82" s="196"/>
    </row>
    <row r="83" spans="2:13" ht="15" customHeight="1" thickBot="1" x14ac:dyDescent="0.3">
      <c r="B83" s="192"/>
      <c r="C83" s="185"/>
      <c r="D83" s="185"/>
      <c r="E83" s="185"/>
      <c r="F83" s="202" t="s">
        <v>98</v>
      </c>
      <c r="G83" s="202"/>
      <c r="H83" s="202"/>
      <c r="I83" s="202"/>
      <c r="J83" s="202"/>
      <c r="K83" s="185" t="s">
        <v>51</v>
      </c>
      <c r="L83" s="200" t="e">
        <f>L70-L80</f>
        <v>#REF!</v>
      </c>
      <c r="M83" s="196"/>
    </row>
    <row r="84" spans="2:13" ht="5.25" hidden="1" customHeight="1" x14ac:dyDescent="0.25">
      <c r="B84" s="192"/>
      <c r="C84" s="185"/>
      <c r="D84" s="185"/>
      <c r="E84" s="185"/>
      <c r="F84" s="185"/>
      <c r="G84" s="185"/>
      <c r="H84" s="185"/>
      <c r="I84" s="185"/>
      <c r="J84" s="185"/>
      <c r="K84" s="185"/>
      <c r="L84" s="201"/>
      <c r="M84" s="196"/>
    </row>
    <row r="85" spans="2:13" ht="0.75" customHeight="1" x14ac:dyDescent="0.25">
      <c r="B85" s="192"/>
      <c r="C85" s="185"/>
      <c r="D85" s="185"/>
      <c r="E85" s="185"/>
      <c r="F85" s="185"/>
      <c r="G85" s="185"/>
      <c r="H85" s="185"/>
      <c r="I85" s="185"/>
      <c r="J85" s="185"/>
      <c r="K85" s="185"/>
      <c r="L85" s="201"/>
      <c r="M85" s="196"/>
    </row>
    <row r="86" spans="2:13" ht="21" customHeight="1" x14ac:dyDescent="0.25">
      <c r="B86" s="203"/>
      <c r="C86" s="185"/>
      <c r="D86" s="185"/>
      <c r="E86" s="185"/>
      <c r="F86" s="624" t="s">
        <v>99</v>
      </c>
      <c r="G86" s="624"/>
      <c r="H86" s="624"/>
      <c r="I86" s="624"/>
      <c r="J86" s="624"/>
      <c r="K86" s="185" t="s">
        <v>51</v>
      </c>
      <c r="L86" s="183" t="e">
        <f>'PB '!#REF!</f>
        <v>#REF!</v>
      </c>
      <c r="M86" s="196"/>
    </row>
    <row r="87" spans="2:13" ht="15.75" hidden="1" customHeight="1" x14ac:dyDescent="0.25">
      <c r="B87" s="203"/>
      <c r="C87" s="185"/>
      <c r="D87" s="185"/>
      <c r="E87" s="185"/>
      <c r="F87" s="185"/>
      <c r="G87" s="185"/>
      <c r="H87" s="185"/>
      <c r="I87" s="185"/>
      <c r="J87" s="185"/>
      <c r="K87" s="185"/>
      <c r="L87" s="197"/>
      <c r="M87" s="196"/>
    </row>
    <row r="88" spans="2:13" ht="21.75" customHeight="1" x14ac:dyDescent="0.25">
      <c r="B88" s="203"/>
      <c r="C88" s="185"/>
      <c r="D88" s="185"/>
      <c r="E88" s="185"/>
      <c r="F88" s="624" t="s">
        <v>100</v>
      </c>
      <c r="G88" s="624"/>
      <c r="H88" s="624"/>
      <c r="I88" s="624"/>
      <c r="J88" s="624"/>
      <c r="K88" s="185" t="s">
        <v>51</v>
      </c>
      <c r="L88" s="183" t="e">
        <f>L83-L86</f>
        <v>#REF!</v>
      </c>
      <c r="M88" s="196"/>
    </row>
    <row r="89" spans="2:13" x14ac:dyDescent="0.25">
      <c r="B89" s="620"/>
      <c r="C89" s="621"/>
      <c r="D89" s="621"/>
      <c r="E89" s="621"/>
      <c r="F89" s="621"/>
      <c r="G89" s="621"/>
      <c r="H89" s="621"/>
      <c r="I89" s="621"/>
      <c r="J89" s="621"/>
      <c r="K89" s="621"/>
      <c r="L89" s="621"/>
      <c r="M89" s="622"/>
    </row>
    <row r="90" spans="2:13" x14ac:dyDescent="0.25">
      <c r="B90" s="617" t="s">
        <v>101</v>
      </c>
      <c r="C90" s="618"/>
      <c r="D90" s="618"/>
      <c r="E90" s="618"/>
      <c r="F90" s="618"/>
      <c r="G90" s="618"/>
      <c r="H90" s="618"/>
      <c r="I90" s="618"/>
      <c r="J90" s="618"/>
      <c r="K90" s="618"/>
      <c r="L90" s="618"/>
      <c r="M90" s="619"/>
    </row>
    <row r="91" spans="2:13" x14ac:dyDescent="0.25">
      <c r="B91" s="617" t="s">
        <v>102</v>
      </c>
      <c r="C91" s="618"/>
      <c r="D91" s="618"/>
      <c r="E91" s="618"/>
      <c r="F91" s="618"/>
      <c r="G91" s="618"/>
      <c r="H91" s="618"/>
      <c r="I91" s="618"/>
      <c r="J91" s="618"/>
      <c r="K91" s="618"/>
      <c r="L91" s="618"/>
      <c r="M91" s="210"/>
    </row>
    <row r="92" spans="2:13" ht="15" customHeight="1" x14ac:dyDescent="0.25">
      <c r="B92" s="205"/>
      <c r="C92" s="206"/>
      <c r="D92" s="206"/>
      <c r="E92" s="206"/>
      <c r="F92" s="206"/>
      <c r="G92" s="206"/>
      <c r="H92" s="206"/>
      <c r="I92" s="206"/>
      <c r="J92" s="206"/>
      <c r="K92" s="206"/>
      <c r="L92" s="206"/>
      <c r="M92" s="207"/>
    </row>
    <row r="93" spans="2:13" ht="15" customHeight="1" x14ac:dyDescent="0.25">
      <c r="B93" s="620"/>
      <c r="C93" s="621"/>
      <c r="D93" s="621"/>
      <c r="E93" s="621"/>
      <c r="F93" s="621"/>
      <c r="G93" s="621"/>
      <c r="H93" s="621"/>
      <c r="I93" s="621"/>
      <c r="J93" s="621"/>
      <c r="K93" s="621"/>
      <c r="L93" s="621"/>
      <c r="M93" s="622"/>
    </row>
    <row r="94" spans="2:13" ht="15" customHeight="1" x14ac:dyDescent="0.25">
      <c r="B94" s="192"/>
      <c r="C94" s="185"/>
      <c r="D94" s="185"/>
      <c r="E94" s="185"/>
      <c r="F94" s="185"/>
      <c r="G94" s="185"/>
      <c r="H94" s="185"/>
      <c r="I94" s="185"/>
      <c r="J94" s="185"/>
      <c r="K94" s="185"/>
      <c r="L94" s="185"/>
      <c r="M94" s="196"/>
    </row>
    <row r="95" spans="2:13" ht="12" customHeight="1" x14ac:dyDescent="0.25">
      <c r="B95" s="192"/>
      <c r="C95" s="185"/>
      <c r="D95" s="185"/>
      <c r="E95" s="185"/>
      <c r="F95" s="185"/>
      <c r="G95" s="185"/>
      <c r="H95" s="185"/>
      <c r="I95" s="185"/>
      <c r="J95" s="185"/>
      <c r="K95" s="185"/>
      <c r="L95" s="185"/>
      <c r="M95" s="196"/>
    </row>
    <row r="96" spans="2:13" ht="15" customHeight="1" x14ac:dyDescent="0.25">
      <c r="B96" s="623"/>
      <c r="C96" s="624"/>
      <c r="D96" s="624"/>
      <c r="E96" s="185"/>
      <c r="F96" s="185"/>
      <c r="G96" s="185"/>
      <c r="H96" s="185"/>
      <c r="I96" s="185"/>
      <c r="J96" s="624"/>
      <c r="K96" s="624"/>
      <c r="L96" s="624"/>
      <c r="M96" s="196"/>
    </row>
    <row r="97" spans="2:13" x14ac:dyDescent="0.25">
      <c r="B97" s="625" t="s">
        <v>87</v>
      </c>
      <c r="C97" s="626"/>
      <c r="D97" s="626"/>
      <c r="E97" s="185"/>
      <c r="F97" s="185"/>
      <c r="G97" s="185"/>
      <c r="H97" s="185"/>
      <c r="I97" s="211" t="s">
        <v>88</v>
      </c>
      <c r="J97" s="211"/>
      <c r="K97" s="211"/>
      <c r="L97" s="189"/>
      <c r="M97" s="196"/>
    </row>
    <row r="98" spans="2:13" x14ac:dyDescent="0.25">
      <c r="B98" s="192" t="s">
        <v>44</v>
      </c>
      <c r="C98" s="185"/>
      <c r="D98" s="185"/>
      <c r="E98" s="185"/>
      <c r="F98" s="185"/>
      <c r="G98" s="185"/>
      <c r="H98" s="185"/>
      <c r="I98" s="185"/>
      <c r="J98" s="626"/>
      <c r="K98" s="626"/>
      <c r="L98" s="626"/>
      <c r="M98" s="196"/>
    </row>
    <row r="99" spans="2:13" ht="15.75" thickBot="1" x14ac:dyDescent="0.3">
      <c r="B99" s="212" t="s">
        <v>64</v>
      </c>
      <c r="C99" s="215" t="e">
        <f>C56</f>
        <v>#REF!</v>
      </c>
      <c r="D99" s="215"/>
      <c r="E99" s="215"/>
      <c r="F99" s="213"/>
      <c r="G99" s="213"/>
      <c r="H99" s="213" t="s">
        <v>103</v>
      </c>
      <c r="I99" s="219" t="s">
        <v>118</v>
      </c>
      <c r="J99" s="215">
        <f>'PB '!C7</f>
        <v>0</v>
      </c>
      <c r="K99" s="215"/>
      <c r="L99" s="215"/>
      <c r="M99" s="214"/>
    </row>
    <row r="100" spans="2:13" ht="17.25" customHeight="1" x14ac:dyDescent="0.25"/>
    <row r="101" spans="2:13" ht="15" customHeight="1" thickBot="1" x14ac:dyDescent="0.3"/>
    <row r="102" spans="2:13" ht="18" customHeight="1" x14ac:dyDescent="0.25">
      <c r="B102" s="647">
        <f>B52</f>
        <v>0</v>
      </c>
      <c r="C102" s="648"/>
      <c r="D102" s="648"/>
      <c r="E102" s="648"/>
      <c r="F102" s="648"/>
      <c r="G102" s="648"/>
      <c r="H102" s="648"/>
      <c r="I102" s="648"/>
      <c r="J102" s="648"/>
      <c r="K102" s="648"/>
      <c r="L102" s="648"/>
      <c r="M102" s="649"/>
    </row>
    <row r="103" spans="2:13" ht="24.75" customHeight="1" x14ac:dyDescent="0.25">
      <c r="B103" s="650" t="s">
        <v>89</v>
      </c>
      <c r="C103" s="651"/>
      <c r="D103" s="651"/>
      <c r="E103" s="651"/>
      <c r="F103" s="651"/>
      <c r="G103" s="651"/>
      <c r="H103" s="651"/>
      <c r="I103" s="651"/>
      <c r="J103" s="651"/>
      <c r="K103" s="651"/>
      <c r="L103" s="651"/>
      <c r="M103" s="652"/>
    </row>
    <row r="104" spans="2:13" x14ac:dyDescent="0.25">
      <c r="B104" s="192" t="s">
        <v>63</v>
      </c>
      <c r="C104" s="653" t="str">
        <f>C54</f>
        <v>SOFI 1</v>
      </c>
      <c r="D104" s="653"/>
      <c r="E104" s="653"/>
      <c r="F104" s="185"/>
      <c r="G104" s="186" t="s">
        <v>40</v>
      </c>
      <c r="H104" s="654" t="str">
        <f>H54</f>
        <v>Dubai</v>
      </c>
      <c r="I104" s="654"/>
      <c r="J104" s="191" t="s">
        <v>90</v>
      </c>
      <c r="L104" s="216">
        <f>L54</f>
        <v>44049</v>
      </c>
      <c r="M104" s="218"/>
    </row>
    <row r="105" spans="2:13" ht="12" customHeight="1" x14ac:dyDescent="0.25">
      <c r="B105" s="187"/>
      <c r="C105" s="185"/>
      <c r="D105" s="185"/>
      <c r="E105" s="188"/>
      <c r="F105" s="185"/>
      <c r="G105" s="204"/>
      <c r="H105" s="204"/>
      <c r="I105" s="185"/>
      <c r="J105" s="185"/>
      <c r="K105" s="191"/>
      <c r="L105" s="191"/>
      <c r="M105" s="196"/>
    </row>
    <row r="106" spans="2:13" x14ac:dyDescent="0.25">
      <c r="B106" s="192" t="s">
        <v>64</v>
      </c>
      <c r="C106" s="641" t="e">
        <f>'PB '!#REF!</f>
        <v>#REF!</v>
      </c>
      <c r="D106" s="641"/>
      <c r="E106" s="641"/>
      <c r="F106" s="641"/>
      <c r="G106" s="189" t="s">
        <v>91</v>
      </c>
      <c r="H106" s="655" t="e">
        <f>'PB '!#REF!</f>
        <v>#REF!</v>
      </c>
      <c r="I106" s="653"/>
      <c r="J106" s="656" t="s">
        <v>92</v>
      </c>
      <c r="K106" s="656"/>
      <c r="L106" s="190">
        <v>43859</v>
      </c>
      <c r="M106" s="209"/>
    </row>
    <row r="107" spans="2:13" ht="12" customHeight="1" x14ac:dyDescent="0.25">
      <c r="B107" s="192"/>
      <c r="C107" s="185"/>
      <c r="D107" s="185"/>
      <c r="E107" s="185"/>
      <c r="F107" s="185"/>
      <c r="G107" s="185" t="s">
        <v>65</v>
      </c>
      <c r="H107" s="185"/>
      <c r="I107" s="185"/>
      <c r="J107" s="185"/>
      <c r="K107" s="186"/>
      <c r="L107" s="193"/>
      <c r="M107" s="209"/>
    </row>
    <row r="108" spans="2:13" x14ac:dyDescent="0.25">
      <c r="B108" s="625" t="s">
        <v>93</v>
      </c>
      <c r="C108" s="626"/>
      <c r="D108" s="641" t="s">
        <v>130</v>
      </c>
      <c r="E108" s="641"/>
      <c r="F108" s="641"/>
      <c r="G108" s="186"/>
      <c r="H108" s="186"/>
      <c r="I108" s="185"/>
      <c r="J108" s="626" t="s">
        <v>94</v>
      </c>
      <c r="K108" s="626"/>
      <c r="L108" s="190">
        <f>L58</f>
        <v>44049</v>
      </c>
      <c r="M108" s="196"/>
    </row>
    <row r="109" spans="2:13" ht="12" customHeight="1" x14ac:dyDescent="0.25">
      <c r="B109" s="194"/>
      <c r="C109" s="186"/>
      <c r="D109" s="169"/>
      <c r="E109" s="169"/>
      <c r="F109" s="169"/>
      <c r="G109" s="169"/>
      <c r="H109" s="186"/>
      <c r="I109" s="185"/>
      <c r="J109" s="185"/>
      <c r="K109" s="185"/>
      <c r="L109" s="185"/>
      <c r="M109" s="196"/>
    </row>
    <row r="110" spans="2:13" ht="22.5" customHeight="1" x14ac:dyDescent="0.25">
      <c r="B110" s="625" t="s">
        <v>95</v>
      </c>
      <c r="C110" s="626"/>
      <c r="D110" s="626"/>
      <c r="E110" s="642">
        <f>L108-L106</f>
        <v>190</v>
      </c>
      <c r="F110" s="642"/>
      <c r="G110" s="185"/>
      <c r="H110" s="643" t="s">
        <v>66</v>
      </c>
      <c r="I110" s="643"/>
      <c r="J110" s="643"/>
      <c r="K110" s="185" t="s">
        <v>51</v>
      </c>
      <c r="L110" s="217" t="e">
        <f>'PB '!#REF!</f>
        <v>#REF!</v>
      </c>
      <c r="M110" s="196"/>
    </row>
    <row r="111" spans="2:13" ht="12" customHeight="1" x14ac:dyDescent="0.25">
      <c r="B111" s="192"/>
      <c r="C111" s="185"/>
      <c r="D111" s="185"/>
      <c r="E111" s="185"/>
      <c r="F111" s="185"/>
      <c r="G111" s="185"/>
      <c r="H111" s="185"/>
      <c r="I111" s="185"/>
      <c r="J111" s="185"/>
      <c r="K111" s="185"/>
      <c r="L111" s="185"/>
      <c r="M111" s="196"/>
    </row>
    <row r="112" spans="2:13" ht="22.5" x14ac:dyDescent="0.25">
      <c r="B112" s="644" t="s">
        <v>67</v>
      </c>
      <c r="C112" s="645"/>
      <c r="D112" s="645" t="s">
        <v>60</v>
      </c>
      <c r="E112" s="645"/>
      <c r="F112" s="646" t="s">
        <v>61</v>
      </c>
      <c r="G112" s="646"/>
      <c r="H112" s="208" t="s">
        <v>68</v>
      </c>
      <c r="I112" s="208" t="s">
        <v>69</v>
      </c>
      <c r="J112" s="168" t="s">
        <v>51</v>
      </c>
      <c r="K112" s="169"/>
      <c r="L112" s="169"/>
      <c r="M112" s="195"/>
    </row>
    <row r="113" spans="2:13" x14ac:dyDescent="0.25">
      <c r="B113" s="635" t="s">
        <v>70</v>
      </c>
      <c r="C113" s="636"/>
      <c r="D113" s="170">
        <v>1</v>
      </c>
      <c r="E113" s="171">
        <f>'PB '!B1</f>
        <v>0</v>
      </c>
      <c r="F113" s="172" t="e">
        <f>'PB '!#REF!</f>
        <v>#REF!</v>
      </c>
      <c r="G113" s="171">
        <f>'PB '!B1</f>
        <v>0</v>
      </c>
      <c r="H113" s="173" t="e">
        <f>'PB '!#REF!</f>
        <v>#REF!</v>
      </c>
      <c r="I113" s="174" t="e">
        <f>'PB '!#REF!</f>
        <v>#REF!</v>
      </c>
      <c r="J113" s="175" t="e">
        <f>I113*H113/30</f>
        <v>#REF!</v>
      </c>
      <c r="K113" s="185"/>
      <c r="L113" s="185"/>
      <c r="M113" s="196"/>
    </row>
    <row r="114" spans="2:13" x14ac:dyDescent="0.25">
      <c r="B114" s="627" t="s">
        <v>71</v>
      </c>
      <c r="C114" s="628"/>
      <c r="D114" s="176">
        <v>1</v>
      </c>
      <c r="E114" s="177">
        <f>'PB '!B1</f>
        <v>0</v>
      </c>
      <c r="F114" s="172" t="e">
        <f>'PB '!#REF!</f>
        <v>#REF!</v>
      </c>
      <c r="G114" s="177">
        <f>'PB '!B1</f>
        <v>0</v>
      </c>
      <c r="H114" s="178" t="e">
        <f>H113</f>
        <v>#REF!</v>
      </c>
      <c r="I114" s="174" t="e">
        <f>'PB '!#REF!</f>
        <v>#REF!</v>
      </c>
      <c r="J114" s="175" t="e">
        <f>I114*H114/30</f>
        <v>#REF!</v>
      </c>
      <c r="K114" s="185"/>
      <c r="L114" s="185"/>
      <c r="M114" s="196"/>
    </row>
    <row r="115" spans="2:13" x14ac:dyDescent="0.25">
      <c r="B115" s="629" t="s">
        <v>72</v>
      </c>
      <c r="C115" s="631"/>
      <c r="D115" s="176">
        <v>1</v>
      </c>
      <c r="E115" s="177">
        <f>'PB '!B1</f>
        <v>0</v>
      </c>
      <c r="F115" s="172" t="e">
        <f>'PB '!#REF!</f>
        <v>#REF!</v>
      </c>
      <c r="G115" s="177">
        <f>'PB '!B1</f>
        <v>0</v>
      </c>
      <c r="H115" s="178" t="e">
        <f>H114</f>
        <v>#REF!</v>
      </c>
      <c r="I115" s="174" t="e">
        <f>'PB '!#REF!</f>
        <v>#REF!</v>
      </c>
      <c r="J115" s="175" t="e">
        <f>I115*H115/30</f>
        <v>#REF!</v>
      </c>
      <c r="K115" s="185"/>
      <c r="L115" s="185"/>
      <c r="M115" s="196"/>
    </row>
    <row r="116" spans="2:13" x14ac:dyDescent="0.25">
      <c r="B116" s="629" t="s">
        <v>96</v>
      </c>
      <c r="C116" s="631"/>
      <c r="D116" s="176">
        <v>1</v>
      </c>
      <c r="E116" s="177">
        <f>'PB '!B1</f>
        <v>0</v>
      </c>
      <c r="F116" s="172" t="e">
        <f>'PB '!#REF!</f>
        <v>#REF!</v>
      </c>
      <c r="G116" s="177">
        <f>'PB '!B1</f>
        <v>0</v>
      </c>
      <c r="H116" s="178" t="e">
        <f>H115</f>
        <v>#REF!</v>
      </c>
      <c r="I116" s="174" t="e">
        <f>'PB '!#REF!</f>
        <v>#REF!</v>
      </c>
      <c r="J116" s="175" t="e">
        <f>I116*H116/30</f>
        <v>#REF!</v>
      </c>
      <c r="K116" s="185"/>
      <c r="L116" s="185"/>
      <c r="M116" s="196"/>
    </row>
    <row r="117" spans="2:13" x14ac:dyDescent="0.25">
      <c r="B117" s="637" t="s">
        <v>74</v>
      </c>
      <c r="C117" s="638"/>
      <c r="D117" s="180"/>
      <c r="E117" s="177"/>
      <c r="F117" s="180"/>
      <c r="G117" s="177"/>
      <c r="H117" s="181"/>
      <c r="I117" s="174" t="e">
        <f>'PB '!#REF!</f>
        <v>#REF!</v>
      </c>
      <c r="J117" s="175" t="e">
        <f>I117</f>
        <v>#REF!</v>
      </c>
      <c r="K117" s="185"/>
      <c r="L117" s="185"/>
      <c r="M117" s="196"/>
    </row>
    <row r="118" spans="2:13" x14ac:dyDescent="0.25">
      <c r="B118" s="627"/>
      <c r="C118" s="628"/>
      <c r="D118" s="180"/>
      <c r="E118" s="177"/>
      <c r="F118" s="180"/>
      <c r="G118" s="177"/>
      <c r="H118" s="181"/>
      <c r="I118" s="174" t="e">
        <f>'PB '!#REF!</f>
        <v>#REF!</v>
      </c>
      <c r="J118" s="175" t="e">
        <f>I118</f>
        <v>#REF!</v>
      </c>
      <c r="K118" s="185"/>
      <c r="L118" s="185"/>
      <c r="M118" s="196"/>
    </row>
    <row r="119" spans="2:13" x14ac:dyDescent="0.25">
      <c r="B119" s="192"/>
      <c r="C119" s="185"/>
      <c r="D119" s="185"/>
      <c r="E119" s="185"/>
      <c r="F119" s="639" t="s">
        <v>76</v>
      </c>
      <c r="G119" s="639"/>
      <c r="H119" s="639"/>
      <c r="I119" s="640"/>
      <c r="J119" s="182" t="e">
        <f>SUM(J113:J118)</f>
        <v>#REF!</v>
      </c>
      <c r="K119" s="193" t="s">
        <v>51</v>
      </c>
      <c r="L119" s="183" t="e">
        <f>J119</f>
        <v>#REF!</v>
      </c>
      <c r="M119" s="196"/>
    </row>
    <row r="120" spans="2:13" ht="15.75" thickBot="1" x14ac:dyDescent="0.3">
      <c r="B120" s="192"/>
      <c r="C120" s="185"/>
      <c r="D120" s="185"/>
      <c r="E120" s="185"/>
      <c r="F120" s="185"/>
      <c r="G120" s="185"/>
      <c r="H120" s="185"/>
      <c r="I120" s="185"/>
      <c r="J120" s="185"/>
      <c r="K120" s="185"/>
      <c r="L120" s="184" t="e">
        <f>L110+L119</f>
        <v>#REF!</v>
      </c>
      <c r="M120" s="196"/>
    </row>
    <row r="121" spans="2:13" x14ac:dyDescent="0.25">
      <c r="B121" s="192"/>
      <c r="C121" s="185"/>
      <c r="D121" s="185"/>
      <c r="E121" s="185"/>
      <c r="F121" s="185"/>
      <c r="G121" s="185"/>
      <c r="H121" s="185"/>
      <c r="I121" s="185"/>
      <c r="J121" s="185"/>
      <c r="K121" s="185"/>
      <c r="L121" s="197"/>
      <c r="M121" s="196"/>
    </row>
    <row r="122" spans="2:13" x14ac:dyDescent="0.25">
      <c r="B122" s="192"/>
      <c r="C122" s="185"/>
      <c r="D122" s="185"/>
      <c r="E122" s="185"/>
      <c r="F122" s="185"/>
      <c r="G122" s="185"/>
      <c r="H122" s="185"/>
      <c r="I122" s="185"/>
      <c r="J122" s="185"/>
      <c r="K122" s="185"/>
      <c r="L122" s="197"/>
      <c r="M122" s="196"/>
    </row>
    <row r="123" spans="2:13" x14ac:dyDescent="0.25">
      <c r="B123" s="627" t="s">
        <v>77</v>
      </c>
      <c r="C123" s="628"/>
      <c r="D123" s="628"/>
      <c r="E123" s="628"/>
      <c r="F123" s="628"/>
      <c r="G123" s="628"/>
      <c r="H123" s="628"/>
      <c r="I123" s="628"/>
      <c r="J123" s="198"/>
      <c r="K123" s="185"/>
      <c r="L123" s="197"/>
      <c r="M123" s="196"/>
    </row>
    <row r="124" spans="2:13" x14ac:dyDescent="0.25">
      <c r="B124" s="627" t="s">
        <v>78</v>
      </c>
      <c r="C124" s="628"/>
      <c r="D124" s="628"/>
      <c r="E124" s="628"/>
      <c r="F124" s="628"/>
      <c r="G124" s="628"/>
      <c r="H124" s="628"/>
      <c r="I124" s="628"/>
      <c r="J124" s="179" t="e">
        <f>'PB '!#REF!</f>
        <v>#REF!</v>
      </c>
      <c r="K124" s="185"/>
      <c r="L124" s="197"/>
      <c r="M124" s="196"/>
    </row>
    <row r="125" spans="2:13" x14ac:dyDescent="0.25">
      <c r="B125" s="627" t="s">
        <v>79</v>
      </c>
      <c r="C125" s="628"/>
      <c r="D125" s="628"/>
      <c r="E125" s="628"/>
      <c r="F125" s="628"/>
      <c r="G125" s="628"/>
      <c r="H125" s="628"/>
      <c r="I125" s="628"/>
      <c r="J125" s="179" t="e">
        <f>'PB '!#REF!</f>
        <v>#REF!</v>
      </c>
      <c r="K125" s="185"/>
      <c r="L125" s="197"/>
      <c r="M125" s="196"/>
    </row>
    <row r="126" spans="2:13" x14ac:dyDescent="0.25">
      <c r="B126" s="627" t="s">
        <v>80</v>
      </c>
      <c r="C126" s="628"/>
      <c r="D126" s="628"/>
      <c r="E126" s="628"/>
      <c r="F126" s="628"/>
      <c r="G126" s="628"/>
      <c r="H126" s="628"/>
      <c r="I126" s="628"/>
      <c r="J126" s="179" t="e">
        <f>'PB '!#REF!</f>
        <v>#REF!</v>
      </c>
      <c r="K126" s="185"/>
      <c r="L126" s="197"/>
      <c r="M126" s="196"/>
    </row>
    <row r="127" spans="2:13" x14ac:dyDescent="0.25">
      <c r="B127" s="627" t="s">
        <v>81</v>
      </c>
      <c r="C127" s="628"/>
      <c r="D127" s="628"/>
      <c r="E127" s="628"/>
      <c r="F127" s="628"/>
      <c r="G127" s="628"/>
      <c r="H127" s="628"/>
      <c r="I127" s="628"/>
      <c r="J127" s="179" t="e">
        <f>'PB '!#REF!</f>
        <v>#REF!</v>
      </c>
      <c r="K127" s="185"/>
      <c r="L127" s="197"/>
      <c r="M127" s="196"/>
    </row>
    <row r="128" spans="2:13" x14ac:dyDescent="0.25">
      <c r="B128" s="629" t="s">
        <v>97</v>
      </c>
      <c r="C128" s="630"/>
      <c r="D128" s="630"/>
      <c r="E128" s="630"/>
      <c r="F128" s="630"/>
      <c r="G128" s="630"/>
      <c r="H128" s="630"/>
      <c r="I128" s="631"/>
      <c r="J128" s="179" t="e">
        <f>'PB '!#REF!</f>
        <v>#REF!</v>
      </c>
      <c r="K128" s="185"/>
      <c r="L128" s="197"/>
      <c r="M128" s="196"/>
    </row>
    <row r="129" spans="2:13" ht="15.75" thickBot="1" x14ac:dyDescent="0.3">
      <c r="B129" s="627"/>
      <c r="C129" s="628"/>
      <c r="D129" s="628"/>
      <c r="E129" s="628"/>
      <c r="F129" s="628"/>
      <c r="G129" s="628"/>
      <c r="H129" s="628"/>
      <c r="I129" s="628"/>
      <c r="J129" s="179"/>
      <c r="K129" s="185"/>
      <c r="L129" s="197"/>
      <c r="M129" s="196"/>
    </row>
    <row r="130" spans="2:13" ht="15.75" thickBot="1" x14ac:dyDescent="0.3">
      <c r="B130" s="192"/>
      <c r="C130" s="185"/>
      <c r="D130" s="185"/>
      <c r="E130" s="185"/>
      <c r="F130" s="632" t="s">
        <v>83</v>
      </c>
      <c r="G130" s="633"/>
      <c r="H130" s="633"/>
      <c r="I130" s="634"/>
      <c r="J130" s="179" t="e">
        <f>SUM(J124:J128)</f>
        <v>#REF!</v>
      </c>
      <c r="K130" s="185" t="s">
        <v>51</v>
      </c>
      <c r="L130" s="199" t="e">
        <f>J130</f>
        <v>#REF!</v>
      </c>
      <c r="M130" s="196"/>
    </row>
    <row r="131" spans="2:13" x14ac:dyDescent="0.25">
      <c r="B131" s="192"/>
      <c r="C131" s="185"/>
      <c r="D131" s="185"/>
      <c r="E131" s="185"/>
      <c r="F131" s="185"/>
      <c r="G131" s="185"/>
      <c r="H131" s="185"/>
      <c r="I131" s="185"/>
      <c r="J131" s="185"/>
      <c r="K131" s="185"/>
      <c r="L131" s="197"/>
      <c r="M131" s="196"/>
    </row>
    <row r="132" spans="2:13" x14ac:dyDescent="0.25">
      <c r="B132" s="192"/>
      <c r="C132" s="185"/>
      <c r="D132" s="185"/>
      <c r="E132" s="185"/>
      <c r="F132" s="185"/>
      <c r="G132" s="185"/>
      <c r="H132" s="185"/>
      <c r="I132" s="185"/>
      <c r="J132" s="185"/>
      <c r="K132" s="185"/>
      <c r="L132" s="197"/>
      <c r="M132" s="196"/>
    </row>
    <row r="133" spans="2:13" ht="21" customHeight="1" thickBot="1" x14ac:dyDescent="0.3">
      <c r="B133" s="192"/>
      <c r="C133" s="185"/>
      <c r="D133" s="185"/>
      <c r="E133" s="185"/>
      <c r="F133" s="202" t="s">
        <v>98</v>
      </c>
      <c r="G133" s="202"/>
      <c r="H133" s="202"/>
      <c r="I133" s="202"/>
      <c r="J133" s="202"/>
      <c r="K133" s="185" t="s">
        <v>51</v>
      </c>
      <c r="L133" s="200" t="e">
        <f>L120-L130</f>
        <v>#REF!</v>
      </c>
      <c r="M133" s="196"/>
    </row>
    <row r="134" spans="2:13" ht="21" hidden="1" customHeight="1" x14ac:dyDescent="0.25">
      <c r="B134" s="192"/>
      <c r="C134" s="185"/>
      <c r="D134" s="185"/>
      <c r="E134" s="185"/>
      <c r="F134" s="185"/>
      <c r="G134" s="185"/>
      <c r="H134" s="185"/>
      <c r="I134" s="185"/>
      <c r="J134" s="185"/>
      <c r="K134" s="185"/>
      <c r="L134" s="201"/>
      <c r="M134" s="196"/>
    </row>
    <row r="135" spans="2:13" ht="21" hidden="1" customHeight="1" x14ac:dyDescent="0.25">
      <c r="B135" s="192"/>
      <c r="C135" s="185"/>
      <c r="D135" s="185"/>
      <c r="E135" s="185"/>
      <c r="F135" s="185"/>
      <c r="G135" s="185"/>
      <c r="H135" s="185"/>
      <c r="I135" s="185"/>
      <c r="J135" s="185"/>
      <c r="K135" s="185"/>
      <c r="L135" s="201"/>
      <c r="M135" s="196"/>
    </row>
    <row r="136" spans="2:13" ht="21" customHeight="1" x14ac:dyDescent="0.25">
      <c r="B136" s="203"/>
      <c r="C136" s="185"/>
      <c r="D136" s="185"/>
      <c r="E136" s="185"/>
      <c r="F136" s="624" t="s">
        <v>99</v>
      </c>
      <c r="G136" s="624"/>
      <c r="H136" s="624"/>
      <c r="I136" s="624"/>
      <c r="J136" s="624"/>
      <c r="K136" s="185" t="s">
        <v>51</v>
      </c>
      <c r="L136" s="183" t="e">
        <f>'PB '!#REF!</f>
        <v>#REF!</v>
      </c>
      <c r="M136" s="196"/>
    </row>
    <row r="137" spans="2:13" ht="21" hidden="1" customHeight="1" x14ac:dyDescent="0.25">
      <c r="B137" s="203"/>
      <c r="C137" s="185"/>
      <c r="D137" s="185"/>
      <c r="E137" s="185"/>
      <c r="F137" s="185"/>
      <c r="G137" s="185"/>
      <c r="H137" s="185"/>
      <c r="I137" s="185"/>
      <c r="J137" s="185"/>
      <c r="K137" s="185"/>
      <c r="L137" s="197"/>
      <c r="M137" s="196"/>
    </row>
    <row r="138" spans="2:13" ht="21" customHeight="1" x14ac:dyDescent="0.25">
      <c r="B138" s="203"/>
      <c r="C138" s="185"/>
      <c r="D138" s="185"/>
      <c r="E138" s="185"/>
      <c r="F138" s="624" t="s">
        <v>100</v>
      </c>
      <c r="G138" s="624"/>
      <c r="H138" s="624"/>
      <c r="I138" s="624"/>
      <c r="J138" s="624"/>
      <c r="K138" s="185" t="s">
        <v>51</v>
      </c>
      <c r="L138" s="183" t="e">
        <f>L133-L136</f>
        <v>#REF!</v>
      </c>
      <c r="M138" s="196"/>
    </row>
    <row r="139" spans="2:13" x14ac:dyDescent="0.25">
      <c r="B139" s="620"/>
      <c r="C139" s="621"/>
      <c r="D139" s="621"/>
      <c r="E139" s="621"/>
      <c r="F139" s="621"/>
      <c r="G139" s="621"/>
      <c r="H139" s="621"/>
      <c r="I139" s="621"/>
      <c r="J139" s="621"/>
      <c r="K139" s="621"/>
      <c r="L139" s="621"/>
      <c r="M139" s="622"/>
    </row>
    <row r="140" spans="2:13" x14ac:dyDescent="0.25">
      <c r="B140" s="617" t="s">
        <v>101</v>
      </c>
      <c r="C140" s="618"/>
      <c r="D140" s="618"/>
      <c r="E140" s="618"/>
      <c r="F140" s="618"/>
      <c r="G140" s="618"/>
      <c r="H140" s="618"/>
      <c r="I140" s="618"/>
      <c r="J140" s="618"/>
      <c r="K140" s="618"/>
      <c r="L140" s="618"/>
      <c r="M140" s="619"/>
    </row>
    <row r="141" spans="2:13" x14ac:dyDescent="0.25">
      <c r="B141" s="617" t="s">
        <v>102</v>
      </c>
      <c r="C141" s="618"/>
      <c r="D141" s="618"/>
      <c r="E141" s="618"/>
      <c r="F141" s="618"/>
      <c r="G141" s="618"/>
      <c r="H141" s="618"/>
      <c r="I141" s="618"/>
      <c r="J141" s="618"/>
      <c r="K141" s="618"/>
      <c r="L141" s="618"/>
      <c r="M141" s="210"/>
    </row>
    <row r="142" spans="2:13" x14ac:dyDescent="0.25">
      <c r="B142" s="205"/>
      <c r="C142" s="206"/>
      <c r="D142" s="206"/>
      <c r="E142" s="206"/>
      <c r="F142" s="206"/>
      <c r="G142" s="206"/>
      <c r="H142" s="206"/>
      <c r="I142" s="206"/>
      <c r="J142" s="206"/>
      <c r="K142" s="206"/>
      <c r="L142" s="206"/>
      <c r="M142" s="207"/>
    </row>
    <row r="143" spans="2:13" x14ac:dyDescent="0.25">
      <c r="B143" s="620"/>
      <c r="C143" s="621"/>
      <c r="D143" s="621"/>
      <c r="E143" s="621"/>
      <c r="F143" s="621"/>
      <c r="G143" s="621"/>
      <c r="H143" s="621"/>
      <c r="I143" s="621"/>
      <c r="J143" s="621"/>
      <c r="K143" s="621"/>
      <c r="L143" s="621"/>
      <c r="M143" s="622"/>
    </row>
    <row r="144" spans="2:13" x14ac:dyDescent="0.25">
      <c r="B144" s="192"/>
      <c r="C144" s="185"/>
      <c r="D144" s="185"/>
      <c r="E144" s="185"/>
      <c r="F144" s="185"/>
      <c r="G144" s="185"/>
      <c r="H144" s="185"/>
      <c r="I144" s="185"/>
      <c r="J144" s="185"/>
      <c r="K144" s="185"/>
      <c r="L144" s="185"/>
      <c r="M144" s="196"/>
    </row>
    <row r="145" spans="2:13" x14ac:dyDescent="0.25">
      <c r="B145" s="192"/>
      <c r="C145" s="185"/>
      <c r="D145" s="185"/>
      <c r="E145" s="185"/>
      <c r="F145" s="185"/>
      <c r="G145" s="185"/>
      <c r="H145" s="185"/>
      <c r="I145" s="185"/>
      <c r="J145" s="185"/>
      <c r="K145" s="185"/>
      <c r="L145" s="185"/>
      <c r="M145" s="196"/>
    </row>
    <row r="146" spans="2:13" x14ac:dyDescent="0.25">
      <c r="B146" s="623"/>
      <c r="C146" s="624"/>
      <c r="D146" s="624"/>
      <c r="E146" s="185"/>
      <c r="F146" s="185"/>
      <c r="G146" s="185"/>
      <c r="H146" s="185"/>
      <c r="I146" s="185"/>
      <c r="J146" s="624"/>
      <c r="K146" s="624"/>
      <c r="L146" s="624"/>
      <c r="M146" s="196"/>
    </row>
    <row r="147" spans="2:13" x14ac:dyDescent="0.25">
      <c r="B147" s="625" t="s">
        <v>87</v>
      </c>
      <c r="C147" s="626"/>
      <c r="D147" s="626"/>
      <c r="E147" s="185"/>
      <c r="F147" s="185"/>
      <c r="G147" s="185"/>
      <c r="H147" s="185"/>
      <c r="I147" s="211" t="s">
        <v>88</v>
      </c>
      <c r="J147" s="211"/>
      <c r="K147" s="211"/>
      <c r="L147" s="189"/>
      <c r="M147" s="196"/>
    </row>
    <row r="148" spans="2:13" x14ac:dyDescent="0.25">
      <c r="B148" s="192" t="s">
        <v>44</v>
      </c>
      <c r="C148" s="185"/>
      <c r="D148" s="185"/>
      <c r="E148" s="185"/>
      <c r="F148" s="185"/>
      <c r="G148" s="185"/>
      <c r="H148" s="185"/>
      <c r="I148" s="185"/>
      <c r="J148" s="626"/>
      <c r="K148" s="626"/>
      <c r="L148" s="626"/>
      <c r="M148" s="196"/>
    </row>
    <row r="149" spans="2:13" ht="15.75" thickBot="1" x14ac:dyDescent="0.3">
      <c r="B149" s="212" t="s">
        <v>64</v>
      </c>
      <c r="C149" s="215" t="e">
        <f>C106</f>
        <v>#REF!</v>
      </c>
      <c r="D149" s="215"/>
      <c r="E149" s="215"/>
      <c r="F149" s="213"/>
      <c r="G149" s="213"/>
      <c r="H149" s="213" t="s">
        <v>103</v>
      </c>
      <c r="I149" s="219" t="s">
        <v>118</v>
      </c>
      <c r="J149" s="215">
        <f>'PB '!C7</f>
        <v>0</v>
      </c>
      <c r="K149" s="215"/>
      <c r="L149" s="215"/>
      <c r="M149" s="214"/>
    </row>
    <row r="150" spans="2:13" ht="17.25" customHeight="1" x14ac:dyDescent="0.25"/>
    <row r="151" spans="2:13" ht="15" customHeight="1" thickBot="1" x14ac:dyDescent="0.3"/>
    <row r="152" spans="2:13" ht="18" customHeight="1" x14ac:dyDescent="0.25">
      <c r="B152" s="647">
        <f>B102</f>
        <v>0</v>
      </c>
      <c r="C152" s="648"/>
      <c r="D152" s="648"/>
      <c r="E152" s="648"/>
      <c r="F152" s="648"/>
      <c r="G152" s="648"/>
      <c r="H152" s="648"/>
      <c r="I152" s="648"/>
      <c r="J152" s="648"/>
      <c r="K152" s="648"/>
      <c r="L152" s="648"/>
      <c r="M152" s="649"/>
    </row>
    <row r="153" spans="2:13" ht="24.75" customHeight="1" x14ac:dyDescent="0.25">
      <c r="B153" s="650" t="s">
        <v>89</v>
      </c>
      <c r="C153" s="651"/>
      <c r="D153" s="651"/>
      <c r="E153" s="651"/>
      <c r="F153" s="651"/>
      <c r="G153" s="651"/>
      <c r="H153" s="651"/>
      <c r="I153" s="651"/>
      <c r="J153" s="651"/>
      <c r="K153" s="651"/>
      <c r="L153" s="651"/>
      <c r="M153" s="652"/>
    </row>
    <row r="154" spans="2:13" x14ac:dyDescent="0.25">
      <c r="B154" s="192" t="s">
        <v>63</v>
      </c>
      <c r="C154" s="653" t="str">
        <f>C104</f>
        <v>SOFI 1</v>
      </c>
      <c r="D154" s="653"/>
      <c r="E154" s="653"/>
      <c r="F154" s="185"/>
      <c r="G154" s="186" t="s">
        <v>40</v>
      </c>
      <c r="H154" s="654" t="str">
        <f>H104</f>
        <v>Dubai</v>
      </c>
      <c r="I154" s="654"/>
      <c r="J154" s="191" t="s">
        <v>90</v>
      </c>
      <c r="L154" s="216">
        <f>L104</f>
        <v>44049</v>
      </c>
      <c r="M154" s="218"/>
    </row>
    <row r="155" spans="2:13" x14ac:dyDescent="0.25">
      <c r="B155" s="187"/>
      <c r="C155" s="185"/>
      <c r="D155" s="185"/>
      <c r="E155" s="188"/>
      <c r="F155" s="185"/>
      <c r="G155" s="204"/>
      <c r="H155" s="204"/>
      <c r="I155" s="185"/>
      <c r="J155" s="185"/>
      <c r="K155" s="191"/>
      <c r="L155" s="191"/>
      <c r="M155" s="196"/>
    </row>
    <row r="156" spans="2:13" x14ac:dyDescent="0.25">
      <c r="B156" s="192" t="s">
        <v>64</v>
      </c>
      <c r="C156" s="641" t="e">
        <f>'PB '!#REF!</f>
        <v>#REF!</v>
      </c>
      <c r="D156" s="641"/>
      <c r="E156" s="641"/>
      <c r="F156" s="641"/>
      <c r="G156" s="189" t="s">
        <v>91</v>
      </c>
      <c r="H156" s="655" t="e">
        <f>'PB '!#REF!</f>
        <v>#REF!</v>
      </c>
      <c r="I156" s="653"/>
      <c r="J156" s="656" t="s">
        <v>92</v>
      </c>
      <c r="K156" s="656"/>
      <c r="L156" s="190">
        <f>L106</f>
        <v>43859</v>
      </c>
      <c r="M156" s="209"/>
    </row>
    <row r="157" spans="2:13" x14ac:dyDescent="0.25">
      <c r="B157" s="192"/>
      <c r="C157" s="185"/>
      <c r="D157" s="185"/>
      <c r="E157" s="185"/>
      <c r="F157" s="185"/>
      <c r="G157" s="185" t="s">
        <v>65</v>
      </c>
      <c r="H157" s="185"/>
      <c r="I157" s="185"/>
      <c r="J157" s="185"/>
      <c r="K157" s="186"/>
      <c r="L157" s="193"/>
      <c r="M157" s="209"/>
    </row>
    <row r="158" spans="2:13" x14ac:dyDescent="0.25">
      <c r="B158" s="625" t="s">
        <v>93</v>
      </c>
      <c r="C158" s="626"/>
      <c r="D158" s="641" t="str">
        <f>D108</f>
        <v>SIGN OFF</v>
      </c>
      <c r="E158" s="641"/>
      <c r="F158" s="641"/>
      <c r="G158" s="186"/>
      <c r="H158" s="186"/>
      <c r="I158" s="185"/>
      <c r="J158" s="626" t="s">
        <v>94</v>
      </c>
      <c r="K158" s="626"/>
      <c r="L158" s="190">
        <f>L108</f>
        <v>44049</v>
      </c>
      <c r="M158" s="196"/>
    </row>
    <row r="159" spans="2:13" x14ac:dyDescent="0.25">
      <c r="B159" s="194"/>
      <c r="C159" s="186"/>
      <c r="D159" s="169"/>
      <c r="E159" s="169"/>
      <c r="F159" s="169"/>
      <c r="G159" s="169"/>
      <c r="H159" s="186"/>
      <c r="I159" s="185"/>
      <c r="J159" s="185"/>
      <c r="K159" s="185"/>
      <c r="L159" s="185"/>
      <c r="M159" s="196"/>
    </row>
    <row r="160" spans="2:13" ht="22.5" customHeight="1" x14ac:dyDescent="0.25">
      <c r="B160" s="625" t="s">
        <v>95</v>
      </c>
      <c r="C160" s="626"/>
      <c r="D160" s="626"/>
      <c r="E160" s="642">
        <f>L158-L156</f>
        <v>190</v>
      </c>
      <c r="F160" s="642"/>
      <c r="G160" s="185"/>
      <c r="H160" s="643" t="s">
        <v>66</v>
      </c>
      <c r="I160" s="643"/>
      <c r="J160" s="643"/>
      <c r="K160" s="185" t="s">
        <v>51</v>
      </c>
      <c r="L160" s="217" t="e">
        <f>'PB '!#REF!</f>
        <v>#REF!</v>
      </c>
      <c r="M160" s="196"/>
    </row>
    <row r="161" spans="2:13" x14ac:dyDescent="0.25">
      <c r="B161" s="192"/>
      <c r="C161" s="185"/>
      <c r="D161" s="185"/>
      <c r="E161" s="185"/>
      <c r="F161" s="185"/>
      <c r="G161" s="185"/>
      <c r="H161" s="185"/>
      <c r="I161" s="185"/>
      <c r="J161" s="185"/>
      <c r="K161" s="185"/>
      <c r="L161" s="185"/>
      <c r="M161" s="196"/>
    </row>
    <row r="162" spans="2:13" ht="22.5" x14ac:dyDescent="0.25">
      <c r="B162" s="644" t="s">
        <v>67</v>
      </c>
      <c r="C162" s="645"/>
      <c r="D162" s="645" t="s">
        <v>60</v>
      </c>
      <c r="E162" s="645"/>
      <c r="F162" s="646" t="s">
        <v>61</v>
      </c>
      <c r="G162" s="646"/>
      <c r="H162" s="208" t="s">
        <v>68</v>
      </c>
      <c r="I162" s="208" t="s">
        <v>69</v>
      </c>
      <c r="J162" s="168" t="s">
        <v>51</v>
      </c>
      <c r="K162" s="169"/>
      <c r="L162" s="169"/>
      <c r="M162" s="195"/>
    </row>
    <row r="163" spans="2:13" x14ac:dyDescent="0.25">
      <c r="B163" s="635" t="s">
        <v>70</v>
      </c>
      <c r="C163" s="636"/>
      <c r="D163" s="170">
        <v>1</v>
      </c>
      <c r="E163" s="171">
        <f>'PB '!B1</f>
        <v>0</v>
      </c>
      <c r="F163" s="172" t="e">
        <f>'PB '!#REF!</f>
        <v>#REF!</v>
      </c>
      <c r="G163" s="171">
        <f>'PB '!B1</f>
        <v>0</v>
      </c>
      <c r="H163" s="173" t="e">
        <f>'PB '!#REF!</f>
        <v>#REF!</v>
      </c>
      <c r="I163" s="174" t="e">
        <f>'PB '!#REF!</f>
        <v>#REF!</v>
      </c>
      <c r="J163" s="175" t="e">
        <f>I163*H163/30</f>
        <v>#REF!</v>
      </c>
      <c r="K163" s="185"/>
      <c r="L163" s="185"/>
      <c r="M163" s="196"/>
    </row>
    <row r="164" spans="2:13" x14ac:dyDescent="0.25">
      <c r="B164" s="627" t="s">
        <v>71</v>
      </c>
      <c r="C164" s="628"/>
      <c r="D164" s="176">
        <v>1</v>
      </c>
      <c r="E164" s="177">
        <f>'PB '!B1</f>
        <v>0</v>
      </c>
      <c r="F164" s="172" t="e">
        <f>F163</f>
        <v>#REF!</v>
      </c>
      <c r="G164" s="177">
        <f>G163</f>
        <v>0</v>
      </c>
      <c r="H164" s="178" t="e">
        <f>H163</f>
        <v>#REF!</v>
      </c>
      <c r="I164" s="174" t="e">
        <f>'PB '!#REF!</f>
        <v>#REF!</v>
      </c>
      <c r="J164" s="175" t="e">
        <f>I164*H164/30</f>
        <v>#REF!</v>
      </c>
      <c r="K164" s="185"/>
      <c r="L164" s="185"/>
      <c r="M164" s="196"/>
    </row>
    <row r="165" spans="2:13" x14ac:dyDescent="0.25">
      <c r="B165" s="629" t="s">
        <v>72</v>
      </c>
      <c r="C165" s="631"/>
      <c r="D165" s="176">
        <v>1</v>
      </c>
      <c r="E165" s="177">
        <f>'PB '!B1</f>
        <v>0</v>
      </c>
      <c r="F165" s="172" t="e">
        <f>F163</f>
        <v>#REF!</v>
      </c>
      <c r="G165" s="177">
        <f>G163</f>
        <v>0</v>
      </c>
      <c r="H165" s="178" t="e">
        <f>H164</f>
        <v>#REF!</v>
      </c>
      <c r="I165" s="174" t="e">
        <f>'PB '!#REF!</f>
        <v>#REF!</v>
      </c>
      <c r="J165" s="175" t="e">
        <f>I165*H165/30</f>
        <v>#REF!</v>
      </c>
      <c r="K165" s="185"/>
      <c r="L165" s="185"/>
      <c r="M165" s="196"/>
    </row>
    <row r="166" spans="2:13" x14ac:dyDescent="0.25">
      <c r="B166" s="629" t="s">
        <v>96</v>
      </c>
      <c r="C166" s="631"/>
      <c r="D166" s="176">
        <v>1</v>
      </c>
      <c r="E166" s="177">
        <f>'PB '!B1</f>
        <v>0</v>
      </c>
      <c r="F166" s="172" t="e">
        <f>F163</f>
        <v>#REF!</v>
      </c>
      <c r="G166" s="177">
        <f>G163</f>
        <v>0</v>
      </c>
      <c r="H166" s="178" t="e">
        <f>H165</f>
        <v>#REF!</v>
      </c>
      <c r="I166" s="174" t="e">
        <f>'PB '!#REF!</f>
        <v>#REF!</v>
      </c>
      <c r="J166" s="175" t="e">
        <f>I166*H166/30</f>
        <v>#REF!</v>
      </c>
      <c r="K166" s="185"/>
      <c r="L166" s="185"/>
      <c r="M166" s="196"/>
    </row>
    <row r="167" spans="2:13" x14ac:dyDescent="0.25">
      <c r="B167" s="637" t="s">
        <v>74</v>
      </c>
      <c r="C167" s="638"/>
      <c r="D167" s="180"/>
      <c r="E167" s="177"/>
      <c r="F167" s="180"/>
      <c r="G167" s="177"/>
      <c r="H167" s="181"/>
      <c r="I167" s="174" t="e">
        <f>'PB '!#REF!</f>
        <v>#REF!</v>
      </c>
      <c r="J167" s="175" t="e">
        <f>I167</f>
        <v>#REF!</v>
      </c>
      <c r="K167" s="185"/>
      <c r="L167" s="185"/>
      <c r="M167" s="196"/>
    </row>
    <row r="168" spans="2:13" x14ac:dyDescent="0.25">
      <c r="B168" s="627" t="s">
        <v>75</v>
      </c>
      <c r="C168" s="628"/>
      <c r="D168" s="180"/>
      <c r="E168" s="177"/>
      <c r="F168" s="180"/>
      <c r="G168" s="177"/>
      <c r="H168" s="181"/>
      <c r="I168" s="174" t="e">
        <f>'PB '!#REF!</f>
        <v>#REF!</v>
      </c>
      <c r="J168" s="175" t="e">
        <f>I168</f>
        <v>#REF!</v>
      </c>
      <c r="K168" s="185"/>
      <c r="L168" s="185"/>
      <c r="M168" s="196"/>
    </row>
    <row r="169" spans="2:13" x14ac:dyDescent="0.25">
      <c r="B169" s="192"/>
      <c r="C169" s="185"/>
      <c r="D169" s="185"/>
      <c r="E169" s="185"/>
      <c r="F169" s="639" t="s">
        <v>76</v>
      </c>
      <c r="G169" s="639"/>
      <c r="H169" s="639"/>
      <c r="I169" s="640"/>
      <c r="J169" s="182" t="e">
        <f>SUM(J163:J168)</f>
        <v>#REF!</v>
      </c>
      <c r="K169" s="193" t="s">
        <v>51</v>
      </c>
      <c r="L169" s="183" t="e">
        <f>J169</f>
        <v>#REF!</v>
      </c>
      <c r="M169" s="196"/>
    </row>
    <row r="170" spans="2:13" ht="15.75" thickBot="1" x14ac:dyDescent="0.3">
      <c r="B170" s="192"/>
      <c r="C170" s="185"/>
      <c r="D170" s="185"/>
      <c r="E170" s="185"/>
      <c r="F170" s="185"/>
      <c r="G170" s="185"/>
      <c r="H170" s="185"/>
      <c r="I170" s="185"/>
      <c r="J170" s="185"/>
      <c r="K170" s="185"/>
      <c r="L170" s="184" t="e">
        <f>L160+L169</f>
        <v>#REF!</v>
      </c>
      <c r="M170" s="196"/>
    </row>
    <row r="171" spans="2:13" x14ac:dyDescent="0.25">
      <c r="B171" s="192"/>
      <c r="C171" s="185"/>
      <c r="D171" s="185"/>
      <c r="E171" s="185"/>
      <c r="F171" s="185"/>
      <c r="G171" s="185"/>
      <c r="H171" s="185"/>
      <c r="I171" s="185"/>
      <c r="J171" s="185"/>
      <c r="K171" s="185"/>
      <c r="L171" s="197"/>
      <c r="M171" s="196"/>
    </row>
    <row r="172" spans="2:13" x14ac:dyDescent="0.25">
      <c r="B172" s="192"/>
      <c r="C172" s="185"/>
      <c r="D172" s="185"/>
      <c r="E172" s="185"/>
      <c r="F172" s="185"/>
      <c r="G172" s="185"/>
      <c r="H172" s="185"/>
      <c r="I172" s="185"/>
      <c r="J172" s="185"/>
      <c r="K172" s="185"/>
      <c r="L172" s="197"/>
      <c r="M172" s="196"/>
    </row>
    <row r="173" spans="2:13" x14ac:dyDescent="0.25">
      <c r="B173" s="627" t="s">
        <v>77</v>
      </c>
      <c r="C173" s="628"/>
      <c r="D173" s="628"/>
      <c r="E173" s="628"/>
      <c r="F173" s="628"/>
      <c r="G173" s="628"/>
      <c r="H173" s="628"/>
      <c r="I173" s="628"/>
      <c r="J173" s="198"/>
      <c r="K173" s="185"/>
      <c r="L173" s="197"/>
      <c r="M173" s="196"/>
    </row>
    <row r="174" spans="2:13" x14ac:dyDescent="0.25">
      <c r="B174" s="627" t="s">
        <v>78</v>
      </c>
      <c r="C174" s="628"/>
      <c r="D174" s="628"/>
      <c r="E174" s="628"/>
      <c r="F174" s="628"/>
      <c r="G174" s="628"/>
      <c r="H174" s="628"/>
      <c r="I174" s="628"/>
      <c r="J174" s="179" t="e">
        <f>'PB '!#REF!</f>
        <v>#REF!</v>
      </c>
      <c r="K174" s="185"/>
      <c r="L174" s="197"/>
      <c r="M174" s="196"/>
    </row>
    <row r="175" spans="2:13" x14ac:dyDescent="0.25">
      <c r="B175" s="627" t="s">
        <v>79</v>
      </c>
      <c r="C175" s="628"/>
      <c r="D175" s="628"/>
      <c r="E175" s="628"/>
      <c r="F175" s="628"/>
      <c r="G175" s="628"/>
      <c r="H175" s="628"/>
      <c r="I175" s="628"/>
      <c r="J175" s="179" t="e">
        <f>'PB '!#REF!</f>
        <v>#REF!</v>
      </c>
      <c r="K175" s="185"/>
      <c r="L175" s="197"/>
      <c r="M175" s="196"/>
    </row>
    <row r="176" spans="2:13" x14ac:dyDescent="0.25">
      <c r="B176" s="627" t="s">
        <v>80</v>
      </c>
      <c r="C176" s="628"/>
      <c r="D176" s="628"/>
      <c r="E176" s="628"/>
      <c r="F176" s="628"/>
      <c r="G176" s="628"/>
      <c r="H176" s="628"/>
      <c r="I176" s="628"/>
      <c r="J176" s="179" t="e">
        <f>'PB '!#REF!</f>
        <v>#REF!</v>
      </c>
      <c r="K176" s="185"/>
      <c r="L176" s="197"/>
      <c r="M176" s="196"/>
    </row>
    <row r="177" spans="2:13" x14ac:dyDescent="0.25">
      <c r="B177" s="627" t="s">
        <v>81</v>
      </c>
      <c r="C177" s="628"/>
      <c r="D177" s="628"/>
      <c r="E177" s="628"/>
      <c r="F177" s="628"/>
      <c r="G177" s="628"/>
      <c r="H177" s="628"/>
      <c r="I177" s="628"/>
      <c r="J177" s="179" t="e">
        <f>'PB '!#REF!</f>
        <v>#REF!</v>
      </c>
      <c r="K177" s="185"/>
      <c r="L177" s="197"/>
      <c r="M177" s="196"/>
    </row>
    <row r="178" spans="2:13" x14ac:dyDescent="0.25">
      <c r="B178" s="629" t="s">
        <v>97</v>
      </c>
      <c r="C178" s="630"/>
      <c r="D178" s="630"/>
      <c r="E178" s="630"/>
      <c r="F178" s="630"/>
      <c r="G178" s="630"/>
      <c r="H178" s="630"/>
      <c r="I178" s="631"/>
      <c r="J178" s="179" t="e">
        <f>'PB '!#REF!</f>
        <v>#REF!</v>
      </c>
      <c r="K178" s="185"/>
      <c r="L178" s="197"/>
      <c r="M178" s="196"/>
    </row>
    <row r="179" spans="2:13" ht="15.75" thickBot="1" x14ac:dyDescent="0.3">
      <c r="B179" s="627"/>
      <c r="C179" s="628"/>
      <c r="D179" s="628"/>
      <c r="E179" s="628"/>
      <c r="F179" s="628"/>
      <c r="G179" s="628"/>
      <c r="H179" s="628"/>
      <c r="I179" s="628"/>
      <c r="J179" s="179"/>
      <c r="K179" s="185"/>
      <c r="L179" s="197"/>
      <c r="M179" s="196"/>
    </row>
    <row r="180" spans="2:13" ht="15.75" thickBot="1" x14ac:dyDescent="0.3">
      <c r="B180" s="192"/>
      <c r="C180" s="185"/>
      <c r="D180" s="185"/>
      <c r="E180" s="185"/>
      <c r="F180" s="632" t="s">
        <v>83</v>
      </c>
      <c r="G180" s="633"/>
      <c r="H180" s="633"/>
      <c r="I180" s="634"/>
      <c r="J180" s="179" t="e">
        <f>SUM(J174:J178)</f>
        <v>#REF!</v>
      </c>
      <c r="K180" s="185" t="s">
        <v>51</v>
      </c>
      <c r="L180" s="199" t="e">
        <f>J180</f>
        <v>#REF!</v>
      </c>
      <c r="M180" s="196"/>
    </row>
    <row r="181" spans="2:13" x14ac:dyDescent="0.25">
      <c r="B181" s="192"/>
      <c r="C181" s="185"/>
      <c r="D181" s="185"/>
      <c r="E181" s="185"/>
      <c r="F181" s="185"/>
      <c r="G181" s="185"/>
      <c r="H181" s="185"/>
      <c r="I181" s="185"/>
      <c r="J181" s="185"/>
      <c r="K181" s="185"/>
      <c r="L181" s="197"/>
      <c r="M181" s="196"/>
    </row>
    <row r="182" spans="2:13" x14ac:dyDescent="0.25">
      <c r="B182" s="192"/>
      <c r="C182" s="185"/>
      <c r="D182" s="185"/>
      <c r="E182" s="185"/>
      <c r="F182" s="185"/>
      <c r="G182" s="185"/>
      <c r="H182" s="185"/>
      <c r="I182" s="185"/>
      <c r="J182" s="185"/>
      <c r="K182" s="185"/>
      <c r="L182" s="197"/>
      <c r="M182" s="196"/>
    </row>
    <row r="183" spans="2:13" ht="21" customHeight="1" thickBot="1" x14ac:dyDescent="0.3">
      <c r="B183" s="192"/>
      <c r="C183" s="185"/>
      <c r="D183" s="185"/>
      <c r="E183" s="185"/>
      <c r="F183" s="202" t="s">
        <v>98</v>
      </c>
      <c r="G183" s="202"/>
      <c r="H183" s="202"/>
      <c r="I183" s="202"/>
      <c r="J183" s="202"/>
      <c r="K183" s="185" t="s">
        <v>51</v>
      </c>
      <c r="L183" s="200" t="e">
        <f>L170-L180</f>
        <v>#REF!</v>
      </c>
      <c r="M183" s="196"/>
    </row>
    <row r="184" spans="2:13" ht="21" hidden="1" customHeight="1" x14ac:dyDescent="0.25">
      <c r="B184" s="192"/>
      <c r="C184" s="185"/>
      <c r="D184" s="185"/>
      <c r="E184" s="185"/>
      <c r="F184" s="185"/>
      <c r="G184" s="185"/>
      <c r="H184" s="185"/>
      <c r="I184" s="185"/>
      <c r="J184" s="185"/>
      <c r="K184" s="185"/>
      <c r="L184" s="201"/>
      <c r="M184" s="196"/>
    </row>
    <row r="185" spans="2:13" ht="21" hidden="1" customHeight="1" x14ac:dyDescent="0.25">
      <c r="B185" s="192"/>
      <c r="C185" s="185"/>
      <c r="D185" s="185"/>
      <c r="E185" s="185"/>
      <c r="F185" s="185"/>
      <c r="G185" s="185"/>
      <c r="H185" s="185"/>
      <c r="I185" s="185"/>
      <c r="J185" s="185"/>
      <c r="K185" s="185"/>
      <c r="L185" s="201"/>
      <c r="M185" s="196"/>
    </row>
    <row r="186" spans="2:13" ht="21" customHeight="1" x14ac:dyDescent="0.25">
      <c r="B186" s="203"/>
      <c r="C186" s="185"/>
      <c r="D186" s="185"/>
      <c r="E186" s="185"/>
      <c r="F186" s="624" t="s">
        <v>99</v>
      </c>
      <c r="G186" s="624"/>
      <c r="H186" s="624"/>
      <c r="I186" s="624"/>
      <c r="J186" s="624"/>
      <c r="K186" s="185" t="s">
        <v>51</v>
      </c>
      <c r="L186" s="183" t="e">
        <f>'PB '!#REF!</f>
        <v>#REF!</v>
      </c>
      <c r="M186" s="196"/>
    </row>
    <row r="187" spans="2:13" ht="21" hidden="1" customHeight="1" x14ac:dyDescent="0.25">
      <c r="B187" s="203"/>
      <c r="C187" s="185"/>
      <c r="D187" s="185"/>
      <c r="E187" s="185"/>
      <c r="F187" s="185"/>
      <c r="G187" s="185"/>
      <c r="H187" s="185"/>
      <c r="I187" s="185"/>
      <c r="J187" s="185"/>
      <c r="K187" s="185"/>
      <c r="L187" s="197"/>
      <c r="M187" s="196"/>
    </row>
    <row r="188" spans="2:13" ht="21" customHeight="1" x14ac:dyDescent="0.25">
      <c r="B188" s="203"/>
      <c r="C188" s="185"/>
      <c r="D188" s="185"/>
      <c r="E188" s="185"/>
      <c r="F188" s="624" t="s">
        <v>100</v>
      </c>
      <c r="G188" s="624"/>
      <c r="H188" s="624"/>
      <c r="I188" s="624"/>
      <c r="J188" s="624"/>
      <c r="K188" s="185" t="s">
        <v>51</v>
      </c>
      <c r="L188" s="183" t="e">
        <f>L183-L186</f>
        <v>#REF!</v>
      </c>
      <c r="M188" s="196"/>
    </row>
    <row r="189" spans="2:13" x14ac:dyDescent="0.25">
      <c r="B189" s="620"/>
      <c r="C189" s="621"/>
      <c r="D189" s="621"/>
      <c r="E189" s="621"/>
      <c r="F189" s="621"/>
      <c r="G189" s="621"/>
      <c r="H189" s="621"/>
      <c r="I189" s="621"/>
      <c r="J189" s="621"/>
      <c r="K189" s="621"/>
      <c r="L189" s="621"/>
      <c r="M189" s="622"/>
    </row>
    <row r="190" spans="2:13" x14ac:dyDescent="0.25">
      <c r="B190" s="617" t="s">
        <v>101</v>
      </c>
      <c r="C190" s="618"/>
      <c r="D190" s="618"/>
      <c r="E190" s="618"/>
      <c r="F190" s="618"/>
      <c r="G190" s="618"/>
      <c r="H190" s="618"/>
      <c r="I190" s="618"/>
      <c r="J190" s="618"/>
      <c r="K190" s="618"/>
      <c r="L190" s="618"/>
      <c r="M190" s="619"/>
    </row>
    <row r="191" spans="2:13" x14ac:dyDescent="0.25">
      <c r="B191" s="617" t="s">
        <v>102</v>
      </c>
      <c r="C191" s="618"/>
      <c r="D191" s="618"/>
      <c r="E191" s="618"/>
      <c r="F191" s="618"/>
      <c r="G191" s="618"/>
      <c r="H191" s="618"/>
      <c r="I191" s="618"/>
      <c r="J191" s="618"/>
      <c r="K191" s="618"/>
      <c r="L191" s="618"/>
      <c r="M191" s="210"/>
    </row>
    <row r="192" spans="2:13" x14ac:dyDescent="0.25">
      <c r="B192" s="205"/>
      <c r="C192" s="206"/>
      <c r="D192" s="206"/>
      <c r="E192" s="206"/>
      <c r="F192" s="206"/>
      <c r="G192" s="206"/>
      <c r="H192" s="206"/>
      <c r="I192" s="206"/>
      <c r="J192" s="206"/>
      <c r="K192" s="206"/>
      <c r="L192" s="206"/>
      <c r="M192" s="207"/>
    </row>
    <row r="193" spans="2:13" x14ac:dyDescent="0.25">
      <c r="B193" s="620"/>
      <c r="C193" s="621"/>
      <c r="D193" s="621"/>
      <c r="E193" s="621"/>
      <c r="F193" s="621"/>
      <c r="G193" s="621"/>
      <c r="H193" s="621"/>
      <c r="I193" s="621"/>
      <c r="J193" s="621"/>
      <c r="K193" s="621"/>
      <c r="L193" s="621"/>
      <c r="M193" s="622"/>
    </row>
    <row r="194" spans="2:13" x14ac:dyDescent="0.25">
      <c r="B194" s="192"/>
      <c r="C194" s="185"/>
      <c r="D194" s="185"/>
      <c r="E194" s="185"/>
      <c r="F194" s="185"/>
      <c r="G194" s="185"/>
      <c r="H194" s="185"/>
      <c r="I194" s="185"/>
      <c r="J194" s="185"/>
      <c r="K194" s="185"/>
      <c r="L194" s="185"/>
      <c r="M194" s="196"/>
    </row>
    <row r="195" spans="2:13" x14ac:dyDescent="0.25">
      <c r="B195" s="192"/>
      <c r="C195" s="185"/>
      <c r="D195" s="185"/>
      <c r="E195" s="185"/>
      <c r="F195" s="185"/>
      <c r="G195" s="185"/>
      <c r="H195" s="185"/>
      <c r="I195" s="185"/>
      <c r="J195" s="185"/>
      <c r="K195" s="185"/>
      <c r="L195" s="185"/>
      <c r="M195" s="196"/>
    </row>
    <row r="196" spans="2:13" x14ac:dyDescent="0.25">
      <c r="B196" s="623"/>
      <c r="C196" s="624"/>
      <c r="D196" s="624"/>
      <c r="E196" s="185"/>
      <c r="F196" s="185"/>
      <c r="G196" s="185"/>
      <c r="H196" s="185"/>
      <c r="I196" s="185"/>
      <c r="J196" s="624"/>
      <c r="K196" s="624"/>
      <c r="L196" s="624"/>
      <c r="M196" s="196"/>
    </row>
    <row r="197" spans="2:13" x14ac:dyDescent="0.25">
      <c r="B197" s="625" t="s">
        <v>87</v>
      </c>
      <c r="C197" s="626"/>
      <c r="D197" s="626"/>
      <c r="E197" s="185"/>
      <c r="F197" s="185"/>
      <c r="G197" s="185"/>
      <c r="H197" s="185"/>
      <c r="I197" s="211" t="s">
        <v>88</v>
      </c>
      <c r="J197" s="211"/>
      <c r="K197" s="211"/>
      <c r="L197" s="189"/>
      <c r="M197" s="196"/>
    </row>
    <row r="198" spans="2:13" x14ac:dyDescent="0.25">
      <c r="B198" s="192" t="s">
        <v>44</v>
      </c>
      <c r="C198" s="185"/>
      <c r="D198" s="185"/>
      <c r="E198" s="185"/>
      <c r="F198" s="185"/>
      <c r="G198" s="185"/>
      <c r="H198" s="185"/>
      <c r="I198" s="185"/>
      <c r="J198" s="626"/>
      <c r="K198" s="626"/>
      <c r="L198" s="626"/>
      <c r="M198" s="196"/>
    </row>
    <row r="199" spans="2:13" ht="15.75" thickBot="1" x14ac:dyDescent="0.3">
      <c r="B199" s="212" t="s">
        <v>64</v>
      </c>
      <c r="C199" s="215" t="e">
        <f>C156</f>
        <v>#REF!</v>
      </c>
      <c r="D199" s="215"/>
      <c r="E199" s="215"/>
      <c r="F199" s="213"/>
      <c r="G199" s="213"/>
      <c r="H199" s="213" t="s">
        <v>103</v>
      </c>
      <c r="I199" s="219" t="s">
        <v>118</v>
      </c>
      <c r="J199" s="215">
        <f>'PB '!C7</f>
        <v>0</v>
      </c>
      <c r="K199" s="215"/>
      <c r="L199" s="215"/>
      <c r="M199" s="214"/>
    </row>
    <row r="200" spans="2:13" ht="12.75" customHeight="1" x14ac:dyDescent="0.25"/>
    <row r="201" spans="2:13" ht="15.75" thickBot="1" x14ac:dyDescent="0.3"/>
    <row r="202" spans="2:13" ht="18" customHeight="1" x14ac:dyDescent="0.25">
      <c r="B202" s="647" t="s">
        <v>116</v>
      </c>
      <c r="C202" s="648"/>
      <c r="D202" s="648"/>
      <c r="E202" s="648"/>
      <c r="F202" s="648"/>
      <c r="G202" s="648"/>
      <c r="H202" s="648"/>
      <c r="I202" s="648"/>
      <c r="J202" s="648"/>
      <c r="K202" s="648"/>
      <c r="L202" s="648"/>
      <c r="M202" s="649"/>
    </row>
    <row r="203" spans="2:13" ht="24.75" customHeight="1" x14ac:dyDescent="0.25">
      <c r="B203" s="650" t="s">
        <v>89</v>
      </c>
      <c r="C203" s="651"/>
      <c r="D203" s="651"/>
      <c r="E203" s="651"/>
      <c r="F203" s="651"/>
      <c r="G203" s="651"/>
      <c r="H203" s="651"/>
      <c r="I203" s="651"/>
      <c r="J203" s="651"/>
      <c r="K203" s="651"/>
      <c r="L203" s="651"/>
      <c r="M203" s="652"/>
    </row>
    <row r="204" spans="2:13" x14ac:dyDescent="0.25">
      <c r="B204" s="192" t="s">
        <v>63</v>
      </c>
      <c r="C204" s="653" t="str">
        <f>C154</f>
        <v>SOFI 1</v>
      </c>
      <c r="D204" s="653"/>
      <c r="E204" s="653"/>
      <c r="F204" s="185"/>
      <c r="G204" s="186" t="s">
        <v>40</v>
      </c>
      <c r="H204" s="654"/>
      <c r="I204" s="654"/>
      <c r="J204" s="191" t="s">
        <v>90</v>
      </c>
      <c r="L204" s="216"/>
      <c r="M204" s="218"/>
    </row>
    <row r="205" spans="2:13" x14ac:dyDescent="0.25">
      <c r="B205" s="187"/>
      <c r="C205" s="185"/>
      <c r="D205" s="185"/>
      <c r="E205" s="188"/>
      <c r="F205" s="185"/>
      <c r="G205" s="204"/>
      <c r="H205" s="204"/>
      <c r="I205" s="185"/>
      <c r="J205" s="185"/>
      <c r="K205" s="191"/>
      <c r="L205" s="191"/>
      <c r="M205" s="196"/>
    </row>
    <row r="206" spans="2:13" x14ac:dyDescent="0.25">
      <c r="B206" s="192" t="s">
        <v>64</v>
      </c>
      <c r="C206" s="641" t="e">
        <f>'PB '!#REF!</f>
        <v>#REF!</v>
      </c>
      <c r="D206" s="641"/>
      <c r="E206" s="641"/>
      <c r="F206" s="641"/>
      <c r="G206" s="189" t="s">
        <v>91</v>
      </c>
      <c r="H206" s="655" t="e">
        <f>'PB '!#REF!</f>
        <v>#REF!</v>
      </c>
      <c r="I206" s="653"/>
      <c r="J206" s="656" t="s">
        <v>92</v>
      </c>
      <c r="K206" s="656"/>
      <c r="L206" s="190"/>
      <c r="M206" s="209"/>
    </row>
    <row r="207" spans="2:13" x14ac:dyDescent="0.25">
      <c r="B207" s="192"/>
      <c r="C207" s="185"/>
      <c r="D207" s="185"/>
      <c r="E207" s="185"/>
      <c r="F207" s="185"/>
      <c r="G207" s="185" t="s">
        <v>65</v>
      </c>
      <c r="H207" s="185"/>
      <c r="I207" s="185"/>
      <c r="J207" s="185"/>
      <c r="K207" s="186"/>
      <c r="L207" s="193"/>
      <c r="M207" s="209"/>
    </row>
    <row r="208" spans="2:13" x14ac:dyDescent="0.25">
      <c r="B208" s="625" t="s">
        <v>93</v>
      </c>
      <c r="C208" s="626"/>
      <c r="D208" s="641" t="s">
        <v>117</v>
      </c>
      <c r="E208" s="641"/>
      <c r="F208" s="641"/>
      <c r="G208" s="186"/>
      <c r="H208" s="186"/>
      <c r="I208" s="185"/>
      <c r="J208" s="626" t="s">
        <v>94</v>
      </c>
      <c r="K208" s="626"/>
      <c r="L208" s="190">
        <f>L204</f>
        <v>0</v>
      </c>
      <c r="M208" s="196"/>
    </row>
    <row r="209" spans="2:13" x14ac:dyDescent="0.25">
      <c r="B209" s="194"/>
      <c r="C209" s="186"/>
      <c r="D209" s="169"/>
      <c r="E209" s="169"/>
      <c r="F209" s="169"/>
      <c r="G209" s="169"/>
      <c r="H209" s="186"/>
      <c r="I209" s="185"/>
      <c r="J209" s="185"/>
      <c r="K209" s="185"/>
      <c r="L209" s="185"/>
      <c r="M209" s="196"/>
    </row>
    <row r="210" spans="2:13" x14ac:dyDescent="0.25">
      <c r="B210" s="625" t="s">
        <v>95</v>
      </c>
      <c r="C210" s="626"/>
      <c r="D210" s="626"/>
      <c r="E210" s="642"/>
      <c r="F210" s="642"/>
      <c r="G210" s="185"/>
      <c r="H210" s="643" t="s">
        <v>66</v>
      </c>
      <c r="I210" s="643"/>
      <c r="J210" s="643"/>
      <c r="K210" s="185" t="s">
        <v>51</v>
      </c>
      <c r="L210" s="217" t="e">
        <f>'PB '!#REF!</f>
        <v>#REF!</v>
      </c>
      <c r="M210" s="196"/>
    </row>
    <row r="211" spans="2:13" x14ac:dyDescent="0.25">
      <c r="B211" s="192"/>
      <c r="C211" s="185"/>
      <c r="D211" s="185"/>
      <c r="E211" s="185"/>
      <c r="F211" s="185"/>
      <c r="G211" s="185"/>
      <c r="H211" s="185"/>
      <c r="I211" s="185"/>
      <c r="J211" s="185"/>
      <c r="K211" s="185"/>
      <c r="L211" s="185"/>
      <c r="M211" s="196"/>
    </row>
    <row r="212" spans="2:13" ht="22.5" x14ac:dyDescent="0.25">
      <c r="B212" s="644" t="s">
        <v>67</v>
      </c>
      <c r="C212" s="645"/>
      <c r="D212" s="645" t="s">
        <v>60</v>
      </c>
      <c r="E212" s="645"/>
      <c r="F212" s="646" t="s">
        <v>61</v>
      </c>
      <c r="G212" s="646"/>
      <c r="H212" s="208" t="s">
        <v>68</v>
      </c>
      <c r="I212" s="208" t="s">
        <v>69</v>
      </c>
      <c r="J212" s="168" t="s">
        <v>51</v>
      </c>
      <c r="K212" s="169"/>
      <c r="L212" s="169"/>
      <c r="M212" s="195"/>
    </row>
    <row r="213" spans="2:13" x14ac:dyDescent="0.25">
      <c r="B213" s="635" t="s">
        <v>70</v>
      </c>
      <c r="C213" s="636"/>
      <c r="D213" s="170">
        <v>1</v>
      </c>
      <c r="E213" s="171">
        <v>43585</v>
      </c>
      <c r="F213" s="172">
        <v>22</v>
      </c>
      <c r="G213" s="171">
        <v>43585</v>
      </c>
      <c r="H213" s="173" t="e">
        <f>'PB '!#REF!</f>
        <v>#REF!</v>
      </c>
      <c r="I213" s="174" t="e">
        <f>'PB '!#REF!</f>
        <v>#REF!</v>
      </c>
      <c r="J213" s="175" t="e">
        <f>I213*H213/30</f>
        <v>#REF!</v>
      </c>
      <c r="K213" s="185"/>
      <c r="L213" s="185"/>
      <c r="M213" s="196"/>
    </row>
    <row r="214" spans="2:13" x14ac:dyDescent="0.25">
      <c r="B214" s="627" t="s">
        <v>71</v>
      </c>
      <c r="C214" s="628"/>
      <c r="D214" s="176">
        <v>1</v>
      </c>
      <c r="E214" s="177">
        <v>43585</v>
      </c>
      <c r="F214" s="172">
        <v>22</v>
      </c>
      <c r="G214" s="177">
        <v>43585</v>
      </c>
      <c r="H214" s="178" t="e">
        <f>H213</f>
        <v>#REF!</v>
      </c>
      <c r="I214" s="174" t="e">
        <f>'PB '!#REF!</f>
        <v>#REF!</v>
      </c>
      <c r="J214" s="175" t="e">
        <f>I214*H214/30</f>
        <v>#REF!</v>
      </c>
      <c r="K214" s="185"/>
      <c r="L214" s="185"/>
      <c r="M214" s="196"/>
    </row>
    <row r="215" spans="2:13" x14ac:dyDescent="0.25">
      <c r="B215" s="629" t="s">
        <v>72</v>
      </c>
      <c r="C215" s="631"/>
      <c r="D215" s="176">
        <v>1</v>
      </c>
      <c r="E215" s="177">
        <v>43585</v>
      </c>
      <c r="F215" s="172">
        <v>22</v>
      </c>
      <c r="G215" s="177">
        <v>43585</v>
      </c>
      <c r="H215" s="178" t="e">
        <f>H214</f>
        <v>#REF!</v>
      </c>
      <c r="I215" s="174" t="e">
        <f>'PB '!#REF!</f>
        <v>#REF!</v>
      </c>
      <c r="J215" s="175" t="e">
        <f>I215*H215/30</f>
        <v>#REF!</v>
      </c>
      <c r="K215" s="185"/>
      <c r="L215" s="185"/>
      <c r="M215" s="196"/>
    </row>
    <row r="216" spans="2:13" x14ac:dyDescent="0.25">
      <c r="B216" s="629" t="s">
        <v>96</v>
      </c>
      <c r="C216" s="631"/>
      <c r="D216" s="176">
        <v>1</v>
      </c>
      <c r="E216" s="177">
        <v>43585</v>
      </c>
      <c r="F216" s="172">
        <v>22</v>
      </c>
      <c r="G216" s="177">
        <v>43585</v>
      </c>
      <c r="H216" s="178" t="e">
        <f>H215</f>
        <v>#REF!</v>
      </c>
      <c r="I216" s="174" t="e">
        <f>'PB '!#REF!</f>
        <v>#REF!</v>
      </c>
      <c r="J216" s="175" t="e">
        <f>I216*H216/30</f>
        <v>#REF!</v>
      </c>
      <c r="K216" s="185"/>
      <c r="L216" s="185"/>
      <c r="M216" s="196"/>
    </row>
    <row r="217" spans="2:13" x14ac:dyDescent="0.25">
      <c r="B217" s="637" t="s">
        <v>74</v>
      </c>
      <c r="C217" s="638"/>
      <c r="D217" s="180"/>
      <c r="E217" s="177"/>
      <c r="F217" s="180"/>
      <c r="G217" s="177"/>
      <c r="H217" s="181"/>
      <c r="I217" s="174" t="e">
        <f>'PB '!#REF!</f>
        <v>#REF!</v>
      </c>
      <c r="J217" s="175" t="e">
        <f>I217</f>
        <v>#REF!</v>
      </c>
      <c r="K217" s="185"/>
      <c r="L217" s="185"/>
      <c r="M217" s="196"/>
    </row>
    <row r="218" spans="2:13" x14ac:dyDescent="0.25">
      <c r="B218" s="627" t="s">
        <v>75</v>
      </c>
      <c r="C218" s="628"/>
      <c r="D218" s="180"/>
      <c r="E218" s="177"/>
      <c r="F218" s="180"/>
      <c r="G218" s="177"/>
      <c r="H218" s="181"/>
      <c r="I218" s="174" t="e">
        <f>'PB '!#REF!</f>
        <v>#REF!</v>
      </c>
      <c r="J218" s="175" t="e">
        <f>I218</f>
        <v>#REF!</v>
      </c>
      <c r="K218" s="185"/>
      <c r="L218" s="185"/>
      <c r="M218" s="196"/>
    </row>
    <row r="219" spans="2:13" x14ac:dyDescent="0.25">
      <c r="B219" s="192"/>
      <c r="C219" s="185"/>
      <c r="D219" s="185"/>
      <c r="E219" s="185"/>
      <c r="F219" s="639" t="s">
        <v>76</v>
      </c>
      <c r="G219" s="639"/>
      <c r="H219" s="639"/>
      <c r="I219" s="640"/>
      <c r="J219" s="182" t="e">
        <f>SUM(J213:J218)</f>
        <v>#REF!</v>
      </c>
      <c r="K219" s="193" t="s">
        <v>51</v>
      </c>
      <c r="L219" s="183" t="e">
        <f>J219</f>
        <v>#REF!</v>
      </c>
      <c r="M219" s="196"/>
    </row>
    <row r="220" spans="2:13" ht="15.75" thickBot="1" x14ac:dyDescent="0.3">
      <c r="B220" s="192"/>
      <c r="C220" s="185"/>
      <c r="D220" s="185"/>
      <c r="E220" s="185"/>
      <c r="F220" s="185"/>
      <c r="G220" s="185"/>
      <c r="H220" s="185"/>
      <c r="I220" s="185"/>
      <c r="J220" s="185"/>
      <c r="K220" s="185"/>
      <c r="L220" s="184" t="e">
        <f>L210+L219</f>
        <v>#REF!</v>
      </c>
      <c r="M220" s="196"/>
    </row>
    <row r="221" spans="2:13" x14ac:dyDescent="0.25">
      <c r="B221" s="192"/>
      <c r="C221" s="185"/>
      <c r="D221" s="185"/>
      <c r="E221" s="185"/>
      <c r="F221" s="185"/>
      <c r="G221" s="185"/>
      <c r="H221" s="185"/>
      <c r="I221" s="185"/>
      <c r="J221" s="185"/>
      <c r="K221" s="185"/>
      <c r="L221" s="197"/>
      <c r="M221" s="196"/>
    </row>
    <row r="222" spans="2:13" x14ac:dyDescent="0.25">
      <c r="B222" s="192"/>
      <c r="C222" s="185"/>
      <c r="D222" s="185"/>
      <c r="E222" s="185"/>
      <c r="F222" s="185"/>
      <c r="G222" s="185"/>
      <c r="H222" s="185"/>
      <c r="I222" s="185"/>
      <c r="J222" s="185"/>
      <c r="K222" s="185"/>
      <c r="L222" s="197"/>
      <c r="M222" s="196"/>
    </row>
    <row r="223" spans="2:13" x14ac:dyDescent="0.25">
      <c r="B223" s="627" t="s">
        <v>77</v>
      </c>
      <c r="C223" s="628"/>
      <c r="D223" s="628"/>
      <c r="E223" s="628"/>
      <c r="F223" s="628"/>
      <c r="G223" s="628"/>
      <c r="H223" s="628"/>
      <c r="I223" s="628"/>
      <c r="J223" s="198"/>
      <c r="K223" s="185"/>
      <c r="L223" s="197"/>
      <c r="M223" s="196"/>
    </row>
    <row r="224" spans="2:13" x14ac:dyDescent="0.25">
      <c r="B224" s="627" t="s">
        <v>78</v>
      </c>
      <c r="C224" s="628"/>
      <c r="D224" s="628"/>
      <c r="E224" s="628"/>
      <c r="F224" s="628"/>
      <c r="G224" s="628"/>
      <c r="H224" s="628"/>
      <c r="I224" s="628"/>
      <c r="J224" s="179" t="e">
        <f>'PB '!#REF!</f>
        <v>#REF!</v>
      </c>
      <c r="K224" s="185"/>
      <c r="L224" s="197"/>
      <c r="M224" s="196"/>
    </row>
    <row r="225" spans="2:13" x14ac:dyDescent="0.25">
      <c r="B225" s="627" t="s">
        <v>79</v>
      </c>
      <c r="C225" s="628"/>
      <c r="D225" s="628"/>
      <c r="E225" s="628"/>
      <c r="F225" s="628"/>
      <c r="G225" s="628"/>
      <c r="H225" s="628"/>
      <c r="I225" s="628"/>
      <c r="J225" s="179" t="e">
        <f>'PB '!#REF!</f>
        <v>#REF!</v>
      </c>
      <c r="K225" s="185"/>
      <c r="L225" s="197"/>
      <c r="M225" s="196"/>
    </row>
    <row r="226" spans="2:13" x14ac:dyDescent="0.25">
      <c r="B226" s="627" t="s">
        <v>80</v>
      </c>
      <c r="C226" s="628"/>
      <c r="D226" s="628"/>
      <c r="E226" s="628"/>
      <c r="F226" s="628"/>
      <c r="G226" s="628"/>
      <c r="H226" s="628"/>
      <c r="I226" s="628"/>
      <c r="J226" s="179" t="e">
        <f>'PB '!#REF!</f>
        <v>#REF!</v>
      </c>
      <c r="K226" s="185"/>
      <c r="L226" s="197"/>
      <c r="M226" s="196"/>
    </row>
    <row r="227" spans="2:13" x14ac:dyDescent="0.25">
      <c r="B227" s="627" t="s">
        <v>81</v>
      </c>
      <c r="C227" s="628"/>
      <c r="D227" s="628"/>
      <c r="E227" s="628"/>
      <c r="F227" s="628"/>
      <c r="G227" s="628"/>
      <c r="H227" s="628"/>
      <c r="I227" s="628"/>
      <c r="J227" s="179" t="e">
        <f>'PB '!#REF!</f>
        <v>#REF!</v>
      </c>
      <c r="K227" s="185"/>
      <c r="L227" s="197"/>
      <c r="M227" s="196"/>
    </row>
    <row r="228" spans="2:13" x14ac:dyDescent="0.25">
      <c r="B228" s="629" t="s">
        <v>97</v>
      </c>
      <c r="C228" s="630"/>
      <c r="D228" s="630"/>
      <c r="E228" s="630"/>
      <c r="F228" s="630"/>
      <c r="G228" s="630"/>
      <c r="H228" s="630"/>
      <c r="I228" s="631"/>
      <c r="J228" s="179" t="e">
        <f>'PB '!#REF!</f>
        <v>#REF!</v>
      </c>
      <c r="K228" s="185"/>
      <c r="L228" s="197"/>
      <c r="M228" s="196"/>
    </row>
    <row r="229" spans="2:13" ht="15.75" thickBot="1" x14ac:dyDescent="0.3">
      <c r="B229" s="627"/>
      <c r="C229" s="628"/>
      <c r="D229" s="628"/>
      <c r="E229" s="628"/>
      <c r="F229" s="628"/>
      <c r="G229" s="628"/>
      <c r="H229" s="628"/>
      <c r="I229" s="628"/>
      <c r="J229" s="179"/>
      <c r="K229" s="185"/>
      <c r="L229" s="197"/>
      <c r="M229" s="196"/>
    </row>
    <row r="230" spans="2:13" ht="15.75" thickBot="1" x14ac:dyDescent="0.3">
      <c r="B230" s="192"/>
      <c r="C230" s="185"/>
      <c r="D230" s="185"/>
      <c r="E230" s="185"/>
      <c r="F230" s="632" t="s">
        <v>83</v>
      </c>
      <c r="G230" s="633"/>
      <c r="H230" s="633"/>
      <c r="I230" s="634"/>
      <c r="J230" s="179" t="e">
        <f>SUM(J224:J228)</f>
        <v>#REF!</v>
      </c>
      <c r="K230" s="185" t="s">
        <v>51</v>
      </c>
      <c r="L230" s="199" t="e">
        <f>J230</f>
        <v>#REF!</v>
      </c>
      <c r="M230" s="196"/>
    </row>
    <row r="231" spans="2:13" x14ac:dyDescent="0.25">
      <c r="B231" s="192"/>
      <c r="C231" s="185"/>
      <c r="D231" s="185"/>
      <c r="E231" s="185"/>
      <c r="F231" s="185"/>
      <c r="G231" s="185"/>
      <c r="H231" s="185"/>
      <c r="I231" s="185"/>
      <c r="J231" s="185"/>
      <c r="K231" s="185"/>
      <c r="L231" s="197"/>
      <c r="M231" s="196"/>
    </row>
    <row r="232" spans="2:13" x14ac:dyDescent="0.25">
      <c r="B232" s="192"/>
      <c r="C232" s="185"/>
      <c r="D232" s="185"/>
      <c r="E232" s="185"/>
      <c r="F232" s="185"/>
      <c r="G232" s="185"/>
      <c r="H232" s="185"/>
      <c r="I232" s="185"/>
      <c r="J232" s="185"/>
      <c r="K232" s="185"/>
      <c r="L232" s="197"/>
      <c r="M232" s="196"/>
    </row>
    <row r="233" spans="2:13" ht="21" customHeight="1" thickBot="1" x14ac:dyDescent="0.3">
      <c r="B233" s="192"/>
      <c r="C233" s="185"/>
      <c r="D233" s="185"/>
      <c r="E233" s="185"/>
      <c r="F233" s="202" t="s">
        <v>98</v>
      </c>
      <c r="G233" s="202"/>
      <c r="H233" s="202"/>
      <c r="I233" s="202"/>
      <c r="J233" s="202"/>
      <c r="K233" s="185" t="s">
        <v>51</v>
      </c>
      <c r="L233" s="200" t="e">
        <f>L220-L230</f>
        <v>#REF!</v>
      </c>
      <c r="M233" s="196"/>
    </row>
    <row r="234" spans="2:13" ht="21" hidden="1" customHeight="1" x14ac:dyDescent="0.25">
      <c r="B234" s="192"/>
      <c r="C234" s="185"/>
      <c r="D234" s="185"/>
      <c r="E234" s="185"/>
      <c r="F234" s="185"/>
      <c r="G234" s="185"/>
      <c r="H234" s="185"/>
      <c r="I234" s="185"/>
      <c r="J234" s="185"/>
      <c r="K234" s="185"/>
      <c r="L234" s="201"/>
      <c r="M234" s="196"/>
    </row>
    <row r="235" spans="2:13" ht="21" hidden="1" customHeight="1" x14ac:dyDescent="0.25">
      <c r="B235" s="192"/>
      <c r="C235" s="185"/>
      <c r="D235" s="185"/>
      <c r="E235" s="185"/>
      <c r="F235" s="185"/>
      <c r="G235" s="185"/>
      <c r="H235" s="185"/>
      <c r="I235" s="185"/>
      <c r="J235" s="185"/>
      <c r="K235" s="185"/>
      <c r="L235" s="201"/>
      <c r="M235" s="196"/>
    </row>
    <row r="236" spans="2:13" ht="21" customHeight="1" x14ac:dyDescent="0.25">
      <c r="B236" s="203"/>
      <c r="C236" s="185"/>
      <c r="D236" s="185"/>
      <c r="E236" s="185"/>
      <c r="F236" s="624" t="s">
        <v>99</v>
      </c>
      <c r="G236" s="624"/>
      <c r="H236" s="624"/>
      <c r="I236" s="624"/>
      <c r="J236" s="624"/>
      <c r="K236" s="185" t="s">
        <v>51</v>
      </c>
      <c r="L236" s="183" t="e">
        <f>'PB '!#REF!</f>
        <v>#REF!</v>
      </c>
      <c r="M236" s="196"/>
    </row>
    <row r="237" spans="2:13" ht="21" hidden="1" customHeight="1" x14ac:dyDescent="0.25">
      <c r="B237" s="203"/>
      <c r="C237" s="185"/>
      <c r="D237" s="185"/>
      <c r="E237" s="185"/>
      <c r="F237" s="185"/>
      <c r="G237" s="185"/>
      <c r="H237" s="185"/>
      <c r="I237" s="185"/>
      <c r="J237" s="185"/>
      <c r="K237" s="185"/>
      <c r="L237" s="197"/>
      <c r="M237" s="196"/>
    </row>
    <row r="238" spans="2:13" ht="21" customHeight="1" x14ac:dyDescent="0.25">
      <c r="B238" s="203"/>
      <c r="C238" s="185"/>
      <c r="D238" s="185"/>
      <c r="E238" s="185"/>
      <c r="F238" s="624" t="s">
        <v>100</v>
      </c>
      <c r="G238" s="624"/>
      <c r="H238" s="624"/>
      <c r="I238" s="624"/>
      <c r="J238" s="624"/>
      <c r="K238" s="185" t="s">
        <v>51</v>
      </c>
      <c r="L238" s="183" t="e">
        <f>L233-L236</f>
        <v>#REF!</v>
      </c>
      <c r="M238" s="196"/>
    </row>
    <row r="239" spans="2:13" x14ac:dyDescent="0.25">
      <c r="B239" s="620"/>
      <c r="C239" s="621"/>
      <c r="D239" s="621"/>
      <c r="E239" s="621"/>
      <c r="F239" s="621"/>
      <c r="G239" s="621"/>
      <c r="H239" s="621"/>
      <c r="I239" s="621"/>
      <c r="J239" s="621"/>
      <c r="K239" s="621"/>
      <c r="L239" s="621"/>
      <c r="M239" s="622"/>
    </row>
    <row r="240" spans="2:13" x14ac:dyDescent="0.25">
      <c r="B240" s="617" t="s">
        <v>101</v>
      </c>
      <c r="C240" s="618"/>
      <c r="D240" s="618"/>
      <c r="E240" s="618"/>
      <c r="F240" s="618"/>
      <c r="G240" s="618"/>
      <c r="H240" s="618"/>
      <c r="I240" s="618"/>
      <c r="J240" s="618"/>
      <c r="K240" s="618"/>
      <c r="L240" s="618"/>
      <c r="M240" s="619"/>
    </row>
    <row r="241" spans="2:13" x14ac:dyDescent="0.25">
      <c r="B241" s="617" t="s">
        <v>102</v>
      </c>
      <c r="C241" s="618"/>
      <c r="D241" s="618"/>
      <c r="E241" s="618"/>
      <c r="F241" s="618"/>
      <c r="G241" s="618"/>
      <c r="H241" s="618"/>
      <c r="I241" s="618"/>
      <c r="J241" s="618"/>
      <c r="K241" s="618"/>
      <c r="L241" s="618"/>
      <c r="M241" s="210"/>
    </row>
    <row r="242" spans="2:13" x14ac:dyDescent="0.25">
      <c r="B242" s="205"/>
      <c r="C242" s="206"/>
      <c r="D242" s="206"/>
      <c r="E242" s="206"/>
      <c r="F242" s="206"/>
      <c r="G242" s="206"/>
      <c r="H242" s="206"/>
      <c r="I242" s="206"/>
      <c r="J242" s="206"/>
      <c r="K242" s="206"/>
      <c r="L242" s="206"/>
      <c r="M242" s="207"/>
    </row>
    <row r="243" spans="2:13" x14ac:dyDescent="0.25">
      <c r="B243" s="620"/>
      <c r="C243" s="621"/>
      <c r="D243" s="621"/>
      <c r="E243" s="621"/>
      <c r="F243" s="621"/>
      <c r="G243" s="621"/>
      <c r="H243" s="621"/>
      <c r="I243" s="621"/>
      <c r="J243" s="621"/>
      <c r="K243" s="621"/>
      <c r="L243" s="621"/>
      <c r="M243" s="622"/>
    </row>
    <row r="244" spans="2:13" x14ac:dyDescent="0.25">
      <c r="B244" s="192"/>
      <c r="C244" s="185"/>
      <c r="D244" s="185"/>
      <c r="E244" s="185"/>
      <c r="F244" s="185"/>
      <c r="G244" s="185"/>
      <c r="H244" s="185"/>
      <c r="I244" s="185"/>
      <c r="J244" s="185"/>
      <c r="K244" s="185"/>
      <c r="L244" s="185"/>
      <c r="M244" s="196"/>
    </row>
    <row r="245" spans="2:13" x14ac:dyDescent="0.25">
      <c r="B245" s="192"/>
      <c r="C245" s="185"/>
      <c r="D245" s="185"/>
      <c r="E245" s="185"/>
      <c r="F245" s="185"/>
      <c r="G245" s="185"/>
      <c r="H245" s="185"/>
      <c r="I245" s="185"/>
      <c r="J245" s="185"/>
      <c r="K245" s="185"/>
      <c r="L245" s="185"/>
      <c r="M245" s="196"/>
    </row>
    <row r="246" spans="2:13" x14ac:dyDescent="0.25">
      <c r="B246" s="623"/>
      <c r="C246" s="624"/>
      <c r="D246" s="624"/>
      <c r="E246" s="185"/>
      <c r="F246" s="185"/>
      <c r="G246" s="185"/>
      <c r="H246" s="185"/>
      <c r="I246" s="185"/>
      <c r="J246" s="624"/>
      <c r="K246" s="624"/>
      <c r="L246" s="624"/>
      <c r="M246" s="196"/>
    </row>
    <row r="247" spans="2:13" x14ac:dyDescent="0.25">
      <c r="B247" s="625" t="s">
        <v>87</v>
      </c>
      <c r="C247" s="626"/>
      <c r="D247" s="626"/>
      <c r="E247" s="185"/>
      <c r="F247" s="185"/>
      <c r="G247" s="185"/>
      <c r="H247" s="185"/>
      <c r="I247" s="211" t="s">
        <v>88</v>
      </c>
      <c r="J247" s="211"/>
      <c r="K247" s="211"/>
      <c r="L247" s="189"/>
      <c r="M247" s="196"/>
    </row>
    <row r="248" spans="2:13" x14ac:dyDescent="0.25">
      <c r="B248" s="192" t="s">
        <v>44</v>
      </c>
      <c r="C248" s="185"/>
      <c r="D248" s="185"/>
      <c r="E248" s="185"/>
      <c r="F248" s="185"/>
      <c r="G248" s="185"/>
      <c r="H248" s="185"/>
      <c r="I248" s="185"/>
      <c r="J248" s="626"/>
      <c r="K248" s="626"/>
      <c r="L248" s="626"/>
      <c r="M248" s="196"/>
    </row>
    <row r="249" spans="2:13" ht="15.75" thickBot="1" x14ac:dyDescent="0.3">
      <c r="B249" s="212" t="s">
        <v>64</v>
      </c>
      <c r="C249" s="215" t="e">
        <f>C206</f>
        <v>#REF!</v>
      </c>
      <c r="D249" s="215"/>
      <c r="E249" s="215"/>
      <c r="F249" s="213"/>
      <c r="G249" s="213"/>
      <c r="H249" s="213" t="s">
        <v>103</v>
      </c>
      <c r="I249" s="219" t="s">
        <v>118</v>
      </c>
      <c r="J249" s="215">
        <f>'PB '!C7</f>
        <v>0</v>
      </c>
      <c r="K249" s="215"/>
      <c r="L249" s="215"/>
      <c r="M249" s="214"/>
    </row>
  </sheetData>
  <mergeCells count="205">
    <mergeCell ref="H4:I4"/>
    <mergeCell ref="B10:D10"/>
    <mergeCell ref="E10:F10"/>
    <mergeCell ref="B2:M2"/>
    <mergeCell ref="B3:M3"/>
    <mergeCell ref="C4:E4"/>
    <mergeCell ref="C6:F6"/>
    <mergeCell ref="H10:J10"/>
    <mergeCell ref="H6:I6"/>
    <mergeCell ref="J6:K6"/>
    <mergeCell ref="J8:K8"/>
    <mergeCell ref="B8:C8"/>
    <mergeCell ref="C56:F56"/>
    <mergeCell ref="H56:I56"/>
    <mergeCell ref="J56:K56"/>
    <mergeCell ref="B39:M39"/>
    <mergeCell ref="B40:M40"/>
    <mergeCell ref="B28:I28"/>
    <mergeCell ref="B24:I24"/>
    <mergeCell ref="B12:C12"/>
    <mergeCell ref="D12:E12"/>
    <mergeCell ref="F12:G12"/>
    <mergeCell ref="B29:I29"/>
    <mergeCell ref="B25:I25"/>
    <mergeCell ref="B13:C13"/>
    <mergeCell ref="B43:M43"/>
    <mergeCell ref="B14:C14"/>
    <mergeCell ref="B15:C15"/>
    <mergeCell ref="B16:C16"/>
    <mergeCell ref="B17:C17"/>
    <mergeCell ref="F30:I30"/>
    <mergeCell ref="B18:C18"/>
    <mergeCell ref="F19:I19"/>
    <mergeCell ref="B23:I23"/>
    <mergeCell ref="B26:I26"/>
    <mergeCell ref="B27:I27"/>
    <mergeCell ref="B41:L41"/>
    <mergeCell ref="D8:F8"/>
    <mergeCell ref="B52:M52"/>
    <mergeCell ref="B53:M53"/>
    <mergeCell ref="B47:D47"/>
    <mergeCell ref="J48:L48"/>
    <mergeCell ref="B46:D46"/>
    <mergeCell ref="J46:L46"/>
    <mergeCell ref="C54:E54"/>
    <mergeCell ref="H54:I54"/>
    <mergeCell ref="F36:J36"/>
    <mergeCell ref="F38:J38"/>
    <mergeCell ref="B58:C58"/>
    <mergeCell ref="D58:F58"/>
    <mergeCell ref="J58:K58"/>
    <mergeCell ref="B60:D60"/>
    <mergeCell ref="E60:F60"/>
    <mergeCell ref="H60:J60"/>
    <mergeCell ref="B62:C62"/>
    <mergeCell ref="D62:E62"/>
    <mergeCell ref="F62:G62"/>
    <mergeCell ref="B63:C63"/>
    <mergeCell ref="B64:C64"/>
    <mergeCell ref="B65:C65"/>
    <mergeCell ref="B66:C66"/>
    <mergeCell ref="B67:C67"/>
    <mergeCell ref="B68:C68"/>
    <mergeCell ref="F69:I69"/>
    <mergeCell ref="B73:I73"/>
    <mergeCell ref="B74:I74"/>
    <mergeCell ref="B75:I75"/>
    <mergeCell ref="B76:I76"/>
    <mergeCell ref="B77:I77"/>
    <mergeCell ref="B78:I78"/>
    <mergeCell ref="B79:I79"/>
    <mergeCell ref="F80:I80"/>
    <mergeCell ref="F86:J86"/>
    <mergeCell ref="F88:J88"/>
    <mergeCell ref="B89:M89"/>
    <mergeCell ref="B90:M90"/>
    <mergeCell ref="B91:L91"/>
    <mergeCell ref="B93:M93"/>
    <mergeCell ref="B96:D96"/>
    <mergeCell ref="J96:L96"/>
    <mergeCell ref="B97:D97"/>
    <mergeCell ref="J98:L98"/>
    <mergeCell ref="B102:M102"/>
    <mergeCell ref="B103:M103"/>
    <mergeCell ref="C104:E104"/>
    <mergeCell ref="H104:I104"/>
    <mergeCell ref="C106:F106"/>
    <mergeCell ref="H106:I106"/>
    <mergeCell ref="J106:K106"/>
    <mergeCell ref="B108:C108"/>
    <mergeCell ref="D108:F108"/>
    <mergeCell ref="J108:K108"/>
    <mergeCell ref="B110:D110"/>
    <mergeCell ref="E110:F110"/>
    <mergeCell ref="H110:J110"/>
    <mergeCell ref="B112:C112"/>
    <mergeCell ref="D112:E112"/>
    <mergeCell ref="F112:G112"/>
    <mergeCell ref="B113:C113"/>
    <mergeCell ref="B114:C114"/>
    <mergeCell ref="B115:C115"/>
    <mergeCell ref="B116:C116"/>
    <mergeCell ref="B117:C117"/>
    <mergeCell ref="B118:C118"/>
    <mergeCell ref="F119:I119"/>
    <mergeCell ref="B123:I123"/>
    <mergeCell ref="B124:I124"/>
    <mergeCell ref="B125:I125"/>
    <mergeCell ref="B126:I126"/>
    <mergeCell ref="B127:I127"/>
    <mergeCell ref="B128:I128"/>
    <mergeCell ref="B129:I129"/>
    <mergeCell ref="F130:I130"/>
    <mergeCell ref="F136:J136"/>
    <mergeCell ref="F138:J138"/>
    <mergeCell ref="B139:M139"/>
    <mergeCell ref="B140:M140"/>
    <mergeCell ref="B141:L141"/>
    <mergeCell ref="B143:M143"/>
    <mergeCell ref="B146:D146"/>
    <mergeCell ref="J146:L146"/>
    <mergeCell ref="B147:D147"/>
    <mergeCell ref="J148:L148"/>
    <mergeCell ref="B152:M152"/>
    <mergeCell ref="B153:M153"/>
    <mergeCell ref="C154:E154"/>
    <mergeCell ref="H154:I154"/>
    <mergeCell ref="C156:F156"/>
    <mergeCell ref="H156:I156"/>
    <mergeCell ref="J156:K156"/>
    <mergeCell ref="B158:C158"/>
    <mergeCell ref="D158:F158"/>
    <mergeCell ref="J158:K158"/>
    <mergeCell ref="B160:D160"/>
    <mergeCell ref="E160:F160"/>
    <mergeCell ref="H160:J160"/>
    <mergeCell ref="B162:C162"/>
    <mergeCell ref="D162:E162"/>
    <mergeCell ref="F162:G162"/>
    <mergeCell ref="B163:C163"/>
    <mergeCell ref="B164:C164"/>
    <mergeCell ref="B165:C165"/>
    <mergeCell ref="B166:C166"/>
    <mergeCell ref="B167:C167"/>
    <mergeCell ref="B168:C168"/>
    <mergeCell ref="F169:I169"/>
    <mergeCell ref="B173:I173"/>
    <mergeCell ref="B174:I174"/>
    <mergeCell ref="B175:I175"/>
    <mergeCell ref="B176:I176"/>
    <mergeCell ref="B177:I177"/>
    <mergeCell ref="B178:I178"/>
    <mergeCell ref="B179:I179"/>
    <mergeCell ref="F180:I180"/>
    <mergeCell ref="F186:J186"/>
    <mergeCell ref="F188:J188"/>
    <mergeCell ref="B189:M189"/>
    <mergeCell ref="B190:M190"/>
    <mergeCell ref="B191:L191"/>
    <mergeCell ref="B193:M193"/>
    <mergeCell ref="B196:D196"/>
    <mergeCell ref="J196:L196"/>
    <mergeCell ref="B197:D197"/>
    <mergeCell ref="J198:L198"/>
    <mergeCell ref="B202:M202"/>
    <mergeCell ref="B203:M203"/>
    <mergeCell ref="C204:E204"/>
    <mergeCell ref="H204:I204"/>
    <mergeCell ref="C206:F206"/>
    <mergeCell ref="H206:I206"/>
    <mergeCell ref="J206:K206"/>
    <mergeCell ref="B208:C208"/>
    <mergeCell ref="D208:F208"/>
    <mergeCell ref="J208:K208"/>
    <mergeCell ref="B210:D210"/>
    <mergeCell ref="E210:F210"/>
    <mergeCell ref="H210:J210"/>
    <mergeCell ref="B212:C212"/>
    <mergeCell ref="D212:E212"/>
    <mergeCell ref="F212:G212"/>
    <mergeCell ref="B213:C213"/>
    <mergeCell ref="B214:C214"/>
    <mergeCell ref="B215:C215"/>
    <mergeCell ref="B216:C216"/>
    <mergeCell ref="B217:C217"/>
    <mergeCell ref="B218:C218"/>
    <mergeCell ref="F219:I219"/>
    <mergeCell ref="B223:I223"/>
    <mergeCell ref="B224:I224"/>
    <mergeCell ref="B240:M240"/>
    <mergeCell ref="B241:L241"/>
    <mergeCell ref="B243:M243"/>
    <mergeCell ref="B246:D246"/>
    <mergeCell ref="J246:L246"/>
    <mergeCell ref="B247:D247"/>
    <mergeCell ref="J248:L248"/>
    <mergeCell ref="B225:I225"/>
    <mergeCell ref="B226:I226"/>
    <mergeCell ref="B227:I227"/>
    <mergeCell ref="B228:I228"/>
    <mergeCell ref="B229:I229"/>
    <mergeCell ref="F230:I230"/>
    <mergeCell ref="F236:J236"/>
    <mergeCell ref="F238:J238"/>
    <mergeCell ref="B239:M23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R699"/>
  <sheetViews>
    <sheetView topLeftCell="A238" zoomScale="70" zoomScaleNormal="70" zoomScaleSheetLayoutView="70" workbookViewId="0">
      <selection activeCell="J308" sqref="J308"/>
    </sheetView>
  </sheetViews>
  <sheetFormatPr defaultRowHeight="25.35" customHeight="1" x14ac:dyDescent="0.25"/>
  <cols>
    <col min="1" max="1" width="2.42578125" customWidth="1"/>
    <col min="2" max="2" width="18.5703125" customWidth="1"/>
    <col min="3" max="3" width="34" customWidth="1"/>
    <col min="4" max="4" width="9.85546875" bestFit="1" customWidth="1"/>
    <col min="5" max="5" width="17" customWidth="1"/>
    <col min="6" max="6" width="13.42578125" customWidth="1"/>
    <col min="7" max="7" width="11.5703125" customWidth="1"/>
    <col min="8" max="8" width="14.5703125" customWidth="1"/>
    <col min="9" max="9" width="16.5703125" customWidth="1"/>
    <col min="10" max="10" width="23.42578125" customWidth="1"/>
    <col min="11" max="11" width="7.42578125" customWidth="1"/>
    <col min="12" max="12" width="13.42578125" customWidth="1"/>
    <col min="13" max="13" width="8.42578125" customWidth="1"/>
    <col min="18" max="18" width="21.42578125" customWidth="1"/>
  </cols>
  <sheetData>
    <row r="1" spans="2:18" ht="15" customHeight="1" thickBot="1" x14ac:dyDescent="0.3"/>
    <row r="2" spans="2:18" ht="30" customHeight="1" x14ac:dyDescent="0.3">
      <c r="B2" s="584"/>
      <c r="C2" s="585"/>
      <c r="D2" s="585"/>
      <c r="E2" s="585"/>
      <c r="F2" s="585"/>
      <c r="G2" s="585"/>
      <c r="H2" s="585"/>
      <c r="I2" s="585"/>
      <c r="J2" s="585"/>
      <c r="K2" s="585"/>
      <c r="L2" s="585"/>
      <c r="M2" s="586"/>
    </row>
    <row r="3" spans="2:18" ht="30" customHeight="1" x14ac:dyDescent="0.3">
      <c r="B3" s="587" t="s">
        <v>62</v>
      </c>
      <c r="C3" s="588"/>
      <c r="D3" s="588"/>
      <c r="E3" s="588"/>
      <c r="F3" s="588"/>
      <c r="G3" s="588"/>
      <c r="H3" s="588"/>
      <c r="I3" s="588"/>
      <c r="J3" s="588"/>
      <c r="K3" s="588"/>
      <c r="L3" s="588"/>
      <c r="M3" s="589"/>
    </row>
    <row r="4" spans="2:18" ht="30" customHeight="1" x14ac:dyDescent="0.3">
      <c r="B4" s="95" t="s">
        <v>63</v>
      </c>
      <c r="C4" s="570" t="str">
        <f>+'PB '!D1</f>
        <v>Vessel name</v>
      </c>
      <c r="D4" s="570"/>
      <c r="E4" s="570"/>
      <c r="F4" s="96"/>
      <c r="G4" s="570"/>
      <c r="H4" s="570"/>
      <c r="I4" s="570"/>
      <c r="J4" s="96" t="s">
        <v>44</v>
      </c>
      <c r="K4" s="97"/>
      <c r="L4" s="582"/>
      <c r="M4" s="583"/>
    </row>
    <row r="5" spans="2:18" ht="30" customHeight="1" x14ac:dyDescent="0.3">
      <c r="B5" s="98"/>
      <c r="C5" s="96"/>
      <c r="D5" s="96"/>
      <c r="E5" s="99"/>
      <c r="F5" s="100"/>
      <c r="G5" s="100"/>
      <c r="H5" s="100"/>
      <c r="I5" s="96"/>
      <c r="J5" s="96"/>
      <c r="K5" s="97"/>
      <c r="L5" s="97"/>
      <c r="M5" s="101"/>
    </row>
    <row r="6" spans="2:18" ht="30" customHeight="1" x14ac:dyDescent="0.3">
      <c r="B6" s="95" t="s">
        <v>64</v>
      </c>
      <c r="C6" s="570">
        <f>'PB '!C34</f>
        <v>0</v>
      </c>
      <c r="D6" s="570"/>
      <c r="E6" s="570"/>
      <c r="F6" s="570"/>
      <c r="G6" s="102"/>
      <c r="H6" s="96" t="s">
        <v>21</v>
      </c>
      <c r="I6" s="603" t="str">
        <f>'PB '!D34</f>
        <v>Master</v>
      </c>
      <c r="J6" s="570"/>
      <c r="K6" s="96"/>
      <c r="L6" s="582"/>
      <c r="M6" s="583"/>
    </row>
    <row r="7" spans="2:18" ht="30" customHeight="1" x14ac:dyDescent="0.3">
      <c r="B7" s="95"/>
      <c r="C7" s="96"/>
      <c r="D7" s="96"/>
      <c r="E7" s="96"/>
      <c r="F7" s="96"/>
      <c r="G7" s="96" t="s">
        <v>65</v>
      </c>
      <c r="H7" s="96"/>
      <c r="I7" s="96"/>
      <c r="J7" s="96"/>
      <c r="K7" s="96"/>
      <c r="L7" s="96"/>
      <c r="M7" s="101"/>
    </row>
    <row r="8" spans="2:18" ht="30" customHeight="1" x14ac:dyDescent="0.3">
      <c r="B8" s="95"/>
      <c r="C8" s="96"/>
      <c r="D8" s="96"/>
      <c r="E8" s="96"/>
      <c r="F8" s="96"/>
      <c r="G8" s="96" t="s">
        <v>44</v>
      </c>
      <c r="H8" s="96"/>
      <c r="I8" s="96"/>
      <c r="J8" s="96"/>
      <c r="K8" s="96"/>
      <c r="L8" s="96"/>
      <c r="M8" s="101"/>
    </row>
    <row r="9" spans="2:18" ht="30" customHeight="1" x14ac:dyDescent="0.3">
      <c r="B9" s="95"/>
      <c r="C9" s="96"/>
      <c r="D9" s="96"/>
      <c r="E9" s="96"/>
      <c r="F9" s="96"/>
      <c r="G9" s="103" t="s">
        <v>66</v>
      </c>
      <c r="H9" s="104"/>
      <c r="I9" s="103"/>
      <c r="J9" s="103"/>
      <c r="K9" s="96" t="s">
        <v>51</v>
      </c>
      <c r="L9" s="105">
        <f>'PB '!V34</f>
        <v>0</v>
      </c>
      <c r="M9" s="101"/>
    </row>
    <row r="10" spans="2:18" ht="30" customHeight="1" x14ac:dyDescent="0.3">
      <c r="B10" s="95"/>
      <c r="C10" s="96"/>
      <c r="D10" s="96"/>
      <c r="E10" s="96"/>
      <c r="F10" s="96"/>
      <c r="G10" s="96"/>
      <c r="H10" s="96"/>
      <c r="I10" s="96"/>
      <c r="J10" s="96"/>
      <c r="K10" s="96"/>
      <c r="L10" s="96"/>
      <c r="M10" s="101"/>
    </row>
    <row r="11" spans="2:18" ht="30" customHeight="1" x14ac:dyDescent="0.3">
      <c r="B11" s="590" t="s">
        <v>67</v>
      </c>
      <c r="C11" s="591"/>
      <c r="D11" s="592" t="s">
        <v>60</v>
      </c>
      <c r="E11" s="593"/>
      <c r="F11" s="579" t="s">
        <v>61</v>
      </c>
      <c r="G11" s="580"/>
      <c r="H11" s="106" t="s">
        <v>68</v>
      </c>
      <c r="I11" s="107" t="s">
        <v>69</v>
      </c>
      <c r="J11" s="106" t="s">
        <v>51</v>
      </c>
      <c r="K11" s="108"/>
      <c r="L11" s="108"/>
      <c r="M11" s="109"/>
    </row>
    <row r="12" spans="2:18" ht="30" customHeight="1" x14ac:dyDescent="0.3">
      <c r="B12" s="560" t="s">
        <v>70</v>
      </c>
      <c r="C12" s="581"/>
      <c r="D12" s="110">
        <f>'PB '!E34</f>
        <v>1</v>
      </c>
      <c r="E12" s="111">
        <f>'PB '!C1</f>
        <v>0</v>
      </c>
      <c r="F12" s="112">
        <f>'PB '!F34</f>
        <v>29</v>
      </c>
      <c r="G12" s="111">
        <f>'PB '!C1</f>
        <v>0</v>
      </c>
      <c r="H12" s="113">
        <f>'PB '!G34</f>
        <v>29</v>
      </c>
      <c r="I12" s="114">
        <v>2267</v>
      </c>
      <c r="J12" s="115">
        <f>I12/30*H12</f>
        <v>2191.4333333333334</v>
      </c>
      <c r="K12" s="96"/>
      <c r="L12" s="96"/>
      <c r="M12" s="101"/>
    </row>
    <row r="13" spans="2:18" ht="30" customHeight="1" x14ac:dyDescent="0.3">
      <c r="B13" s="560" t="s">
        <v>71</v>
      </c>
      <c r="C13" s="581"/>
      <c r="D13" s="110">
        <f>'PB '!E34</f>
        <v>1</v>
      </c>
      <c r="E13" s="111">
        <f>'PB '!C1</f>
        <v>0</v>
      </c>
      <c r="F13" s="112">
        <f>'PB '!F34</f>
        <v>29</v>
      </c>
      <c r="G13" s="111">
        <f>'PB '!C1</f>
        <v>0</v>
      </c>
      <c r="H13" s="113">
        <f>'PB '!G34</f>
        <v>29</v>
      </c>
      <c r="I13" s="114">
        <v>1417</v>
      </c>
      <c r="J13" s="115">
        <f t="shared" ref="J13:J15" si="0">I13/30*H13</f>
        <v>1369.7666666666667</v>
      </c>
      <c r="K13" s="96"/>
      <c r="L13" s="96"/>
      <c r="M13" s="101"/>
    </row>
    <row r="14" spans="2:18" ht="30" customHeight="1" x14ac:dyDescent="0.3">
      <c r="B14" s="557" t="s">
        <v>72</v>
      </c>
      <c r="C14" s="558"/>
      <c r="D14" s="110">
        <f>'PB '!E34</f>
        <v>1</v>
      </c>
      <c r="E14" s="111">
        <f>'PB '!C1</f>
        <v>0</v>
      </c>
      <c r="F14" s="112">
        <f>'PB '!F34</f>
        <v>29</v>
      </c>
      <c r="G14" s="111">
        <f>'PB '!C1</f>
        <v>0</v>
      </c>
      <c r="H14" s="113">
        <f>'PB '!G34</f>
        <v>29</v>
      </c>
      <c r="I14" s="114">
        <v>188.94</v>
      </c>
      <c r="J14" s="115">
        <f t="shared" si="0"/>
        <v>182.642</v>
      </c>
      <c r="K14" s="96"/>
      <c r="L14" s="96"/>
      <c r="M14" s="101"/>
    </row>
    <row r="15" spans="2:18" ht="30" customHeight="1" x14ac:dyDescent="0.3">
      <c r="B15" s="557" t="s">
        <v>73</v>
      </c>
      <c r="C15" s="558"/>
      <c r="D15" s="110">
        <f>'PB '!E34</f>
        <v>1</v>
      </c>
      <c r="E15" s="111">
        <f>'PB '!C1</f>
        <v>0</v>
      </c>
      <c r="F15" s="112">
        <f>'PB '!F34</f>
        <v>29</v>
      </c>
      <c r="G15" s="111">
        <f>'PB '!C1</f>
        <v>0</v>
      </c>
      <c r="H15" s="113">
        <f>'PB '!G34</f>
        <v>29</v>
      </c>
      <c r="I15" s="114">
        <v>12127.06</v>
      </c>
      <c r="J15" s="115">
        <f t="shared" si="0"/>
        <v>11722.824666666666</v>
      </c>
      <c r="K15" s="96"/>
      <c r="L15" s="96"/>
      <c r="M15" s="101"/>
    </row>
    <row r="16" spans="2:18" ht="30" customHeight="1" x14ac:dyDescent="0.3">
      <c r="B16" s="557" t="str">
        <f>'PB '!L5</f>
        <v>Travel Wages</v>
      </c>
      <c r="C16" s="559"/>
      <c r="D16" s="110"/>
      <c r="E16" s="111"/>
      <c r="F16" s="112"/>
      <c r="G16" s="111"/>
      <c r="H16" s="113"/>
      <c r="I16" s="116"/>
      <c r="J16" s="115">
        <f>'PB '!L34</f>
        <v>75.566666666666663</v>
      </c>
      <c r="K16" s="96"/>
      <c r="L16" s="96"/>
      <c r="M16" s="101"/>
      <c r="R16" s="481">
        <f>J25+J73+J120+J167+J213</f>
        <v>20390.906666666666</v>
      </c>
    </row>
    <row r="17" spans="2:13" ht="30" customHeight="1" x14ac:dyDescent="0.3">
      <c r="B17" s="557" t="s">
        <v>205</v>
      </c>
      <c r="C17" s="559"/>
      <c r="D17" s="110"/>
      <c r="E17" s="111"/>
      <c r="F17" s="112"/>
      <c r="G17" s="111"/>
      <c r="H17" s="113"/>
      <c r="I17" s="116"/>
      <c r="J17" s="115">
        <f>'PB '!N34</f>
        <v>92.78</v>
      </c>
      <c r="K17" s="96"/>
      <c r="L17" s="96"/>
      <c r="M17" s="101"/>
    </row>
    <row r="18" spans="2:13" ht="30" customHeight="1" x14ac:dyDescent="0.3">
      <c r="B18" s="560" t="s">
        <v>176</v>
      </c>
      <c r="C18" s="561"/>
      <c r="D18" s="117"/>
      <c r="E18" s="111"/>
      <c r="F18" s="117"/>
      <c r="G18" s="111"/>
      <c r="H18" s="118"/>
      <c r="I18" s="116"/>
      <c r="J18" s="115">
        <f>'PB '!O34</f>
        <v>0</v>
      </c>
      <c r="K18" s="96"/>
      <c r="L18" s="96"/>
      <c r="M18" s="101"/>
    </row>
    <row r="19" spans="2:13" ht="30" customHeight="1" x14ac:dyDescent="0.3">
      <c r="B19" s="95"/>
      <c r="C19" s="96"/>
      <c r="D19" s="96"/>
      <c r="E19" s="96"/>
      <c r="F19" s="565" t="s">
        <v>76</v>
      </c>
      <c r="G19" s="565"/>
      <c r="H19" s="565"/>
      <c r="I19" s="566"/>
      <c r="J19" s="119">
        <f>SUM(J12:J18)</f>
        <v>15635.013333333332</v>
      </c>
      <c r="K19" s="120" t="s">
        <v>51</v>
      </c>
      <c r="L19" s="121">
        <f>J19</f>
        <v>15635.013333333332</v>
      </c>
      <c r="M19" s="101"/>
    </row>
    <row r="20" spans="2:13" ht="30" customHeight="1" thickBot="1" x14ac:dyDescent="0.35">
      <c r="B20" s="95"/>
      <c r="C20" s="96"/>
      <c r="D20" s="96"/>
      <c r="E20" s="96"/>
      <c r="F20" s="96"/>
      <c r="G20" s="96"/>
      <c r="H20" s="96"/>
      <c r="I20" s="96"/>
      <c r="J20" s="96"/>
      <c r="K20" s="96"/>
      <c r="L20" s="122">
        <f>L9+L19</f>
        <v>15635.013333333332</v>
      </c>
      <c r="M20" s="101"/>
    </row>
    <row r="21" spans="2:13" ht="30" customHeight="1" x14ac:dyDescent="0.3">
      <c r="B21" s="95"/>
      <c r="C21" s="96"/>
      <c r="D21" s="96"/>
      <c r="E21" s="96"/>
      <c r="F21" s="96"/>
      <c r="G21" s="96"/>
      <c r="H21" s="96"/>
      <c r="I21" s="96"/>
      <c r="J21" s="96"/>
      <c r="K21" s="96"/>
      <c r="L21" s="123"/>
      <c r="M21" s="101"/>
    </row>
    <row r="22" spans="2:13" ht="30" customHeight="1" x14ac:dyDescent="0.3">
      <c r="B22" s="95"/>
      <c r="C22" s="96"/>
      <c r="D22" s="96"/>
      <c r="E22" s="96"/>
      <c r="F22" s="96"/>
      <c r="G22" s="96"/>
      <c r="H22" s="96"/>
      <c r="I22" s="96"/>
      <c r="J22" s="96"/>
      <c r="K22" s="96"/>
      <c r="L22" s="123"/>
      <c r="M22" s="101"/>
    </row>
    <row r="23" spans="2:13" ht="30" customHeight="1" x14ac:dyDescent="0.3">
      <c r="B23" s="557" t="s">
        <v>77</v>
      </c>
      <c r="C23" s="558"/>
      <c r="D23" s="558"/>
      <c r="E23" s="558"/>
      <c r="F23" s="558"/>
      <c r="G23" s="558"/>
      <c r="H23" s="558"/>
      <c r="I23" s="559"/>
      <c r="J23" s="124"/>
      <c r="K23" s="96"/>
      <c r="L23" s="123"/>
      <c r="M23" s="101"/>
    </row>
    <row r="24" spans="2:13" ht="30" customHeight="1" x14ac:dyDescent="0.3">
      <c r="B24" s="560" t="s">
        <v>78</v>
      </c>
      <c r="C24" s="561"/>
      <c r="D24" s="561"/>
      <c r="E24" s="561"/>
      <c r="F24" s="561"/>
      <c r="G24" s="561"/>
      <c r="H24" s="561"/>
      <c r="I24" s="561"/>
      <c r="J24" s="114">
        <f>'PB '!Q34</f>
        <v>253</v>
      </c>
      <c r="K24" s="96"/>
      <c r="L24" s="123"/>
      <c r="M24" s="101"/>
    </row>
    <row r="25" spans="2:13" ht="30" customHeight="1" x14ac:dyDescent="0.3">
      <c r="B25" s="560" t="s">
        <v>79</v>
      </c>
      <c r="C25" s="561"/>
      <c r="D25" s="561"/>
      <c r="E25" s="561"/>
      <c r="F25" s="561"/>
      <c r="G25" s="561"/>
      <c r="H25" s="561"/>
      <c r="I25" s="561"/>
      <c r="J25" s="114">
        <f>'PB '!R34</f>
        <v>15382.013333333332</v>
      </c>
      <c r="K25" s="96"/>
      <c r="L25" s="123"/>
      <c r="M25" s="101"/>
    </row>
    <row r="26" spans="2:13" ht="30" customHeight="1" x14ac:dyDescent="0.3">
      <c r="B26" s="560" t="s">
        <v>80</v>
      </c>
      <c r="C26" s="561"/>
      <c r="D26" s="561"/>
      <c r="E26" s="561"/>
      <c r="F26" s="561"/>
      <c r="G26" s="561"/>
      <c r="H26" s="561"/>
      <c r="I26" s="561"/>
      <c r="J26" s="114">
        <f>'PB '!S34</f>
        <v>0</v>
      </c>
      <c r="K26" s="96"/>
      <c r="L26" s="123"/>
      <c r="M26" s="101"/>
    </row>
    <row r="27" spans="2:13" ht="30" customHeight="1" x14ac:dyDescent="0.3">
      <c r="B27" s="560" t="s">
        <v>81</v>
      </c>
      <c r="C27" s="561"/>
      <c r="D27" s="561"/>
      <c r="E27" s="561"/>
      <c r="F27" s="561"/>
      <c r="G27" s="561"/>
      <c r="H27" s="561"/>
      <c r="I27" s="561"/>
      <c r="J27" s="114">
        <v>0</v>
      </c>
      <c r="K27" s="96"/>
      <c r="L27" s="123"/>
      <c r="M27" s="101"/>
    </row>
    <row r="28" spans="2:13" ht="30" customHeight="1" x14ac:dyDescent="0.3">
      <c r="B28" s="557" t="s">
        <v>82</v>
      </c>
      <c r="C28" s="558"/>
      <c r="D28" s="558"/>
      <c r="E28" s="558"/>
      <c r="F28" s="558"/>
      <c r="G28" s="558"/>
      <c r="H28" s="558"/>
      <c r="I28" s="559"/>
      <c r="J28" s="114">
        <f>'PB '!T34</f>
        <v>0</v>
      </c>
      <c r="K28" s="96"/>
      <c r="L28" s="123"/>
      <c r="M28" s="101"/>
    </row>
    <row r="29" spans="2:13" ht="30" customHeight="1" thickBot="1" x14ac:dyDescent="0.35">
      <c r="B29" s="560"/>
      <c r="C29" s="561"/>
      <c r="D29" s="561"/>
      <c r="E29" s="561"/>
      <c r="F29" s="561"/>
      <c r="G29" s="561"/>
      <c r="H29" s="561"/>
      <c r="I29" s="561"/>
      <c r="J29" s="114">
        <f>'PB '!V34</f>
        <v>0</v>
      </c>
      <c r="K29" s="96"/>
      <c r="L29" s="123"/>
      <c r="M29" s="101"/>
    </row>
    <row r="30" spans="2:13" ht="30" customHeight="1" thickBot="1" x14ac:dyDescent="0.35">
      <c r="B30" s="95"/>
      <c r="C30" s="96"/>
      <c r="D30" s="96"/>
      <c r="E30" s="96"/>
      <c r="F30" s="573" t="s">
        <v>83</v>
      </c>
      <c r="G30" s="574"/>
      <c r="H30" s="574"/>
      <c r="I30" s="575"/>
      <c r="J30" s="114">
        <f>SUM(J24:J28)</f>
        <v>15635.013333333332</v>
      </c>
      <c r="K30" s="96" t="s">
        <v>51</v>
      </c>
      <c r="L30" s="125">
        <f>J30</f>
        <v>15635.013333333332</v>
      </c>
      <c r="M30" s="101"/>
    </row>
    <row r="31" spans="2:13" ht="30" customHeight="1" x14ac:dyDescent="0.3">
      <c r="B31" s="95"/>
      <c r="C31" s="96"/>
      <c r="D31" s="96"/>
      <c r="E31" s="96"/>
      <c r="F31" s="96"/>
      <c r="G31" s="96"/>
      <c r="H31" s="96"/>
      <c r="I31" s="96"/>
      <c r="J31" s="96"/>
      <c r="K31" s="96"/>
      <c r="L31" s="123"/>
      <c r="M31" s="101"/>
    </row>
    <row r="32" spans="2:13" ht="30" customHeight="1" x14ac:dyDescent="0.3">
      <c r="B32" s="95"/>
      <c r="C32" s="96"/>
      <c r="D32" s="96"/>
      <c r="E32" s="96"/>
      <c r="F32" s="96"/>
      <c r="G32" s="96"/>
      <c r="H32" s="96"/>
      <c r="I32" s="96"/>
      <c r="J32" s="96"/>
      <c r="K32" s="96"/>
      <c r="L32" s="123"/>
      <c r="M32" s="101"/>
    </row>
    <row r="33" spans="2:13" ht="30" customHeight="1" thickBot="1" x14ac:dyDescent="0.35">
      <c r="B33" s="95"/>
      <c r="C33" s="96"/>
      <c r="D33" s="96"/>
      <c r="E33" s="96"/>
      <c r="F33" s="112" t="s">
        <v>84</v>
      </c>
      <c r="G33" s="112"/>
      <c r="H33" s="112"/>
      <c r="I33" s="112"/>
      <c r="J33" s="112"/>
      <c r="K33" s="96" t="s">
        <v>51</v>
      </c>
      <c r="L33" s="126">
        <f>L20-L30</f>
        <v>0</v>
      </c>
      <c r="M33" s="101"/>
    </row>
    <row r="34" spans="2:13" ht="30" customHeight="1" x14ac:dyDescent="0.3">
      <c r="B34" s="127"/>
      <c r="C34" s="96"/>
      <c r="D34" s="96"/>
      <c r="E34" s="96"/>
      <c r="F34" s="96"/>
      <c r="G34" s="96"/>
      <c r="H34" s="96"/>
      <c r="I34" s="96" t="s">
        <v>44</v>
      </c>
      <c r="J34" s="96" t="s">
        <v>44</v>
      </c>
      <c r="K34" s="96" t="s">
        <v>44</v>
      </c>
      <c r="L34" s="123" t="s">
        <v>44</v>
      </c>
      <c r="M34" s="101"/>
    </row>
    <row r="35" spans="2:13" ht="30" customHeight="1" x14ac:dyDescent="0.3">
      <c r="B35" s="127"/>
      <c r="C35" s="96"/>
      <c r="D35" s="96"/>
      <c r="E35" s="96"/>
      <c r="F35" s="96"/>
      <c r="G35" s="96"/>
      <c r="H35" s="96"/>
      <c r="I35" s="96"/>
      <c r="J35" s="96"/>
      <c r="K35" s="96"/>
      <c r="L35" s="123"/>
      <c r="M35" s="101"/>
    </row>
    <row r="36" spans="2:13" ht="30" customHeight="1" x14ac:dyDescent="0.3">
      <c r="B36" s="127"/>
      <c r="C36" s="96"/>
      <c r="D36" s="96"/>
      <c r="E36" s="96"/>
      <c r="F36" s="96"/>
      <c r="G36" s="96"/>
      <c r="H36" s="96"/>
      <c r="I36" s="96"/>
      <c r="J36" s="96"/>
      <c r="K36" s="96"/>
      <c r="L36" s="123"/>
      <c r="M36" s="101"/>
    </row>
    <row r="37" spans="2:13" ht="30" customHeight="1" x14ac:dyDescent="0.25">
      <c r="B37" s="576" t="s">
        <v>85</v>
      </c>
      <c r="C37" s="577"/>
      <c r="D37" s="577"/>
      <c r="E37" s="577"/>
      <c r="F37" s="577"/>
      <c r="G37" s="577"/>
      <c r="H37" s="577"/>
      <c r="I37" s="577"/>
      <c r="J37" s="577"/>
      <c r="K37" s="577"/>
      <c r="L37" s="577"/>
      <c r="M37" s="578"/>
    </row>
    <row r="38" spans="2:13" ht="30" customHeight="1" x14ac:dyDescent="0.25">
      <c r="B38" s="576" t="s">
        <v>86</v>
      </c>
      <c r="C38" s="577"/>
      <c r="D38" s="577"/>
      <c r="E38" s="577"/>
      <c r="F38" s="577"/>
      <c r="G38" s="577"/>
      <c r="H38" s="577"/>
      <c r="I38" s="577"/>
      <c r="J38" s="577"/>
      <c r="K38" s="577"/>
      <c r="L38" s="577"/>
      <c r="M38" s="578"/>
    </row>
    <row r="39" spans="2:13" ht="30" customHeight="1" x14ac:dyDescent="0.3">
      <c r="B39" s="95"/>
      <c r="C39" s="96"/>
      <c r="D39" s="96"/>
      <c r="E39" s="96"/>
      <c r="F39" s="96"/>
      <c r="G39" s="96"/>
      <c r="H39" s="96"/>
      <c r="I39" s="96"/>
      <c r="J39" s="96"/>
      <c r="K39" s="96"/>
      <c r="L39" s="96"/>
      <c r="M39" s="101"/>
    </row>
    <row r="40" spans="2:13" ht="30" customHeight="1" x14ac:dyDescent="0.3">
      <c r="B40" s="366"/>
      <c r="C40" s="96"/>
      <c r="D40" s="96"/>
      <c r="E40" s="96"/>
      <c r="F40" s="96"/>
      <c r="G40" s="96"/>
      <c r="H40" s="96"/>
      <c r="I40" s="96"/>
      <c r="J40" s="96"/>
      <c r="K40" s="96"/>
      <c r="L40" s="96"/>
      <c r="M40" s="101"/>
    </row>
    <row r="41" spans="2:13" ht="30" customHeight="1" x14ac:dyDescent="0.3">
      <c r="B41" s="95"/>
      <c r="C41" s="96"/>
      <c r="D41" s="96"/>
      <c r="E41" s="96"/>
      <c r="F41" s="96"/>
      <c r="G41" s="96"/>
      <c r="H41" s="96"/>
      <c r="I41" s="96"/>
      <c r="J41" s="96"/>
      <c r="K41" s="96"/>
      <c r="L41" s="96"/>
      <c r="M41" s="101"/>
    </row>
    <row r="42" spans="2:13" ht="30" customHeight="1" x14ac:dyDescent="0.3">
      <c r="B42" s="95"/>
      <c r="C42" s="96"/>
      <c r="D42" s="96"/>
      <c r="E42" s="96"/>
      <c r="F42" s="96"/>
      <c r="G42" s="96"/>
      <c r="H42" s="96"/>
      <c r="I42" s="96"/>
      <c r="J42" s="96"/>
      <c r="K42" s="96"/>
      <c r="L42" s="96"/>
      <c r="M42" s="101"/>
    </row>
    <row r="43" spans="2:13" ht="30" customHeight="1" x14ac:dyDescent="0.3">
      <c r="B43" s="567"/>
      <c r="C43" s="568"/>
      <c r="D43" s="568"/>
      <c r="E43" s="96"/>
      <c r="F43" s="96"/>
      <c r="G43" s="96"/>
      <c r="H43" s="96"/>
      <c r="I43" s="96"/>
      <c r="J43" s="568"/>
      <c r="K43" s="568"/>
      <c r="L43" s="568"/>
      <c r="M43" s="101"/>
    </row>
    <row r="44" spans="2:13" ht="30" customHeight="1" x14ac:dyDescent="0.3">
      <c r="B44" s="569" t="s">
        <v>87</v>
      </c>
      <c r="C44" s="570"/>
      <c r="D44" s="570"/>
      <c r="E44" s="96"/>
      <c r="F44" s="96"/>
      <c r="G44" s="96"/>
      <c r="H44" s="96"/>
      <c r="I44" s="128" t="s">
        <v>88</v>
      </c>
      <c r="J44" s="128"/>
      <c r="K44" s="128"/>
      <c r="L44" s="102"/>
      <c r="M44" s="101"/>
    </row>
    <row r="45" spans="2:13" ht="30" customHeight="1" x14ac:dyDescent="0.3">
      <c r="B45" s="95" t="s">
        <v>44</v>
      </c>
      <c r="C45" s="96"/>
      <c r="D45" s="96"/>
      <c r="E45" s="96"/>
      <c r="F45" s="96"/>
      <c r="G45" s="96"/>
      <c r="H45" s="96"/>
      <c r="I45" s="96"/>
      <c r="J45" s="570"/>
      <c r="K45" s="570"/>
      <c r="L45" s="570"/>
      <c r="M45" s="101"/>
    </row>
    <row r="46" spans="2:13" ht="30" customHeight="1" x14ac:dyDescent="0.3">
      <c r="B46" s="95" t="s">
        <v>64</v>
      </c>
      <c r="C46" s="570">
        <f>C6</f>
        <v>0</v>
      </c>
      <c r="D46" s="570"/>
      <c r="E46" s="570"/>
      <c r="F46" s="96"/>
      <c r="G46" s="96"/>
      <c r="H46" s="96"/>
      <c r="I46" s="99" t="s">
        <v>104</v>
      </c>
      <c r="J46" s="571">
        <f>'PB '!C7</f>
        <v>0</v>
      </c>
      <c r="K46" s="571"/>
      <c r="L46" s="571"/>
      <c r="M46" s="572"/>
    </row>
    <row r="47" spans="2:13" ht="30" customHeight="1" x14ac:dyDescent="0.3">
      <c r="B47" s="95"/>
      <c r="C47" s="96"/>
      <c r="D47" s="96"/>
      <c r="E47" s="96"/>
      <c r="F47" s="96"/>
      <c r="G47" s="96"/>
      <c r="H47" s="96"/>
      <c r="I47" s="99"/>
      <c r="J47" s="102"/>
      <c r="K47" s="102"/>
      <c r="L47" s="102"/>
      <c r="M47" s="365"/>
    </row>
    <row r="48" spans="2:13" ht="30" customHeight="1" thickBot="1" x14ac:dyDescent="0.35">
      <c r="B48" s="129"/>
      <c r="C48" s="130"/>
      <c r="D48" s="130"/>
      <c r="E48" s="130"/>
      <c r="F48" s="130"/>
      <c r="G48" s="130"/>
      <c r="H48" s="130"/>
      <c r="I48" s="130"/>
      <c r="J48" s="131"/>
      <c r="K48" s="132"/>
      <c r="L48" s="132"/>
      <c r="M48" s="133"/>
    </row>
    <row r="50" spans="2:15" ht="25.35" customHeight="1" thickBot="1" x14ac:dyDescent="0.3"/>
    <row r="51" spans="2:15" ht="30" customHeight="1" x14ac:dyDescent="0.3">
      <c r="B51" s="584"/>
      <c r="C51" s="600"/>
      <c r="D51" s="600"/>
      <c r="E51" s="600"/>
      <c r="F51" s="600"/>
      <c r="G51" s="600"/>
      <c r="H51" s="600"/>
      <c r="I51" s="600"/>
      <c r="J51" s="600"/>
      <c r="K51" s="600"/>
      <c r="L51" s="600"/>
      <c r="M51" s="601"/>
    </row>
    <row r="52" spans="2:15" ht="30" customHeight="1" x14ac:dyDescent="0.3">
      <c r="B52" s="587" t="s">
        <v>62</v>
      </c>
      <c r="C52" s="598"/>
      <c r="D52" s="598"/>
      <c r="E52" s="598"/>
      <c r="F52" s="598"/>
      <c r="G52" s="598"/>
      <c r="H52" s="598"/>
      <c r="I52" s="598"/>
      <c r="J52" s="598"/>
      <c r="K52" s="598"/>
      <c r="L52" s="598"/>
      <c r="M52" s="599"/>
      <c r="O52">
        <v>2</v>
      </c>
    </row>
    <row r="53" spans="2:15" ht="30" customHeight="1" x14ac:dyDescent="0.3">
      <c r="B53" s="95" t="s">
        <v>63</v>
      </c>
      <c r="C53" s="570" t="str">
        <f>C4</f>
        <v>Vessel name</v>
      </c>
      <c r="D53" s="570"/>
      <c r="E53" s="570"/>
      <c r="F53" s="96"/>
      <c r="G53" s="570"/>
      <c r="H53" s="570"/>
      <c r="I53" s="570"/>
      <c r="J53" s="96" t="s">
        <v>44</v>
      </c>
      <c r="K53" s="97"/>
      <c r="L53" s="582"/>
      <c r="M53" s="583"/>
    </row>
    <row r="54" spans="2:15" ht="30" customHeight="1" x14ac:dyDescent="0.3">
      <c r="B54" s="98"/>
      <c r="C54" s="96"/>
      <c r="D54" s="96"/>
      <c r="E54" s="99"/>
      <c r="F54" s="100"/>
      <c r="G54" s="100"/>
      <c r="H54" s="100"/>
      <c r="I54" s="96"/>
      <c r="J54" s="96"/>
      <c r="K54" s="97"/>
      <c r="L54" s="97"/>
      <c r="M54" s="101"/>
    </row>
    <row r="55" spans="2:15" ht="30" customHeight="1" x14ac:dyDescent="0.3">
      <c r="B55" s="95" t="s">
        <v>64</v>
      </c>
      <c r="C55" s="570">
        <f>+'PB '!C35</f>
        <v>0</v>
      </c>
      <c r="D55" s="570"/>
      <c r="E55" s="570"/>
      <c r="F55" s="570"/>
      <c r="G55" s="102"/>
      <c r="H55" s="96" t="s">
        <v>21</v>
      </c>
      <c r="I55" s="603" t="str">
        <f>'PB '!D35</f>
        <v>Deck Cadet</v>
      </c>
      <c r="J55" s="603"/>
      <c r="K55" s="96"/>
      <c r="L55" s="582"/>
      <c r="M55" s="583"/>
    </row>
    <row r="56" spans="2:15" ht="30" customHeight="1" x14ac:dyDescent="0.3">
      <c r="B56" s="95"/>
      <c r="C56" s="96"/>
      <c r="D56" s="96"/>
      <c r="E56" s="96"/>
      <c r="F56" s="96"/>
      <c r="G56" s="96" t="s">
        <v>65</v>
      </c>
      <c r="H56" s="96"/>
      <c r="I56" s="96"/>
      <c r="J56" s="96"/>
      <c r="K56" s="96"/>
      <c r="L56" s="96"/>
      <c r="M56" s="101"/>
    </row>
    <row r="57" spans="2:15" ht="30" customHeight="1" x14ac:dyDescent="0.3">
      <c r="B57" s="95"/>
      <c r="C57" s="96"/>
      <c r="D57" s="96"/>
      <c r="E57" s="96"/>
      <c r="F57" s="96"/>
      <c r="G57" s="96" t="s">
        <v>44</v>
      </c>
      <c r="H57" s="96"/>
      <c r="I57" s="96"/>
      <c r="J57" s="96"/>
      <c r="K57" s="96"/>
      <c r="L57" s="96"/>
      <c r="M57" s="101"/>
    </row>
    <row r="58" spans="2:15" ht="30" customHeight="1" x14ac:dyDescent="0.3">
      <c r="B58" s="95"/>
      <c r="C58" s="96"/>
      <c r="D58" s="96"/>
      <c r="E58" s="96"/>
      <c r="F58" s="96"/>
      <c r="G58" s="103" t="s">
        <v>161</v>
      </c>
      <c r="H58" s="104"/>
      <c r="I58" s="103"/>
      <c r="J58" s="103"/>
      <c r="K58" s="96" t="s">
        <v>51</v>
      </c>
      <c r="L58" s="105">
        <f>'PB '!V35</f>
        <v>0</v>
      </c>
      <c r="M58" s="101"/>
    </row>
    <row r="59" spans="2:15" ht="30" customHeight="1" x14ac:dyDescent="0.3">
      <c r="B59" s="95"/>
      <c r="C59" s="96"/>
      <c r="D59" s="96"/>
      <c r="E59" s="96"/>
      <c r="F59" s="96"/>
      <c r="G59" s="96"/>
      <c r="H59" s="96"/>
      <c r="I59" s="96"/>
      <c r="J59" s="96"/>
      <c r="K59" s="96"/>
      <c r="L59" s="96"/>
      <c r="M59" s="101"/>
    </row>
    <row r="60" spans="2:15" ht="30" customHeight="1" x14ac:dyDescent="0.3">
      <c r="B60" s="616" t="s">
        <v>67</v>
      </c>
      <c r="C60" s="593"/>
      <c r="D60" s="592" t="s">
        <v>60</v>
      </c>
      <c r="E60" s="593"/>
      <c r="F60" s="579" t="s">
        <v>61</v>
      </c>
      <c r="G60" s="580"/>
      <c r="H60" s="106" t="s">
        <v>68</v>
      </c>
      <c r="I60" s="107" t="s">
        <v>69</v>
      </c>
      <c r="J60" s="106" t="s">
        <v>51</v>
      </c>
      <c r="K60" s="108"/>
      <c r="L60" s="108"/>
      <c r="M60" s="109"/>
    </row>
    <row r="61" spans="2:15" ht="30" customHeight="1" x14ac:dyDescent="0.3">
      <c r="B61" s="557" t="s">
        <v>70</v>
      </c>
      <c r="C61" s="559"/>
      <c r="D61" s="110">
        <f>'PB '!E35</f>
        <v>1</v>
      </c>
      <c r="E61" s="111">
        <f>'PB '!C1</f>
        <v>0</v>
      </c>
      <c r="F61" s="112">
        <f>'PB '!F35</f>
        <v>29</v>
      </c>
      <c r="G61" s="111">
        <f>'PB '!C1</f>
        <v>0</v>
      </c>
      <c r="H61" s="113">
        <f>'PB '!G35</f>
        <v>29</v>
      </c>
      <c r="I61" s="114">
        <v>199</v>
      </c>
      <c r="J61" s="115">
        <f>I61/30*H61</f>
        <v>192.36666666666667</v>
      </c>
      <c r="K61" s="96"/>
      <c r="L61" s="96"/>
      <c r="M61" s="101"/>
    </row>
    <row r="62" spans="2:15" ht="30" customHeight="1" x14ac:dyDescent="0.3">
      <c r="B62" s="557" t="s">
        <v>71</v>
      </c>
      <c r="C62" s="559"/>
      <c r="D62" s="110">
        <f>D61</f>
        <v>1</v>
      </c>
      <c r="E62" s="111">
        <f>'PB '!C1</f>
        <v>0</v>
      </c>
      <c r="F62" s="112">
        <f>'PB '!F35</f>
        <v>29</v>
      </c>
      <c r="G62" s="111">
        <f>'PB '!C1</f>
        <v>0</v>
      </c>
      <c r="H62" s="113">
        <f>'PB '!G35</f>
        <v>29</v>
      </c>
      <c r="I62" s="114">
        <v>125</v>
      </c>
      <c r="J62" s="115">
        <f t="shared" ref="J62:J64" si="1">I62/30*H62</f>
        <v>120.83333333333334</v>
      </c>
      <c r="K62" s="96"/>
      <c r="L62" s="96"/>
      <c r="M62" s="101"/>
    </row>
    <row r="63" spans="2:15" ht="30" customHeight="1" x14ac:dyDescent="0.3">
      <c r="B63" s="557" t="s">
        <v>72</v>
      </c>
      <c r="C63" s="559"/>
      <c r="D63" s="110">
        <f>D61</f>
        <v>1</v>
      </c>
      <c r="E63" s="111">
        <f>'PB '!C1</f>
        <v>0</v>
      </c>
      <c r="F63" s="112">
        <f>'PB '!F35</f>
        <v>29</v>
      </c>
      <c r="G63" s="111">
        <f>'PB '!C1</f>
        <v>0</v>
      </c>
      <c r="H63" s="113">
        <f>'PB '!G35</f>
        <v>29</v>
      </c>
      <c r="I63" s="114">
        <v>26</v>
      </c>
      <c r="J63" s="115">
        <f t="shared" si="1"/>
        <v>25.133333333333333</v>
      </c>
      <c r="K63" s="96"/>
      <c r="L63" s="96"/>
      <c r="M63" s="101"/>
    </row>
    <row r="64" spans="2:15" ht="30" customHeight="1" x14ac:dyDescent="0.3">
      <c r="B64" s="557" t="s">
        <v>73</v>
      </c>
      <c r="C64" s="559"/>
      <c r="D64" s="110">
        <f>D61</f>
        <v>1</v>
      </c>
      <c r="E64" s="111">
        <f>'PB '!C1</f>
        <v>0</v>
      </c>
      <c r="F64" s="112">
        <f>'PB '!F35</f>
        <v>29</v>
      </c>
      <c r="G64" s="111">
        <f>'PB '!C1</f>
        <v>0</v>
      </c>
      <c r="H64" s="113">
        <f>'PB '!G35</f>
        <v>29</v>
      </c>
      <c r="I64" s="114">
        <v>0</v>
      </c>
      <c r="J64" s="115">
        <f t="shared" si="1"/>
        <v>0</v>
      </c>
      <c r="K64" s="96"/>
      <c r="L64" s="96"/>
      <c r="M64" s="101"/>
    </row>
    <row r="65" spans="2:13" ht="30" customHeight="1" x14ac:dyDescent="0.3">
      <c r="B65" s="562" t="str">
        <f>'PB '!L5</f>
        <v>Travel Wages</v>
      </c>
      <c r="C65" s="563"/>
      <c r="D65" s="110"/>
      <c r="E65" s="111"/>
      <c r="F65" s="112"/>
      <c r="G65" s="111"/>
      <c r="H65" s="113"/>
      <c r="I65" s="134"/>
      <c r="J65" s="134">
        <f>'PB '!L35</f>
        <v>6.6333333333333337</v>
      </c>
      <c r="K65" s="96"/>
      <c r="L65" s="96"/>
      <c r="M65" s="101"/>
    </row>
    <row r="66" spans="2:13" ht="30" customHeight="1" x14ac:dyDescent="0.3">
      <c r="B66" s="612" t="s">
        <v>176</v>
      </c>
      <c r="C66" s="661"/>
      <c r="D66" s="117"/>
      <c r="E66" s="111"/>
      <c r="F66" s="117"/>
      <c r="G66" s="111"/>
      <c r="H66" s="118"/>
      <c r="I66" s="114"/>
      <c r="J66" s="114">
        <v>0</v>
      </c>
      <c r="K66" s="96"/>
      <c r="L66" s="96"/>
      <c r="M66" s="101"/>
    </row>
    <row r="67" spans="2:13" ht="30" customHeight="1" x14ac:dyDescent="0.3">
      <c r="B67" s="95"/>
      <c r="C67" s="96"/>
      <c r="D67" s="96"/>
      <c r="E67" s="96"/>
      <c r="F67" s="565" t="s">
        <v>76</v>
      </c>
      <c r="G67" s="565"/>
      <c r="H67" s="565"/>
      <c r="I67" s="566"/>
      <c r="J67" s="119">
        <f>SUM(J61:J66)</f>
        <v>344.9666666666667</v>
      </c>
      <c r="K67" s="120" t="s">
        <v>51</v>
      </c>
      <c r="L67" s="121">
        <f>J67</f>
        <v>344.9666666666667</v>
      </c>
      <c r="M67" s="101"/>
    </row>
    <row r="68" spans="2:13" ht="30" customHeight="1" thickBot="1" x14ac:dyDescent="0.35">
      <c r="B68" s="95"/>
      <c r="C68" s="96"/>
      <c r="D68" s="96"/>
      <c r="E68" s="96"/>
      <c r="F68" s="96"/>
      <c r="G68" s="96"/>
      <c r="H68" s="96"/>
      <c r="I68" s="96"/>
      <c r="J68" s="96"/>
      <c r="K68" s="96"/>
      <c r="L68" s="122">
        <f>L67</f>
        <v>344.9666666666667</v>
      </c>
      <c r="M68" s="101"/>
    </row>
    <row r="69" spans="2:13" ht="30" customHeight="1" x14ac:dyDescent="0.3">
      <c r="B69" s="95"/>
      <c r="C69" s="96"/>
      <c r="D69" s="96"/>
      <c r="E69" s="96"/>
      <c r="F69" s="96"/>
      <c r="G69" s="96"/>
      <c r="H69" s="96"/>
      <c r="I69" s="96"/>
      <c r="J69" s="96"/>
      <c r="K69" s="96"/>
      <c r="L69" s="123"/>
      <c r="M69" s="101"/>
    </row>
    <row r="70" spans="2:13" ht="30" customHeight="1" x14ac:dyDescent="0.3">
      <c r="B70" s="95"/>
      <c r="C70" s="96"/>
      <c r="D70" s="96"/>
      <c r="E70" s="96"/>
      <c r="F70" s="96"/>
      <c r="G70" s="96"/>
      <c r="H70" s="96"/>
      <c r="I70" s="96"/>
      <c r="J70" s="96"/>
      <c r="K70" s="96"/>
      <c r="L70" s="123"/>
      <c r="M70" s="101"/>
    </row>
    <row r="71" spans="2:13" ht="30" customHeight="1" x14ac:dyDescent="0.3">
      <c r="B71" s="557" t="s">
        <v>77</v>
      </c>
      <c r="C71" s="558"/>
      <c r="D71" s="558"/>
      <c r="E71" s="558"/>
      <c r="F71" s="558"/>
      <c r="G71" s="558"/>
      <c r="H71" s="558"/>
      <c r="I71" s="559"/>
      <c r="J71" s="124"/>
      <c r="K71" s="96"/>
      <c r="L71" s="123"/>
      <c r="M71" s="101"/>
    </row>
    <row r="72" spans="2:13" ht="30" customHeight="1" x14ac:dyDescent="0.3">
      <c r="B72" s="557" t="s">
        <v>78</v>
      </c>
      <c r="C72" s="558"/>
      <c r="D72" s="558"/>
      <c r="E72" s="558"/>
      <c r="F72" s="558"/>
      <c r="G72" s="558"/>
      <c r="H72" s="558"/>
      <c r="I72" s="559"/>
      <c r="J72" s="114">
        <f>'PB '!Q35</f>
        <v>0</v>
      </c>
      <c r="K72" s="96"/>
      <c r="L72" s="123"/>
      <c r="M72" s="101"/>
    </row>
    <row r="73" spans="2:13" ht="30" customHeight="1" x14ac:dyDescent="0.3">
      <c r="B73" s="557" t="s">
        <v>79</v>
      </c>
      <c r="C73" s="558"/>
      <c r="D73" s="558"/>
      <c r="E73" s="558"/>
      <c r="F73" s="558"/>
      <c r="G73" s="558"/>
      <c r="H73" s="558"/>
      <c r="I73" s="559"/>
      <c r="J73" s="114">
        <f>'PB '!R35</f>
        <v>344.9666666666667</v>
      </c>
      <c r="K73" s="96"/>
      <c r="L73" s="123"/>
      <c r="M73" s="101"/>
    </row>
    <row r="74" spans="2:13" ht="30" customHeight="1" x14ac:dyDescent="0.3">
      <c r="B74" s="557" t="s">
        <v>80</v>
      </c>
      <c r="C74" s="558"/>
      <c r="D74" s="558"/>
      <c r="E74" s="558"/>
      <c r="F74" s="558"/>
      <c r="G74" s="558"/>
      <c r="H74" s="558"/>
      <c r="I74" s="559"/>
      <c r="J74" s="114">
        <f>'PB '!S35</f>
        <v>0</v>
      </c>
      <c r="K74" s="96"/>
      <c r="L74" s="123"/>
      <c r="M74" s="101"/>
    </row>
    <row r="75" spans="2:13" ht="30" customHeight="1" x14ac:dyDescent="0.3">
      <c r="B75" s="557" t="s">
        <v>81</v>
      </c>
      <c r="C75" s="558"/>
      <c r="D75" s="558"/>
      <c r="E75" s="558"/>
      <c r="F75" s="558"/>
      <c r="G75" s="558"/>
      <c r="H75" s="558"/>
      <c r="I75" s="559"/>
      <c r="J75" s="114">
        <v>0</v>
      </c>
      <c r="K75" s="96"/>
      <c r="L75" s="123"/>
      <c r="M75" s="101"/>
    </row>
    <row r="76" spans="2:13" ht="30" customHeight="1" x14ac:dyDescent="0.3">
      <c r="B76" s="557" t="s">
        <v>82</v>
      </c>
      <c r="C76" s="558"/>
      <c r="D76" s="558"/>
      <c r="E76" s="558"/>
      <c r="F76" s="558"/>
      <c r="G76" s="558"/>
      <c r="H76" s="558"/>
      <c r="I76" s="559"/>
      <c r="J76" s="114">
        <f>'PB '!T35</f>
        <v>0</v>
      </c>
      <c r="K76" s="96"/>
      <c r="L76" s="123"/>
      <c r="M76" s="101"/>
    </row>
    <row r="77" spans="2:13" ht="30" customHeight="1" thickBot="1" x14ac:dyDescent="0.35">
      <c r="B77" s="557"/>
      <c r="C77" s="558"/>
      <c r="D77" s="558"/>
      <c r="E77" s="558"/>
      <c r="F77" s="558"/>
      <c r="G77" s="558"/>
      <c r="H77" s="558"/>
      <c r="I77" s="559"/>
      <c r="J77" s="114"/>
      <c r="K77" s="96"/>
      <c r="L77" s="123"/>
      <c r="M77" s="101"/>
    </row>
    <row r="78" spans="2:13" ht="30" customHeight="1" thickBot="1" x14ac:dyDescent="0.35">
      <c r="B78" s="95"/>
      <c r="C78" s="96"/>
      <c r="D78" s="96"/>
      <c r="E78" s="96"/>
      <c r="F78" s="573" t="s">
        <v>83</v>
      </c>
      <c r="G78" s="574"/>
      <c r="H78" s="574"/>
      <c r="I78" s="575"/>
      <c r="J78" s="114">
        <f>SUM(J72:J76)</f>
        <v>344.9666666666667</v>
      </c>
      <c r="K78" s="96" t="s">
        <v>51</v>
      </c>
      <c r="L78" s="125">
        <f>J78</f>
        <v>344.9666666666667</v>
      </c>
      <c r="M78" s="101"/>
    </row>
    <row r="79" spans="2:13" ht="30" customHeight="1" x14ac:dyDescent="0.3">
      <c r="B79" s="95"/>
      <c r="C79" s="96"/>
      <c r="D79" s="96"/>
      <c r="E79" s="96"/>
      <c r="F79" s="96"/>
      <c r="G79" s="96"/>
      <c r="H79" s="96"/>
      <c r="I79" s="96"/>
      <c r="J79" s="96"/>
      <c r="K79" s="96"/>
      <c r="L79" s="123"/>
      <c r="M79" s="101"/>
    </row>
    <row r="80" spans="2:13" ht="30" customHeight="1" x14ac:dyDescent="0.3">
      <c r="B80" s="95"/>
      <c r="C80" s="96"/>
      <c r="D80" s="96"/>
      <c r="E80" s="96"/>
      <c r="F80" s="96"/>
      <c r="G80" s="96"/>
      <c r="H80" s="96"/>
      <c r="I80" s="96"/>
      <c r="J80" s="96"/>
      <c r="K80" s="96"/>
      <c r="L80" s="123"/>
      <c r="M80" s="101"/>
    </row>
    <row r="81" spans="2:13" ht="30" customHeight="1" thickBot="1" x14ac:dyDescent="0.35">
      <c r="B81" s="95"/>
      <c r="C81" s="96"/>
      <c r="D81" s="96"/>
      <c r="E81" s="96"/>
      <c r="F81" s="112" t="s">
        <v>84</v>
      </c>
      <c r="G81" s="112"/>
      <c r="H81" s="112"/>
      <c r="I81" s="112"/>
      <c r="J81" s="112"/>
      <c r="K81" s="96" t="s">
        <v>51</v>
      </c>
      <c r="L81" s="126">
        <f>L68-L78</f>
        <v>0</v>
      </c>
      <c r="M81" s="101"/>
    </row>
    <row r="82" spans="2:13" ht="30" customHeight="1" x14ac:dyDescent="0.3">
      <c r="B82" s="127"/>
      <c r="C82" s="96"/>
      <c r="D82" s="96"/>
      <c r="E82" s="96"/>
      <c r="F82" s="96"/>
      <c r="G82" s="96"/>
      <c r="H82" s="96"/>
      <c r="I82" s="96" t="s">
        <v>44</v>
      </c>
      <c r="J82" s="96" t="s">
        <v>44</v>
      </c>
      <c r="K82" s="96" t="s">
        <v>44</v>
      </c>
      <c r="L82" s="123" t="s">
        <v>44</v>
      </c>
      <c r="M82" s="101"/>
    </row>
    <row r="83" spans="2:13" ht="30" customHeight="1" x14ac:dyDescent="0.3">
      <c r="B83" s="127"/>
      <c r="C83" s="96"/>
      <c r="D83" s="96"/>
      <c r="E83" s="96"/>
      <c r="F83" s="96"/>
      <c r="G83" s="96"/>
      <c r="H83" s="96"/>
      <c r="I83" s="96"/>
      <c r="J83" s="96"/>
      <c r="K83" s="96"/>
      <c r="L83" s="123"/>
      <c r="M83" s="101"/>
    </row>
    <row r="84" spans="2:13" ht="30" customHeight="1" x14ac:dyDescent="0.3">
      <c r="B84" s="127"/>
      <c r="C84" s="96"/>
      <c r="D84" s="96"/>
      <c r="E84" s="96"/>
      <c r="F84" s="96"/>
      <c r="G84" s="96"/>
      <c r="H84" s="96"/>
      <c r="I84" s="96"/>
      <c r="J84" s="96"/>
      <c r="K84" s="96"/>
      <c r="L84" s="123"/>
      <c r="M84" s="101"/>
    </row>
    <row r="85" spans="2:13" ht="30" customHeight="1" x14ac:dyDescent="0.25">
      <c r="B85" s="576" t="s">
        <v>85</v>
      </c>
      <c r="C85" s="577"/>
      <c r="D85" s="577"/>
      <c r="E85" s="577"/>
      <c r="F85" s="577"/>
      <c r="G85" s="577"/>
      <c r="H85" s="577"/>
      <c r="I85" s="577"/>
      <c r="J85" s="577"/>
      <c r="K85" s="577"/>
      <c r="L85" s="577"/>
      <c r="M85" s="578"/>
    </row>
    <row r="86" spans="2:13" ht="30" customHeight="1" x14ac:dyDescent="0.25">
      <c r="B86" s="576" t="s">
        <v>86</v>
      </c>
      <c r="C86" s="577"/>
      <c r="D86" s="577"/>
      <c r="E86" s="577"/>
      <c r="F86" s="577"/>
      <c r="G86" s="577"/>
      <c r="H86" s="577"/>
      <c r="I86" s="577"/>
      <c r="J86" s="577"/>
      <c r="K86" s="577"/>
      <c r="L86" s="577"/>
      <c r="M86" s="578"/>
    </row>
    <row r="87" spans="2:13" ht="30" customHeight="1" x14ac:dyDescent="0.3">
      <c r="B87" s="95"/>
      <c r="C87" s="96"/>
      <c r="D87" s="96"/>
      <c r="E87" s="96"/>
      <c r="F87" s="96"/>
      <c r="G87" s="96"/>
      <c r="H87" s="96"/>
      <c r="I87" s="96"/>
      <c r="J87" s="96"/>
      <c r="K87" s="96"/>
      <c r="L87" s="96"/>
      <c r="M87" s="101"/>
    </row>
    <row r="88" spans="2:13" ht="30" customHeight="1" x14ac:dyDescent="0.3">
      <c r="B88" s="95"/>
      <c r="C88" s="96"/>
      <c r="D88" s="96"/>
      <c r="E88" s="96"/>
      <c r="F88" s="96"/>
      <c r="G88" s="96"/>
      <c r="H88" s="96"/>
      <c r="I88" s="96"/>
      <c r="J88" s="96"/>
      <c r="K88" s="96"/>
      <c r="L88" s="96"/>
      <c r="M88" s="101"/>
    </row>
    <row r="89" spans="2:13" ht="30" customHeight="1" x14ac:dyDescent="0.3">
      <c r="B89" s="567"/>
      <c r="C89" s="568"/>
      <c r="D89" s="568"/>
      <c r="E89" s="96"/>
      <c r="F89" s="96"/>
      <c r="G89" s="96"/>
      <c r="H89" s="96"/>
      <c r="I89" s="96"/>
      <c r="J89" s="568"/>
      <c r="K89" s="568"/>
      <c r="L89" s="568"/>
      <c r="M89" s="101"/>
    </row>
    <row r="90" spans="2:13" ht="30" customHeight="1" x14ac:dyDescent="0.3">
      <c r="B90" s="596" t="s">
        <v>87</v>
      </c>
      <c r="C90" s="597"/>
      <c r="D90" s="597"/>
      <c r="E90" s="96"/>
      <c r="F90" s="96"/>
      <c r="G90" s="96"/>
      <c r="H90" s="96"/>
      <c r="I90" s="128" t="s">
        <v>88</v>
      </c>
      <c r="J90" s="128"/>
      <c r="K90" s="128"/>
      <c r="L90" s="102"/>
      <c r="M90" s="101"/>
    </row>
    <row r="91" spans="2:13" ht="30" customHeight="1" x14ac:dyDescent="0.3">
      <c r="B91" s="95" t="s">
        <v>44</v>
      </c>
      <c r="C91" s="96"/>
      <c r="D91" s="96"/>
      <c r="E91" s="96"/>
      <c r="F91" s="96"/>
      <c r="G91" s="96"/>
      <c r="H91" s="96"/>
      <c r="I91" s="96"/>
      <c r="J91" s="570"/>
      <c r="K91" s="570"/>
      <c r="L91" s="570"/>
      <c r="M91" s="101"/>
    </row>
    <row r="92" spans="2:13" ht="30" customHeight="1" x14ac:dyDescent="0.3">
      <c r="B92" s="95" t="s">
        <v>64</v>
      </c>
      <c r="C92" s="570">
        <f>C55</f>
        <v>0</v>
      </c>
      <c r="D92" s="570"/>
      <c r="E92" s="570"/>
      <c r="F92" s="96"/>
      <c r="G92" s="96"/>
      <c r="H92" s="96"/>
      <c r="I92" s="99" t="s">
        <v>104</v>
      </c>
      <c r="J92" s="571">
        <f>'PB '!C7</f>
        <v>0</v>
      </c>
      <c r="K92" s="571"/>
      <c r="L92" s="571"/>
      <c r="M92" s="572"/>
    </row>
    <row r="93" spans="2:13" ht="30" customHeight="1" thickBot="1" x14ac:dyDescent="0.35">
      <c r="B93" s="129"/>
      <c r="C93" s="130"/>
      <c r="D93" s="130"/>
      <c r="E93" s="130"/>
      <c r="F93" s="130"/>
      <c r="G93" s="130"/>
      <c r="H93" s="130"/>
      <c r="I93" s="130"/>
      <c r="J93" s="131"/>
      <c r="K93" s="132"/>
      <c r="L93" s="132"/>
      <c r="M93" s="133"/>
    </row>
    <row r="94" spans="2:13" ht="30" customHeight="1" x14ac:dyDescent="0.35">
      <c r="B94" s="135"/>
      <c r="C94" s="135"/>
      <c r="D94" s="135"/>
      <c r="E94" s="135"/>
      <c r="F94" s="135"/>
      <c r="G94" s="135"/>
      <c r="H94" s="135"/>
      <c r="I94" s="135"/>
      <c r="J94" s="135"/>
      <c r="K94" s="135"/>
      <c r="L94" s="135"/>
      <c r="M94" s="135"/>
    </row>
    <row r="95" spans="2:13" ht="30" customHeight="1" x14ac:dyDescent="0.35">
      <c r="B95" s="135"/>
      <c r="C95" s="135"/>
      <c r="D95" s="135"/>
      <c r="E95" s="135"/>
      <c r="F95" s="135"/>
      <c r="G95" s="135"/>
      <c r="H95" s="135"/>
      <c r="I95" s="135"/>
      <c r="J95" s="135"/>
      <c r="K95" s="135"/>
      <c r="L95" s="135"/>
      <c r="M95" s="135"/>
    </row>
    <row r="96" spans="2:13" ht="30" customHeight="1" x14ac:dyDescent="0.35">
      <c r="B96" s="135"/>
      <c r="C96" s="135"/>
      <c r="D96" s="135"/>
      <c r="E96" s="135"/>
      <c r="F96" s="135"/>
      <c r="G96" s="135"/>
      <c r="H96" s="135"/>
      <c r="I96" s="135"/>
      <c r="J96" s="135"/>
      <c r="K96" s="135"/>
      <c r="L96" s="135"/>
      <c r="M96" s="135"/>
    </row>
    <row r="97" spans="2:15" ht="30" customHeight="1" thickBot="1" x14ac:dyDescent="0.4">
      <c r="B97" s="135"/>
      <c r="C97" s="135"/>
      <c r="D97" s="135"/>
      <c r="E97" s="135"/>
      <c r="F97" s="135"/>
      <c r="G97" s="135"/>
      <c r="H97" s="135"/>
      <c r="I97" s="135"/>
      <c r="J97" s="135"/>
      <c r="K97" s="135"/>
      <c r="L97" s="135"/>
      <c r="M97" s="135"/>
    </row>
    <row r="98" spans="2:15" ht="30" customHeight="1" x14ac:dyDescent="0.3">
      <c r="B98" s="584"/>
      <c r="C98" s="585"/>
      <c r="D98" s="585"/>
      <c r="E98" s="585"/>
      <c r="F98" s="585"/>
      <c r="G98" s="585"/>
      <c r="H98" s="585"/>
      <c r="I98" s="585"/>
      <c r="J98" s="585"/>
      <c r="K98" s="585"/>
      <c r="L98" s="585"/>
      <c r="M98" s="586"/>
      <c r="O98">
        <v>3</v>
      </c>
    </row>
    <row r="99" spans="2:15" ht="30" customHeight="1" x14ac:dyDescent="0.3">
      <c r="B99" s="587" t="s">
        <v>62</v>
      </c>
      <c r="C99" s="588"/>
      <c r="D99" s="588"/>
      <c r="E99" s="588"/>
      <c r="F99" s="588"/>
      <c r="G99" s="588"/>
      <c r="H99" s="588"/>
      <c r="I99" s="588"/>
      <c r="J99" s="588"/>
      <c r="K99" s="588"/>
      <c r="L99" s="588"/>
      <c r="M99" s="589"/>
    </row>
    <row r="100" spans="2:15" ht="30" customHeight="1" x14ac:dyDescent="0.3">
      <c r="B100" s="95" t="s">
        <v>63</v>
      </c>
      <c r="C100" s="570" t="str">
        <f>C53</f>
        <v>Vessel name</v>
      </c>
      <c r="D100" s="570"/>
      <c r="E100" s="570"/>
      <c r="F100" s="96"/>
      <c r="G100" s="570"/>
      <c r="H100" s="570"/>
      <c r="I100" s="570"/>
      <c r="J100" s="96" t="s">
        <v>44</v>
      </c>
      <c r="K100" s="97"/>
      <c r="L100" s="582"/>
      <c r="M100" s="583"/>
    </row>
    <row r="101" spans="2:15" ht="30" customHeight="1" x14ac:dyDescent="0.3">
      <c r="B101" s="98"/>
      <c r="C101" s="96"/>
      <c r="D101" s="96"/>
      <c r="E101" s="99"/>
      <c r="F101" s="100"/>
      <c r="G101" s="100"/>
      <c r="H101" s="100"/>
      <c r="I101" s="96"/>
      <c r="J101" s="96"/>
      <c r="K101" s="97"/>
      <c r="L101" s="97"/>
      <c r="M101" s="101"/>
    </row>
    <row r="102" spans="2:15" ht="30" customHeight="1" x14ac:dyDescent="0.3">
      <c r="B102" s="95" t="s">
        <v>64</v>
      </c>
      <c r="C102" s="570">
        <f>+'PB '!C36</f>
        <v>0</v>
      </c>
      <c r="D102" s="570"/>
      <c r="E102" s="570"/>
      <c r="F102" s="570"/>
      <c r="G102" s="102"/>
      <c r="H102" s="96" t="s">
        <v>21</v>
      </c>
      <c r="I102" s="603" t="str">
        <f>'PB '!D36</f>
        <v>Ch.Engineer</v>
      </c>
      <c r="J102" s="603"/>
      <c r="K102" s="96"/>
      <c r="L102" s="582"/>
      <c r="M102" s="583"/>
    </row>
    <row r="103" spans="2:15" ht="30" customHeight="1" x14ac:dyDescent="0.3">
      <c r="B103" s="95"/>
      <c r="C103" s="96"/>
      <c r="D103" s="96"/>
      <c r="E103" s="96"/>
      <c r="F103" s="96"/>
      <c r="G103" s="96" t="s">
        <v>65</v>
      </c>
      <c r="H103" s="96"/>
      <c r="I103" s="96"/>
      <c r="J103" s="96"/>
      <c r="K103" s="96"/>
      <c r="L103" s="96"/>
      <c r="M103" s="101"/>
    </row>
    <row r="104" spans="2:15" ht="30" customHeight="1" x14ac:dyDescent="0.3">
      <c r="B104" s="95"/>
      <c r="C104" s="96"/>
      <c r="D104" s="96"/>
      <c r="E104" s="96"/>
      <c r="F104" s="96"/>
      <c r="G104" s="96" t="s">
        <v>44</v>
      </c>
      <c r="H104" s="96"/>
      <c r="I104" s="96"/>
      <c r="J104" s="96"/>
      <c r="K104" s="96"/>
      <c r="L104" s="96"/>
      <c r="M104" s="101"/>
    </row>
    <row r="105" spans="2:15" ht="30" customHeight="1" x14ac:dyDescent="0.3">
      <c r="B105" s="95"/>
      <c r="C105" s="96"/>
      <c r="D105" s="96"/>
      <c r="E105" s="96"/>
      <c r="F105" s="96"/>
      <c r="G105" s="103" t="s">
        <v>66</v>
      </c>
      <c r="H105" s="104"/>
      <c r="I105" s="103"/>
      <c r="J105" s="103"/>
      <c r="K105" s="96" t="s">
        <v>51</v>
      </c>
      <c r="L105" s="105">
        <f>'PB '!V36</f>
        <v>32418.959999999999</v>
      </c>
      <c r="M105" s="101"/>
    </row>
    <row r="106" spans="2:15" ht="30" customHeight="1" x14ac:dyDescent="0.3">
      <c r="B106" s="95"/>
      <c r="C106" s="96"/>
      <c r="D106" s="96"/>
      <c r="E106" s="96"/>
      <c r="F106" s="96"/>
      <c r="G106" s="96"/>
      <c r="H106" s="96"/>
      <c r="I106" s="96"/>
      <c r="J106" s="96"/>
      <c r="K106" s="96"/>
      <c r="L106" s="96"/>
      <c r="M106" s="101"/>
    </row>
    <row r="107" spans="2:15" ht="30" customHeight="1" x14ac:dyDescent="0.3">
      <c r="B107" s="590" t="s">
        <v>67</v>
      </c>
      <c r="C107" s="591"/>
      <c r="D107" s="592" t="s">
        <v>60</v>
      </c>
      <c r="E107" s="593"/>
      <c r="F107" s="579" t="s">
        <v>61</v>
      </c>
      <c r="G107" s="580"/>
      <c r="H107" s="106" t="s">
        <v>68</v>
      </c>
      <c r="I107" s="107" t="s">
        <v>69</v>
      </c>
      <c r="J107" s="106" t="s">
        <v>51</v>
      </c>
      <c r="K107" s="108"/>
      <c r="L107" s="108"/>
      <c r="M107" s="109"/>
    </row>
    <row r="108" spans="2:15" ht="30" customHeight="1" x14ac:dyDescent="0.3">
      <c r="B108" s="560" t="s">
        <v>70</v>
      </c>
      <c r="C108" s="581"/>
      <c r="D108" s="110">
        <f>'PB '!E36</f>
        <v>1</v>
      </c>
      <c r="E108" s="111">
        <f>'PB '!C1</f>
        <v>0</v>
      </c>
      <c r="F108" s="112">
        <f>'PB '!F36</f>
        <v>29</v>
      </c>
      <c r="G108" s="111">
        <f>'PB '!C1</f>
        <v>0</v>
      </c>
      <c r="H108" s="113">
        <f>'PB '!G36</f>
        <v>29</v>
      </c>
      <c r="I108" s="114">
        <v>2061</v>
      </c>
      <c r="J108" s="115">
        <f>I108/30*H108</f>
        <v>1992.3000000000002</v>
      </c>
      <c r="K108" s="96"/>
      <c r="L108" s="96"/>
      <c r="M108" s="101"/>
    </row>
    <row r="109" spans="2:15" ht="30" customHeight="1" x14ac:dyDescent="0.3">
      <c r="B109" s="560" t="s">
        <v>71</v>
      </c>
      <c r="C109" s="581"/>
      <c r="D109" s="110">
        <f>D108</f>
        <v>1</v>
      </c>
      <c r="E109" s="111">
        <f>'PB '!C1</f>
        <v>0</v>
      </c>
      <c r="F109" s="112">
        <f>'PB '!F36</f>
        <v>29</v>
      </c>
      <c r="G109" s="111">
        <f>'PB '!C1</f>
        <v>0</v>
      </c>
      <c r="H109" s="113">
        <v>29</v>
      </c>
      <c r="I109" s="114">
        <v>1288</v>
      </c>
      <c r="J109" s="115">
        <f t="shared" ref="J109:J111" si="2">I109/30*H109</f>
        <v>1245.0666666666666</v>
      </c>
      <c r="K109" s="96"/>
      <c r="L109" s="96"/>
      <c r="M109" s="101"/>
    </row>
    <row r="110" spans="2:15" ht="30" customHeight="1" x14ac:dyDescent="0.3">
      <c r="B110" s="557" t="s">
        <v>72</v>
      </c>
      <c r="C110" s="558"/>
      <c r="D110" s="110">
        <f>D108</f>
        <v>1</v>
      </c>
      <c r="E110" s="111">
        <f>'PB '!C1</f>
        <v>0</v>
      </c>
      <c r="F110" s="112">
        <f>'PB '!F36</f>
        <v>29</v>
      </c>
      <c r="G110" s="111">
        <f>'PB '!C1</f>
        <v>0</v>
      </c>
      <c r="H110" s="113">
        <v>29</v>
      </c>
      <c r="I110" s="114">
        <v>297.01</v>
      </c>
      <c r="J110" s="115">
        <f t="shared" si="2"/>
        <v>287.10966666666661</v>
      </c>
      <c r="K110" s="96"/>
      <c r="L110" s="96"/>
      <c r="M110" s="101"/>
    </row>
    <row r="111" spans="2:15" ht="30" customHeight="1" x14ac:dyDescent="0.3">
      <c r="B111" s="557" t="s">
        <v>73</v>
      </c>
      <c r="C111" s="558"/>
      <c r="D111" s="110">
        <f>D108</f>
        <v>1</v>
      </c>
      <c r="E111" s="111">
        <f>'PB '!C1</f>
        <v>0</v>
      </c>
      <c r="F111" s="112">
        <f>'PB '!F36</f>
        <v>29</v>
      </c>
      <c r="G111" s="111">
        <f>'PB '!C1</f>
        <v>0</v>
      </c>
      <c r="H111" s="113">
        <v>29</v>
      </c>
      <c r="I111" s="114">
        <v>11053.99</v>
      </c>
      <c r="J111" s="115">
        <f t="shared" si="2"/>
        <v>10685.523666666668</v>
      </c>
      <c r="K111" s="96"/>
      <c r="L111" s="96"/>
      <c r="M111" s="101"/>
    </row>
    <row r="112" spans="2:15" ht="30" customHeight="1" x14ac:dyDescent="0.3">
      <c r="B112" s="562" t="s">
        <v>74</v>
      </c>
      <c r="C112" s="563"/>
      <c r="D112" s="110"/>
      <c r="E112" s="111"/>
      <c r="F112" s="112"/>
      <c r="G112" s="111"/>
      <c r="H112" s="118"/>
      <c r="I112" s="114"/>
      <c r="J112" s="115">
        <f>'PB '!L36</f>
        <v>68.7</v>
      </c>
      <c r="K112" s="96"/>
      <c r="L112" s="96"/>
      <c r="M112" s="101"/>
    </row>
    <row r="113" spans="2:13" ht="30" customHeight="1" x14ac:dyDescent="0.3">
      <c r="B113" s="612" t="s">
        <v>176</v>
      </c>
      <c r="C113" s="559"/>
      <c r="D113" s="117"/>
      <c r="E113" s="111"/>
      <c r="F113" s="117"/>
      <c r="G113" s="111"/>
      <c r="H113" s="118"/>
      <c r="I113" s="114"/>
      <c r="J113" s="115">
        <v>0</v>
      </c>
      <c r="K113" s="96"/>
      <c r="L113" s="96"/>
      <c r="M113" s="101"/>
    </row>
    <row r="114" spans="2:13" ht="30" customHeight="1" x14ac:dyDescent="0.3">
      <c r="B114" s="95"/>
      <c r="C114" s="96"/>
      <c r="D114" s="96"/>
      <c r="E114" s="96"/>
      <c r="F114" s="565" t="s">
        <v>76</v>
      </c>
      <c r="G114" s="565"/>
      <c r="H114" s="565"/>
      <c r="I114" s="566"/>
      <c r="J114" s="119">
        <f>SUM(J108:J113)</f>
        <v>14278.700000000003</v>
      </c>
      <c r="K114" s="120" t="s">
        <v>51</v>
      </c>
      <c r="L114" s="121">
        <f>J114</f>
        <v>14278.700000000003</v>
      </c>
      <c r="M114" s="101"/>
    </row>
    <row r="115" spans="2:13" ht="30" customHeight="1" thickBot="1" x14ac:dyDescent="0.35">
      <c r="B115" s="95"/>
      <c r="C115" s="96"/>
      <c r="D115" s="96"/>
      <c r="E115" s="96"/>
      <c r="F115" s="96"/>
      <c r="G115" s="96"/>
      <c r="H115" s="96"/>
      <c r="I115" s="96"/>
      <c r="J115" s="96"/>
      <c r="K115" s="96"/>
      <c r="L115" s="122">
        <f>L105+L114</f>
        <v>46697.66</v>
      </c>
      <c r="M115" s="101"/>
    </row>
    <row r="116" spans="2:13" ht="30" customHeight="1" x14ac:dyDescent="0.3">
      <c r="B116" s="95"/>
      <c r="C116" s="96"/>
      <c r="D116" s="96"/>
      <c r="E116" s="96"/>
      <c r="F116" s="96"/>
      <c r="G116" s="96"/>
      <c r="H116" s="96"/>
      <c r="I116" s="96"/>
      <c r="J116" s="96"/>
      <c r="K116" s="96"/>
      <c r="L116" s="123"/>
      <c r="M116" s="101"/>
    </row>
    <row r="117" spans="2:13" ht="30" customHeight="1" x14ac:dyDescent="0.3">
      <c r="B117" s="95"/>
      <c r="C117" s="96"/>
      <c r="D117" s="96"/>
      <c r="E117" s="96"/>
      <c r="F117" s="96"/>
      <c r="G117" s="96"/>
      <c r="H117" s="96"/>
      <c r="I117" s="96"/>
      <c r="J117" s="96"/>
      <c r="K117" s="96"/>
      <c r="L117" s="123"/>
      <c r="M117" s="101"/>
    </row>
    <row r="118" spans="2:13" ht="30" customHeight="1" x14ac:dyDescent="0.3">
      <c r="B118" s="557" t="s">
        <v>77</v>
      </c>
      <c r="C118" s="558"/>
      <c r="D118" s="558"/>
      <c r="E118" s="558"/>
      <c r="F118" s="558"/>
      <c r="G118" s="558"/>
      <c r="H118" s="558"/>
      <c r="I118" s="559"/>
      <c r="J118" s="124"/>
      <c r="K118" s="96"/>
      <c r="L118" s="123"/>
      <c r="M118" s="101"/>
    </row>
    <row r="119" spans="2:13" ht="30" customHeight="1" x14ac:dyDescent="0.3">
      <c r="B119" s="560" t="s">
        <v>78</v>
      </c>
      <c r="C119" s="561"/>
      <c r="D119" s="561"/>
      <c r="E119" s="561"/>
      <c r="F119" s="561"/>
      <c r="G119" s="561"/>
      <c r="H119" s="561"/>
      <c r="I119" s="561"/>
      <c r="J119" s="114">
        <f>'PB '!Q36</f>
        <v>0</v>
      </c>
      <c r="K119" s="96"/>
      <c r="L119" s="123"/>
      <c r="M119" s="101"/>
    </row>
    <row r="120" spans="2:13" ht="30" customHeight="1" x14ac:dyDescent="0.3">
      <c r="B120" s="560" t="s">
        <v>79</v>
      </c>
      <c r="C120" s="561"/>
      <c r="D120" s="561"/>
      <c r="E120" s="561"/>
      <c r="F120" s="561"/>
      <c r="G120" s="561"/>
      <c r="H120" s="561"/>
      <c r="I120" s="561"/>
      <c r="J120" s="114">
        <f>'PB '!R36</f>
        <v>0</v>
      </c>
      <c r="K120" s="96"/>
      <c r="L120" s="123"/>
      <c r="M120" s="101"/>
    </row>
    <row r="121" spans="2:13" ht="30" customHeight="1" x14ac:dyDescent="0.3">
      <c r="B121" s="560" t="s">
        <v>80</v>
      </c>
      <c r="C121" s="561"/>
      <c r="D121" s="561"/>
      <c r="E121" s="561"/>
      <c r="F121" s="561"/>
      <c r="G121" s="561"/>
      <c r="H121" s="561"/>
      <c r="I121" s="561"/>
      <c r="J121" s="114">
        <f>'PB '!S36</f>
        <v>0</v>
      </c>
      <c r="K121" s="96"/>
      <c r="L121" s="123"/>
      <c r="M121" s="101"/>
    </row>
    <row r="122" spans="2:13" ht="30" customHeight="1" x14ac:dyDescent="0.3">
      <c r="B122" s="560" t="s">
        <v>81</v>
      </c>
      <c r="C122" s="561"/>
      <c r="D122" s="561"/>
      <c r="E122" s="561"/>
      <c r="F122" s="561"/>
      <c r="G122" s="561"/>
      <c r="H122" s="561"/>
      <c r="I122" s="561"/>
      <c r="J122" s="114">
        <v>0</v>
      </c>
      <c r="K122" s="96"/>
      <c r="L122" s="123"/>
      <c r="M122" s="101"/>
    </row>
    <row r="123" spans="2:13" ht="30" customHeight="1" x14ac:dyDescent="0.3">
      <c r="B123" s="557" t="s">
        <v>107</v>
      </c>
      <c r="C123" s="558"/>
      <c r="D123" s="558"/>
      <c r="E123" s="558"/>
      <c r="F123" s="558"/>
      <c r="G123" s="558"/>
      <c r="H123" s="558"/>
      <c r="I123" s="559"/>
      <c r="J123" s="114">
        <f>'PB '!T36</f>
        <v>0</v>
      </c>
      <c r="K123" s="96"/>
      <c r="L123" s="123"/>
      <c r="M123" s="101"/>
    </row>
    <row r="124" spans="2:13" ht="30" customHeight="1" thickBot="1" x14ac:dyDescent="0.35">
      <c r="B124" s="560"/>
      <c r="C124" s="561"/>
      <c r="D124" s="561"/>
      <c r="E124" s="561"/>
      <c r="F124" s="561"/>
      <c r="G124" s="561"/>
      <c r="H124" s="561"/>
      <c r="I124" s="561"/>
      <c r="J124" s="114"/>
      <c r="K124" s="96"/>
      <c r="L124" s="123"/>
      <c r="M124" s="101"/>
    </row>
    <row r="125" spans="2:13" ht="30" customHeight="1" thickBot="1" x14ac:dyDescent="0.35">
      <c r="B125" s="95"/>
      <c r="C125" s="96"/>
      <c r="D125" s="96"/>
      <c r="E125" s="96"/>
      <c r="F125" s="573" t="s">
        <v>83</v>
      </c>
      <c r="G125" s="574"/>
      <c r="H125" s="574"/>
      <c r="I125" s="575"/>
      <c r="J125" s="114">
        <f>SUM(J119:J123)</f>
        <v>0</v>
      </c>
      <c r="K125" s="96" t="s">
        <v>51</v>
      </c>
      <c r="L125" s="125">
        <f>J125</f>
        <v>0</v>
      </c>
      <c r="M125" s="101"/>
    </row>
    <row r="126" spans="2:13" ht="30" customHeight="1" x14ac:dyDescent="0.3">
      <c r="B126" s="95"/>
      <c r="C126" s="96"/>
      <c r="D126" s="96"/>
      <c r="E126" s="96"/>
      <c r="F126" s="96"/>
      <c r="G126" s="96"/>
      <c r="H126" s="96"/>
      <c r="I126" s="96"/>
      <c r="J126" s="96"/>
      <c r="K126" s="96"/>
      <c r="L126" s="123"/>
      <c r="M126" s="101"/>
    </row>
    <row r="127" spans="2:13" ht="30" customHeight="1" x14ac:dyDescent="0.3">
      <c r="B127" s="95"/>
      <c r="C127" s="96"/>
      <c r="D127" s="96"/>
      <c r="E127" s="96"/>
      <c r="F127" s="96"/>
      <c r="G127" s="96"/>
      <c r="H127" s="96"/>
      <c r="I127" s="96"/>
      <c r="J127" s="96"/>
      <c r="K127" s="96"/>
      <c r="L127" s="123"/>
      <c r="M127" s="101"/>
    </row>
    <row r="128" spans="2:13" ht="30" customHeight="1" thickBot="1" x14ac:dyDescent="0.35">
      <c r="B128" s="95"/>
      <c r="C128" s="96"/>
      <c r="D128" s="96"/>
      <c r="E128" s="96"/>
      <c r="F128" s="112" t="s">
        <v>84</v>
      </c>
      <c r="G128" s="112"/>
      <c r="H128" s="112"/>
      <c r="I128" s="112"/>
      <c r="J128" s="112"/>
      <c r="K128" s="96" t="s">
        <v>51</v>
      </c>
      <c r="L128" s="126">
        <f>L115-L125</f>
        <v>46697.66</v>
      </c>
      <c r="M128" s="101"/>
    </row>
    <row r="129" spans="2:13" ht="30" customHeight="1" x14ac:dyDescent="0.3">
      <c r="B129" s="127"/>
      <c r="C129" s="96"/>
      <c r="D129" s="96"/>
      <c r="E129" s="96"/>
      <c r="F129" s="96"/>
      <c r="G129" s="96"/>
      <c r="H129" s="96"/>
      <c r="I129" s="96" t="s">
        <v>44</v>
      </c>
      <c r="J129" s="96" t="s">
        <v>44</v>
      </c>
      <c r="K129" s="96" t="s">
        <v>44</v>
      </c>
      <c r="L129" s="123" t="s">
        <v>44</v>
      </c>
      <c r="M129" s="101"/>
    </row>
    <row r="130" spans="2:13" ht="30" customHeight="1" x14ac:dyDescent="0.3">
      <c r="B130" s="127"/>
      <c r="C130" s="96"/>
      <c r="D130" s="96"/>
      <c r="E130" s="96"/>
      <c r="F130" s="96"/>
      <c r="G130" s="96"/>
      <c r="H130" s="96"/>
      <c r="I130" s="96"/>
      <c r="J130" s="96"/>
      <c r="K130" s="96"/>
      <c r="L130" s="123"/>
      <c r="M130" s="101"/>
    </row>
    <row r="131" spans="2:13" ht="30" customHeight="1" x14ac:dyDescent="0.3">
      <c r="B131" s="127"/>
      <c r="C131" s="96"/>
      <c r="D131" s="96"/>
      <c r="E131" s="96"/>
      <c r="F131" s="96"/>
      <c r="G131" s="96"/>
      <c r="H131" s="96"/>
      <c r="I131" s="96"/>
      <c r="J131" s="96"/>
      <c r="K131" s="96"/>
      <c r="L131" s="123"/>
      <c r="M131" s="101"/>
    </row>
    <row r="132" spans="2:13" ht="30" customHeight="1" x14ac:dyDescent="0.25">
      <c r="B132" s="576" t="s">
        <v>85</v>
      </c>
      <c r="C132" s="577"/>
      <c r="D132" s="577"/>
      <c r="E132" s="577"/>
      <c r="F132" s="577"/>
      <c r="G132" s="577"/>
      <c r="H132" s="577"/>
      <c r="I132" s="577"/>
      <c r="J132" s="577"/>
      <c r="K132" s="577"/>
      <c r="L132" s="577"/>
      <c r="M132" s="578"/>
    </row>
    <row r="133" spans="2:13" ht="30" customHeight="1" x14ac:dyDescent="0.25">
      <c r="B133" s="576" t="s">
        <v>86</v>
      </c>
      <c r="C133" s="577"/>
      <c r="D133" s="577"/>
      <c r="E133" s="577"/>
      <c r="F133" s="577"/>
      <c r="G133" s="577"/>
      <c r="H133" s="577"/>
      <c r="I133" s="577"/>
      <c r="J133" s="577"/>
      <c r="K133" s="577"/>
      <c r="L133" s="577"/>
      <c r="M133" s="578"/>
    </row>
    <row r="134" spans="2:13" ht="30" customHeight="1" x14ac:dyDescent="0.3">
      <c r="B134" s="95"/>
      <c r="C134" s="604" t="s">
        <v>201</v>
      </c>
      <c r="D134" s="604"/>
      <c r="E134" s="604"/>
      <c r="F134" s="604"/>
      <c r="G134" s="604"/>
      <c r="H134" s="604"/>
      <c r="I134" s="604"/>
      <c r="J134" s="604"/>
      <c r="K134" s="604"/>
      <c r="L134" s="604"/>
      <c r="M134" s="101"/>
    </row>
    <row r="135" spans="2:13" ht="30" customHeight="1" x14ac:dyDescent="0.3">
      <c r="B135" s="95"/>
      <c r="C135" s="604"/>
      <c r="D135" s="604"/>
      <c r="E135" s="604"/>
      <c r="F135" s="604"/>
      <c r="G135" s="604"/>
      <c r="H135" s="604"/>
      <c r="I135" s="604"/>
      <c r="J135" s="604"/>
      <c r="K135" s="604"/>
      <c r="L135" s="604"/>
      <c r="M135" s="101"/>
    </row>
    <row r="136" spans="2:13" ht="30" customHeight="1" x14ac:dyDescent="0.3">
      <c r="B136" s="567"/>
      <c r="C136" s="568"/>
      <c r="D136" s="568"/>
      <c r="E136" s="96"/>
      <c r="F136" s="96"/>
      <c r="G136" s="96"/>
      <c r="H136" s="96"/>
      <c r="I136" s="96"/>
      <c r="J136" s="568"/>
      <c r="K136" s="568"/>
      <c r="L136" s="568"/>
      <c r="M136" s="101"/>
    </row>
    <row r="137" spans="2:13" ht="30" customHeight="1" x14ac:dyDescent="0.3">
      <c r="B137" s="569" t="s">
        <v>87</v>
      </c>
      <c r="C137" s="570"/>
      <c r="D137" s="570"/>
      <c r="E137" s="96"/>
      <c r="F137" s="96"/>
      <c r="G137" s="96"/>
      <c r="H137" s="96"/>
      <c r="I137" s="128" t="s">
        <v>88</v>
      </c>
      <c r="J137" s="128"/>
      <c r="K137" s="128"/>
      <c r="L137" s="102"/>
      <c r="M137" s="101"/>
    </row>
    <row r="138" spans="2:13" ht="30" customHeight="1" x14ac:dyDescent="0.3">
      <c r="B138" s="95" t="s">
        <v>44</v>
      </c>
      <c r="C138" s="96"/>
      <c r="D138" s="96"/>
      <c r="E138" s="96"/>
      <c r="F138" s="96"/>
      <c r="G138" s="96"/>
      <c r="H138" s="96"/>
      <c r="I138" s="96"/>
      <c r="J138" s="570"/>
      <c r="K138" s="570"/>
      <c r="L138" s="570"/>
      <c r="M138" s="101"/>
    </row>
    <row r="139" spans="2:13" ht="30" customHeight="1" x14ac:dyDescent="0.3">
      <c r="B139" s="95" t="s">
        <v>64</v>
      </c>
      <c r="C139" s="570">
        <f>C102</f>
        <v>0</v>
      </c>
      <c r="D139" s="570"/>
      <c r="E139" s="570"/>
      <c r="F139" s="96"/>
      <c r="G139" s="96"/>
      <c r="H139" s="96"/>
      <c r="I139" s="99" t="s">
        <v>104</v>
      </c>
      <c r="J139" s="571">
        <f>'PB '!C7</f>
        <v>0</v>
      </c>
      <c r="K139" s="571"/>
      <c r="L139" s="571"/>
      <c r="M139" s="572"/>
    </row>
    <row r="140" spans="2:13" ht="30" customHeight="1" thickBot="1" x14ac:dyDescent="0.35">
      <c r="B140" s="129"/>
      <c r="C140" s="130"/>
      <c r="D140" s="130"/>
      <c r="E140" s="130"/>
      <c r="F140" s="130"/>
      <c r="G140" s="130"/>
      <c r="H140" s="130"/>
      <c r="I140" s="130"/>
      <c r="J140" s="131"/>
      <c r="K140" s="132"/>
      <c r="L140" s="132"/>
      <c r="M140" s="133"/>
    </row>
    <row r="141" spans="2:13" ht="30" customHeight="1" x14ac:dyDescent="0.35">
      <c r="B141" s="135"/>
      <c r="C141" s="135"/>
      <c r="D141" s="135"/>
      <c r="E141" s="135"/>
      <c r="F141" s="135"/>
      <c r="G141" s="135"/>
      <c r="H141" s="135"/>
      <c r="I141" s="135"/>
      <c r="J141" s="135"/>
      <c r="K141" s="135"/>
      <c r="L141" s="135"/>
      <c r="M141" s="135"/>
    </row>
    <row r="142" spans="2:13" ht="30" customHeight="1" x14ac:dyDescent="0.35">
      <c r="B142" s="135"/>
      <c r="C142" s="135"/>
      <c r="D142" s="135"/>
      <c r="E142" s="135"/>
      <c r="F142" s="135"/>
      <c r="G142" s="135"/>
      <c r="H142" s="135"/>
      <c r="I142" s="135"/>
      <c r="J142" s="135"/>
      <c r="K142" s="135"/>
      <c r="L142" s="135"/>
      <c r="M142" s="135"/>
    </row>
    <row r="143" spans="2:13" ht="30" customHeight="1" x14ac:dyDescent="0.35">
      <c r="B143" s="135"/>
      <c r="C143" s="135"/>
      <c r="D143" s="135"/>
      <c r="E143" s="135"/>
      <c r="F143" s="135"/>
      <c r="G143" s="135"/>
      <c r="H143" s="135"/>
      <c r="I143" s="135"/>
      <c r="J143" s="135"/>
      <c r="K143" s="135"/>
      <c r="L143" s="135"/>
      <c r="M143" s="135"/>
    </row>
    <row r="144" spans="2:13" ht="30" customHeight="1" thickBot="1" x14ac:dyDescent="0.4">
      <c r="B144" s="135"/>
      <c r="C144" s="135"/>
      <c r="D144" s="135"/>
      <c r="E144" s="135"/>
      <c r="F144" s="135"/>
      <c r="G144" s="135"/>
      <c r="H144" s="135"/>
      <c r="I144" s="135"/>
      <c r="J144" s="135"/>
      <c r="K144" s="135"/>
      <c r="L144" s="135"/>
      <c r="M144" s="135"/>
    </row>
    <row r="145" spans="2:13" ht="30" customHeight="1" x14ac:dyDescent="0.3">
      <c r="B145" s="584"/>
      <c r="C145" s="585"/>
      <c r="D145" s="585"/>
      <c r="E145" s="585"/>
      <c r="F145" s="585"/>
      <c r="G145" s="585"/>
      <c r="H145" s="585"/>
      <c r="I145" s="585"/>
      <c r="J145" s="585"/>
      <c r="K145" s="585"/>
      <c r="L145" s="585"/>
      <c r="M145" s="586"/>
    </row>
    <row r="146" spans="2:13" ht="30" customHeight="1" x14ac:dyDescent="0.3">
      <c r="B146" s="587" t="s">
        <v>62</v>
      </c>
      <c r="C146" s="588"/>
      <c r="D146" s="588"/>
      <c r="E146" s="588"/>
      <c r="F146" s="588"/>
      <c r="G146" s="588"/>
      <c r="H146" s="588"/>
      <c r="I146" s="588"/>
      <c r="J146" s="588"/>
      <c r="K146" s="588"/>
      <c r="L146" s="588"/>
      <c r="M146" s="589"/>
    </row>
    <row r="147" spans="2:13" ht="30" customHeight="1" x14ac:dyDescent="0.3">
      <c r="B147" s="95" t="s">
        <v>63</v>
      </c>
      <c r="C147" s="570" t="str">
        <f>C100</f>
        <v>Vessel name</v>
      </c>
      <c r="D147" s="570"/>
      <c r="E147" s="570"/>
      <c r="F147" s="96"/>
      <c r="G147" s="570"/>
      <c r="H147" s="570"/>
      <c r="I147" s="570"/>
      <c r="J147" s="96" t="s">
        <v>44</v>
      </c>
      <c r="K147" s="97"/>
      <c r="L147" s="582"/>
      <c r="M147" s="583"/>
    </row>
    <row r="148" spans="2:13" ht="30" customHeight="1" x14ac:dyDescent="0.3">
      <c r="B148" s="98"/>
      <c r="C148" s="96"/>
      <c r="D148" s="96"/>
      <c r="E148" s="99"/>
      <c r="F148" s="100"/>
      <c r="G148" s="100"/>
      <c r="H148" s="100"/>
      <c r="I148" s="96"/>
      <c r="J148" s="96"/>
      <c r="K148" s="97"/>
      <c r="L148" s="97"/>
      <c r="M148" s="101"/>
    </row>
    <row r="149" spans="2:13" ht="30" customHeight="1" x14ac:dyDescent="0.3">
      <c r="B149" s="95" t="s">
        <v>64</v>
      </c>
      <c r="C149" s="570">
        <f>+'PB '!C37</f>
        <v>0</v>
      </c>
      <c r="D149" s="570"/>
      <c r="E149" s="570"/>
      <c r="F149" s="570"/>
      <c r="G149" s="102"/>
      <c r="H149" s="96" t="s">
        <v>21</v>
      </c>
      <c r="I149" s="603" t="str">
        <f>'PB '!D37</f>
        <v>3rd.Engineer</v>
      </c>
      <c r="J149" s="603"/>
      <c r="K149" s="96"/>
      <c r="L149" s="582"/>
      <c r="M149" s="583"/>
    </row>
    <row r="150" spans="2:13" ht="30" customHeight="1" x14ac:dyDescent="0.3">
      <c r="B150" s="95"/>
      <c r="C150" s="96"/>
      <c r="D150" s="96"/>
      <c r="E150" s="96"/>
      <c r="F150" s="96"/>
      <c r="G150" s="96" t="s">
        <v>65</v>
      </c>
      <c r="H150" s="96"/>
      <c r="I150" s="96"/>
      <c r="J150" s="96"/>
      <c r="K150" s="96"/>
      <c r="L150" s="96"/>
      <c r="M150" s="101"/>
    </row>
    <row r="151" spans="2:13" ht="30" customHeight="1" x14ac:dyDescent="0.3">
      <c r="B151" s="95"/>
      <c r="C151" s="96"/>
      <c r="D151" s="96"/>
      <c r="E151" s="96"/>
      <c r="F151" s="96"/>
      <c r="G151" s="96" t="s">
        <v>44</v>
      </c>
      <c r="H151" s="96"/>
      <c r="I151" s="96"/>
      <c r="J151" s="96"/>
      <c r="K151" s="96"/>
      <c r="L151" s="96"/>
      <c r="M151" s="101"/>
    </row>
    <row r="152" spans="2:13" ht="30" customHeight="1" x14ac:dyDescent="0.3">
      <c r="B152" s="95"/>
      <c r="C152" s="96"/>
      <c r="D152" s="96"/>
      <c r="E152" s="96"/>
      <c r="F152" s="96"/>
      <c r="G152" s="103" t="s">
        <v>66</v>
      </c>
      <c r="H152" s="104"/>
      <c r="I152" s="103"/>
      <c r="J152" s="103"/>
      <c r="K152" s="96" t="s">
        <v>51</v>
      </c>
      <c r="L152" s="105">
        <f>'PB '!V37</f>
        <v>0</v>
      </c>
      <c r="M152" s="101"/>
    </row>
    <row r="153" spans="2:13" ht="30" customHeight="1" x14ac:dyDescent="0.3">
      <c r="B153" s="95"/>
      <c r="C153" s="96"/>
      <c r="D153" s="96"/>
      <c r="E153" s="96"/>
      <c r="F153" s="96"/>
      <c r="G153" s="96"/>
      <c r="H153" s="96"/>
      <c r="I153" s="96"/>
      <c r="J153" s="96"/>
      <c r="K153" s="96"/>
      <c r="L153" s="96"/>
      <c r="M153" s="101"/>
    </row>
    <row r="154" spans="2:13" ht="30" customHeight="1" x14ac:dyDescent="0.3">
      <c r="B154" s="590" t="s">
        <v>67</v>
      </c>
      <c r="C154" s="591"/>
      <c r="D154" s="592" t="s">
        <v>60</v>
      </c>
      <c r="E154" s="593"/>
      <c r="F154" s="579" t="s">
        <v>61</v>
      </c>
      <c r="G154" s="580"/>
      <c r="H154" s="106" t="s">
        <v>68</v>
      </c>
      <c r="I154" s="107" t="s">
        <v>69</v>
      </c>
      <c r="J154" s="106" t="s">
        <v>51</v>
      </c>
      <c r="K154" s="108"/>
      <c r="L154" s="108"/>
      <c r="M154" s="109"/>
    </row>
    <row r="155" spans="2:13" ht="30" customHeight="1" x14ac:dyDescent="0.3">
      <c r="B155" s="560" t="s">
        <v>70</v>
      </c>
      <c r="C155" s="581"/>
      <c r="D155" s="110">
        <f>'PB '!E37</f>
        <v>1</v>
      </c>
      <c r="E155" s="111">
        <f>'PB '!C1</f>
        <v>0</v>
      </c>
      <c r="F155" s="112">
        <f>'PB '!F37</f>
        <v>29</v>
      </c>
      <c r="G155" s="111">
        <f>'PB '!C1</f>
        <v>0</v>
      </c>
      <c r="H155" s="113">
        <f>'PB '!G37</f>
        <v>29</v>
      </c>
      <c r="I155" s="114">
        <v>1172</v>
      </c>
      <c r="J155" s="115">
        <f>I155/30*H155</f>
        <v>1132.9333333333334</v>
      </c>
      <c r="K155" s="96"/>
      <c r="L155" s="96"/>
      <c r="M155" s="101"/>
    </row>
    <row r="156" spans="2:13" ht="30" customHeight="1" x14ac:dyDescent="0.3">
      <c r="B156" s="560" t="s">
        <v>71</v>
      </c>
      <c r="C156" s="581"/>
      <c r="D156" s="110">
        <f>D155</f>
        <v>1</v>
      </c>
      <c r="E156" s="111">
        <f>'PB '!C1</f>
        <v>0</v>
      </c>
      <c r="F156" s="112">
        <f>'PB '!F37</f>
        <v>29</v>
      </c>
      <c r="G156" s="111">
        <f>'PB '!C1</f>
        <v>0</v>
      </c>
      <c r="H156" s="113">
        <v>29</v>
      </c>
      <c r="I156" s="114">
        <v>733</v>
      </c>
      <c r="J156" s="115">
        <f t="shared" ref="J156:J158" si="3">I156/30*H156</f>
        <v>708.56666666666672</v>
      </c>
      <c r="K156" s="96"/>
      <c r="L156" s="96"/>
      <c r="M156" s="101"/>
    </row>
    <row r="157" spans="2:13" ht="30" customHeight="1" x14ac:dyDescent="0.3">
      <c r="B157" s="557" t="s">
        <v>72</v>
      </c>
      <c r="C157" s="558"/>
      <c r="D157" s="110">
        <f>D155</f>
        <v>1</v>
      </c>
      <c r="E157" s="111">
        <f>'PB '!C1</f>
        <v>0</v>
      </c>
      <c r="F157" s="112">
        <f>'PB '!F37</f>
        <v>29</v>
      </c>
      <c r="G157" s="111">
        <f>'PB '!C1</f>
        <v>0</v>
      </c>
      <c r="H157" s="113">
        <v>29</v>
      </c>
      <c r="I157" s="114">
        <v>97.7</v>
      </c>
      <c r="J157" s="115">
        <f t="shared" si="3"/>
        <v>94.443333333333342</v>
      </c>
      <c r="K157" s="96"/>
      <c r="L157" s="96"/>
      <c r="M157" s="101"/>
    </row>
    <row r="158" spans="2:13" ht="30" customHeight="1" x14ac:dyDescent="0.3">
      <c r="B158" s="557" t="s">
        <v>73</v>
      </c>
      <c r="C158" s="558"/>
      <c r="D158" s="110">
        <f>D155</f>
        <v>1</v>
      </c>
      <c r="E158" s="111">
        <f>'PB '!C1</f>
        <v>0</v>
      </c>
      <c r="F158" s="112">
        <f>'PB '!F37</f>
        <v>29</v>
      </c>
      <c r="G158" s="111">
        <f>'PB '!C1</f>
        <v>0</v>
      </c>
      <c r="H158" s="113">
        <v>29</v>
      </c>
      <c r="I158" s="114">
        <v>2797.3</v>
      </c>
      <c r="J158" s="115">
        <f t="shared" si="3"/>
        <v>2704.0566666666668</v>
      </c>
      <c r="K158" s="96"/>
      <c r="L158" s="96"/>
      <c r="M158" s="101"/>
    </row>
    <row r="159" spans="2:13" ht="30" customHeight="1" x14ac:dyDescent="0.3">
      <c r="B159" s="562" t="s">
        <v>74</v>
      </c>
      <c r="C159" s="563"/>
      <c r="D159" s="110"/>
      <c r="E159" s="111"/>
      <c r="F159" s="112"/>
      <c r="G159" s="111"/>
      <c r="H159" s="118"/>
      <c r="I159" s="114"/>
      <c r="J159" s="115">
        <f>'PB '!L37</f>
        <v>39.06666666666667</v>
      </c>
      <c r="K159" s="96"/>
      <c r="L159" s="96"/>
      <c r="M159" s="101"/>
    </row>
    <row r="160" spans="2:13" ht="30" customHeight="1" x14ac:dyDescent="0.3">
      <c r="B160" s="612" t="s">
        <v>176</v>
      </c>
      <c r="C160" s="559"/>
      <c r="D160" s="117"/>
      <c r="E160" s="111"/>
      <c r="F160" s="117"/>
      <c r="G160" s="111"/>
      <c r="H160" s="118"/>
      <c r="I160" s="114"/>
      <c r="J160" s="115">
        <v>0</v>
      </c>
      <c r="K160" s="96"/>
      <c r="L160" s="96"/>
      <c r="M160" s="101"/>
    </row>
    <row r="161" spans="2:13" ht="30" customHeight="1" x14ac:dyDescent="0.3">
      <c r="B161" s="95"/>
      <c r="C161" s="96"/>
      <c r="D161" s="96"/>
      <c r="E161" s="96"/>
      <c r="F161" s="565" t="s">
        <v>76</v>
      </c>
      <c r="G161" s="565"/>
      <c r="H161" s="565"/>
      <c r="I161" s="566"/>
      <c r="J161" s="119">
        <f>SUM(J155:J160)</f>
        <v>4679.0666666666666</v>
      </c>
      <c r="K161" s="120" t="s">
        <v>51</v>
      </c>
      <c r="L161" s="121">
        <f>J161</f>
        <v>4679.0666666666666</v>
      </c>
      <c r="M161" s="101"/>
    </row>
    <row r="162" spans="2:13" ht="30" customHeight="1" thickBot="1" x14ac:dyDescent="0.35">
      <c r="B162" s="95"/>
      <c r="C162" s="96"/>
      <c r="D162" s="96"/>
      <c r="E162" s="96"/>
      <c r="F162" s="96"/>
      <c r="G162" s="96"/>
      <c r="H162" s="96"/>
      <c r="I162" s="96"/>
      <c r="J162" s="96"/>
      <c r="K162" s="96"/>
      <c r="L162" s="122">
        <f>L152+L161</f>
        <v>4679.0666666666666</v>
      </c>
      <c r="M162" s="101"/>
    </row>
    <row r="163" spans="2:13" ht="30" customHeight="1" x14ac:dyDescent="0.3">
      <c r="B163" s="95"/>
      <c r="C163" s="96"/>
      <c r="D163" s="96"/>
      <c r="E163" s="96"/>
      <c r="F163" s="96"/>
      <c r="G163" s="96"/>
      <c r="H163" s="96"/>
      <c r="I163" s="96"/>
      <c r="J163" s="96"/>
      <c r="K163" s="96"/>
      <c r="L163" s="123"/>
      <c r="M163" s="101"/>
    </row>
    <row r="164" spans="2:13" ht="30" customHeight="1" x14ac:dyDescent="0.3">
      <c r="B164" s="95"/>
      <c r="C164" s="96"/>
      <c r="D164" s="96"/>
      <c r="E164" s="96"/>
      <c r="F164" s="96"/>
      <c r="G164" s="96"/>
      <c r="H164" s="96"/>
      <c r="I164" s="96"/>
      <c r="J164" s="96"/>
      <c r="K164" s="96"/>
      <c r="L164" s="123"/>
      <c r="M164" s="101"/>
    </row>
    <row r="165" spans="2:13" ht="30" customHeight="1" x14ac:dyDescent="0.3">
      <c r="B165" s="557" t="s">
        <v>77</v>
      </c>
      <c r="C165" s="558"/>
      <c r="D165" s="558"/>
      <c r="E165" s="558"/>
      <c r="F165" s="558"/>
      <c r="G165" s="558"/>
      <c r="H165" s="558"/>
      <c r="I165" s="559"/>
      <c r="J165" s="124"/>
      <c r="K165" s="96"/>
      <c r="L165" s="123"/>
      <c r="M165" s="101"/>
    </row>
    <row r="166" spans="2:13" ht="30" customHeight="1" x14ac:dyDescent="0.3">
      <c r="B166" s="560" t="s">
        <v>78</v>
      </c>
      <c r="C166" s="561"/>
      <c r="D166" s="561"/>
      <c r="E166" s="561"/>
      <c r="F166" s="561"/>
      <c r="G166" s="561"/>
      <c r="H166" s="561"/>
      <c r="I166" s="561"/>
      <c r="J166" s="114">
        <f>'PB '!Q37</f>
        <v>400</v>
      </c>
      <c r="K166" s="96"/>
      <c r="L166" s="123"/>
      <c r="M166" s="101"/>
    </row>
    <row r="167" spans="2:13" ht="30" customHeight="1" x14ac:dyDescent="0.3">
      <c r="B167" s="560" t="s">
        <v>79</v>
      </c>
      <c r="C167" s="561"/>
      <c r="D167" s="561"/>
      <c r="E167" s="561"/>
      <c r="F167" s="561"/>
      <c r="G167" s="561"/>
      <c r="H167" s="561"/>
      <c r="I167" s="561"/>
      <c r="J167" s="114">
        <f>'PB '!R37</f>
        <v>4263.9266666666663</v>
      </c>
      <c r="K167" s="96"/>
      <c r="L167" s="123"/>
      <c r="M167" s="101"/>
    </row>
    <row r="168" spans="2:13" ht="30" customHeight="1" x14ac:dyDescent="0.3">
      <c r="B168" s="560" t="s">
        <v>80</v>
      </c>
      <c r="C168" s="561"/>
      <c r="D168" s="561"/>
      <c r="E168" s="561"/>
      <c r="F168" s="561"/>
      <c r="G168" s="561"/>
      <c r="H168" s="561"/>
      <c r="I168" s="561"/>
      <c r="J168" s="114">
        <f>'PB '!S37</f>
        <v>15.14</v>
      </c>
      <c r="K168" s="96"/>
      <c r="L168" s="123"/>
      <c r="M168" s="101"/>
    </row>
    <row r="169" spans="2:13" ht="30" customHeight="1" x14ac:dyDescent="0.3">
      <c r="B169" s="560" t="s">
        <v>81</v>
      </c>
      <c r="C169" s="561"/>
      <c r="D169" s="561"/>
      <c r="E169" s="561"/>
      <c r="F169" s="561"/>
      <c r="G169" s="561"/>
      <c r="H169" s="561"/>
      <c r="I169" s="561"/>
      <c r="J169" s="114">
        <v>0</v>
      </c>
      <c r="K169" s="96"/>
      <c r="L169" s="123"/>
      <c r="M169" s="101"/>
    </row>
    <row r="170" spans="2:13" ht="30" customHeight="1" x14ac:dyDescent="0.3">
      <c r="B170" s="557" t="s">
        <v>107</v>
      </c>
      <c r="C170" s="558"/>
      <c r="D170" s="558"/>
      <c r="E170" s="558"/>
      <c r="F170" s="558"/>
      <c r="G170" s="558"/>
      <c r="H170" s="558"/>
      <c r="I170" s="559"/>
      <c r="J170" s="114">
        <f>'PB '!T79</f>
        <v>0</v>
      </c>
      <c r="K170" s="96"/>
      <c r="L170" s="123"/>
      <c r="M170" s="101"/>
    </row>
    <row r="171" spans="2:13" ht="30" customHeight="1" thickBot="1" x14ac:dyDescent="0.35">
      <c r="B171" s="560"/>
      <c r="C171" s="561"/>
      <c r="D171" s="561"/>
      <c r="E171" s="561"/>
      <c r="F171" s="561"/>
      <c r="G171" s="561"/>
      <c r="H171" s="561"/>
      <c r="I171" s="561"/>
      <c r="J171" s="114"/>
      <c r="K171" s="96"/>
      <c r="L171" s="123"/>
      <c r="M171" s="101"/>
    </row>
    <row r="172" spans="2:13" ht="30" customHeight="1" thickBot="1" x14ac:dyDescent="0.35">
      <c r="B172" s="95"/>
      <c r="C172" s="96"/>
      <c r="D172" s="96"/>
      <c r="E172" s="96"/>
      <c r="F172" s="573" t="s">
        <v>83</v>
      </c>
      <c r="G172" s="574"/>
      <c r="H172" s="574"/>
      <c r="I172" s="575"/>
      <c r="J172" s="114">
        <f>SUM(J166:J170)</f>
        <v>4679.0666666666666</v>
      </c>
      <c r="K172" s="96" t="s">
        <v>51</v>
      </c>
      <c r="L172" s="125">
        <f>J172</f>
        <v>4679.0666666666666</v>
      </c>
      <c r="M172" s="101"/>
    </row>
    <row r="173" spans="2:13" ht="30" customHeight="1" x14ac:dyDescent="0.3">
      <c r="B173" s="95"/>
      <c r="C173" s="96"/>
      <c r="D173" s="96"/>
      <c r="E173" s="96"/>
      <c r="F173" s="96"/>
      <c r="G173" s="96"/>
      <c r="H173" s="96"/>
      <c r="I173" s="96"/>
      <c r="J173" s="96"/>
      <c r="K173" s="96"/>
      <c r="L173" s="123"/>
      <c r="M173" s="101"/>
    </row>
    <row r="174" spans="2:13" ht="30" customHeight="1" x14ac:dyDescent="0.3">
      <c r="B174" s="95"/>
      <c r="C174" s="96"/>
      <c r="D174" s="96"/>
      <c r="E174" s="96"/>
      <c r="F174" s="96"/>
      <c r="G174" s="96"/>
      <c r="H174" s="96"/>
      <c r="I174" s="96"/>
      <c r="J174" s="96"/>
      <c r="K174" s="96"/>
      <c r="L174" s="123"/>
      <c r="M174" s="101"/>
    </row>
    <row r="175" spans="2:13" ht="30" customHeight="1" thickBot="1" x14ac:dyDescent="0.35">
      <c r="B175" s="95"/>
      <c r="C175" s="96"/>
      <c r="D175" s="96"/>
      <c r="E175" s="96"/>
      <c r="F175" s="112" t="s">
        <v>84</v>
      </c>
      <c r="G175" s="112"/>
      <c r="H175" s="112"/>
      <c r="I175" s="112"/>
      <c r="J175" s="112"/>
      <c r="K175" s="96" t="s">
        <v>51</v>
      </c>
      <c r="L175" s="126">
        <f>L162-L172</f>
        <v>0</v>
      </c>
      <c r="M175" s="101"/>
    </row>
    <row r="176" spans="2:13" ht="30" customHeight="1" x14ac:dyDescent="0.3">
      <c r="B176" s="127"/>
      <c r="C176" s="96"/>
      <c r="D176" s="96"/>
      <c r="E176" s="96"/>
      <c r="F176" s="96"/>
      <c r="G176" s="96"/>
      <c r="H176" s="96"/>
      <c r="I176" s="96" t="s">
        <v>44</v>
      </c>
      <c r="J176" s="96" t="s">
        <v>44</v>
      </c>
      <c r="K176" s="96" t="s">
        <v>44</v>
      </c>
      <c r="L176" s="123" t="s">
        <v>44</v>
      </c>
      <c r="M176" s="101"/>
    </row>
    <row r="177" spans="2:15" ht="30" customHeight="1" x14ac:dyDescent="0.3">
      <c r="B177" s="127"/>
      <c r="C177" s="96"/>
      <c r="D177" s="96"/>
      <c r="E177" s="96"/>
      <c r="F177" s="96"/>
      <c r="G177" s="96"/>
      <c r="H177" s="96"/>
      <c r="I177" s="96"/>
      <c r="J177" s="96"/>
      <c r="K177" s="96"/>
      <c r="L177" s="123"/>
      <c r="M177" s="101"/>
    </row>
    <row r="178" spans="2:15" ht="30" customHeight="1" x14ac:dyDescent="0.3">
      <c r="B178" s="127"/>
      <c r="C178" s="96"/>
      <c r="D178" s="96"/>
      <c r="E178" s="96"/>
      <c r="F178" s="96"/>
      <c r="G178" s="96"/>
      <c r="H178" s="96"/>
      <c r="I178" s="96"/>
      <c r="J178" s="96"/>
      <c r="K178" s="96"/>
      <c r="L178" s="123"/>
      <c r="M178" s="101"/>
    </row>
    <row r="179" spans="2:15" ht="30" customHeight="1" x14ac:dyDescent="0.25">
      <c r="B179" s="576" t="s">
        <v>85</v>
      </c>
      <c r="C179" s="577"/>
      <c r="D179" s="577"/>
      <c r="E179" s="577"/>
      <c r="F179" s="577"/>
      <c r="G179" s="577"/>
      <c r="H179" s="577"/>
      <c r="I179" s="577"/>
      <c r="J179" s="577"/>
      <c r="K179" s="577"/>
      <c r="L179" s="577"/>
      <c r="M179" s="578"/>
    </row>
    <row r="180" spans="2:15" ht="30" customHeight="1" x14ac:dyDescent="0.25">
      <c r="B180" s="576" t="s">
        <v>86</v>
      </c>
      <c r="C180" s="577"/>
      <c r="D180" s="577"/>
      <c r="E180" s="577"/>
      <c r="F180" s="577"/>
      <c r="G180" s="577"/>
      <c r="H180" s="577"/>
      <c r="I180" s="577"/>
      <c r="J180" s="577"/>
      <c r="K180" s="577"/>
      <c r="L180" s="577"/>
      <c r="M180" s="578"/>
    </row>
    <row r="181" spans="2:15" ht="30" customHeight="1" x14ac:dyDescent="0.3">
      <c r="B181" s="95"/>
      <c r="C181" s="660"/>
      <c r="D181" s="660"/>
      <c r="E181" s="660"/>
      <c r="F181" s="660"/>
      <c r="G181" s="660"/>
      <c r="H181" s="660"/>
      <c r="I181" s="660"/>
      <c r="J181" s="660"/>
      <c r="K181" s="660"/>
      <c r="L181" s="660"/>
      <c r="M181" s="101"/>
    </row>
    <row r="182" spans="2:15" ht="30" customHeight="1" x14ac:dyDescent="0.3">
      <c r="B182" s="95"/>
      <c r="C182" s="660"/>
      <c r="D182" s="660"/>
      <c r="E182" s="660"/>
      <c r="F182" s="660"/>
      <c r="G182" s="660"/>
      <c r="H182" s="660"/>
      <c r="I182" s="660"/>
      <c r="J182" s="660"/>
      <c r="K182" s="660"/>
      <c r="L182" s="660"/>
      <c r="M182" s="101"/>
    </row>
    <row r="183" spans="2:15" ht="30" customHeight="1" x14ac:dyDescent="0.3">
      <c r="B183" s="567"/>
      <c r="C183" s="568"/>
      <c r="D183" s="568"/>
      <c r="E183" s="96"/>
      <c r="F183" s="96"/>
      <c r="G183" s="96"/>
      <c r="H183" s="96"/>
      <c r="I183" s="96"/>
      <c r="J183" s="568"/>
      <c r="K183" s="568"/>
      <c r="L183" s="568"/>
      <c r="M183" s="101"/>
    </row>
    <row r="184" spans="2:15" ht="30" customHeight="1" x14ac:dyDescent="0.3">
      <c r="B184" s="569" t="s">
        <v>87</v>
      </c>
      <c r="C184" s="570"/>
      <c r="D184" s="570"/>
      <c r="E184" s="96"/>
      <c r="F184" s="96"/>
      <c r="G184" s="96"/>
      <c r="H184" s="96"/>
      <c r="I184" s="128" t="s">
        <v>88</v>
      </c>
      <c r="J184" s="128"/>
      <c r="K184" s="128"/>
      <c r="L184" s="102"/>
      <c r="M184" s="101"/>
    </row>
    <row r="185" spans="2:15" ht="30" customHeight="1" x14ac:dyDescent="0.3">
      <c r="B185" s="95" t="s">
        <v>44</v>
      </c>
      <c r="C185" s="96"/>
      <c r="D185" s="96"/>
      <c r="E185" s="96"/>
      <c r="F185" s="96"/>
      <c r="G185" s="96"/>
      <c r="H185" s="96"/>
      <c r="I185" s="96"/>
      <c r="J185" s="570"/>
      <c r="K185" s="570"/>
      <c r="L185" s="570"/>
      <c r="M185" s="101"/>
    </row>
    <row r="186" spans="2:15" ht="30" customHeight="1" x14ac:dyDescent="0.3">
      <c r="B186" s="95" t="s">
        <v>64</v>
      </c>
      <c r="C186" s="570">
        <f>C149</f>
        <v>0</v>
      </c>
      <c r="D186" s="570"/>
      <c r="E186" s="570"/>
      <c r="F186" s="96"/>
      <c r="G186" s="96"/>
      <c r="H186" s="96"/>
      <c r="I186" s="99" t="s">
        <v>104</v>
      </c>
      <c r="J186" s="571">
        <f>'PB '!C7</f>
        <v>0</v>
      </c>
      <c r="K186" s="571"/>
      <c r="L186" s="571"/>
      <c r="M186" s="572"/>
    </row>
    <row r="187" spans="2:15" ht="30" customHeight="1" thickBot="1" x14ac:dyDescent="0.35">
      <c r="B187" s="129"/>
      <c r="C187" s="130"/>
      <c r="D187" s="130"/>
      <c r="E187" s="130"/>
      <c r="F187" s="130"/>
      <c r="G187" s="130"/>
      <c r="H187" s="130"/>
      <c r="I187" s="130"/>
      <c r="J187" s="131"/>
      <c r="K187" s="132"/>
      <c r="L187" s="132"/>
      <c r="M187" s="133"/>
    </row>
    <row r="188" spans="2:15" ht="30" customHeight="1" x14ac:dyDescent="0.35">
      <c r="B188" s="135"/>
      <c r="C188" s="135"/>
      <c r="D188" s="135"/>
      <c r="E188" s="135"/>
      <c r="F188" s="135"/>
      <c r="G188" s="135"/>
      <c r="H188" s="135"/>
      <c r="I188" s="135"/>
      <c r="J188" s="135"/>
      <c r="K188" s="135"/>
      <c r="L188" s="135"/>
      <c r="M188" s="135"/>
    </row>
    <row r="189" spans="2:15" ht="30" customHeight="1" x14ac:dyDescent="0.35">
      <c r="B189" s="135"/>
      <c r="C189" s="135"/>
      <c r="D189" s="135"/>
      <c r="E189" s="135"/>
      <c r="F189" s="135"/>
      <c r="G189" s="135"/>
      <c r="H189" s="135"/>
      <c r="I189" s="135"/>
      <c r="J189" s="135"/>
      <c r="K189" s="135"/>
      <c r="L189" s="135"/>
      <c r="M189" s="135"/>
    </row>
    <row r="190" spans="2:15" ht="30" customHeight="1" x14ac:dyDescent="0.35">
      <c r="B190" s="135"/>
      <c r="C190" s="135"/>
      <c r="D190" s="135"/>
      <c r="E190" s="135"/>
      <c r="F190" s="135"/>
      <c r="G190" s="135"/>
      <c r="H190" s="135"/>
      <c r="I190" s="135"/>
      <c r="J190" s="135"/>
      <c r="K190" s="135"/>
      <c r="L190" s="135"/>
      <c r="M190" s="135"/>
      <c r="O190">
        <v>6</v>
      </c>
    </row>
    <row r="191" spans="2:15" ht="30" customHeight="1" thickBot="1" x14ac:dyDescent="0.4">
      <c r="B191" s="135"/>
      <c r="C191" s="135"/>
      <c r="D191" s="135"/>
      <c r="E191" s="135"/>
      <c r="F191" s="135"/>
      <c r="G191" s="135"/>
      <c r="H191" s="135"/>
      <c r="I191" s="135"/>
      <c r="J191" s="135"/>
      <c r="K191" s="135"/>
      <c r="L191" s="135"/>
      <c r="M191" s="135"/>
    </row>
    <row r="192" spans="2:15" ht="30" customHeight="1" x14ac:dyDescent="0.3">
      <c r="B192" s="584"/>
      <c r="C192" s="585"/>
      <c r="D192" s="585"/>
      <c r="E192" s="585"/>
      <c r="F192" s="585"/>
      <c r="G192" s="585"/>
      <c r="H192" s="585"/>
      <c r="I192" s="585"/>
      <c r="J192" s="585"/>
      <c r="K192" s="585"/>
      <c r="L192" s="585"/>
      <c r="M192" s="586"/>
    </row>
    <row r="193" spans="2:13" ht="30" customHeight="1" x14ac:dyDescent="0.3">
      <c r="B193" s="587" t="s">
        <v>62</v>
      </c>
      <c r="C193" s="588"/>
      <c r="D193" s="588"/>
      <c r="E193" s="588"/>
      <c r="F193" s="588"/>
      <c r="G193" s="588"/>
      <c r="H193" s="588"/>
      <c r="I193" s="588"/>
      <c r="J193" s="588"/>
      <c r="K193" s="588"/>
      <c r="L193" s="588"/>
      <c r="M193" s="589"/>
    </row>
    <row r="194" spans="2:13" ht="42" customHeight="1" x14ac:dyDescent="0.3">
      <c r="B194" s="95" t="s">
        <v>63</v>
      </c>
      <c r="C194" s="570" t="str">
        <f>C147</f>
        <v>Vessel name</v>
      </c>
      <c r="D194" s="570"/>
      <c r="E194" s="570"/>
      <c r="F194" s="96"/>
      <c r="G194" s="570"/>
      <c r="H194" s="570"/>
      <c r="I194" s="570"/>
      <c r="J194" s="96" t="s">
        <v>44</v>
      </c>
      <c r="K194" s="97"/>
      <c r="L194" s="582"/>
      <c r="M194" s="583"/>
    </row>
    <row r="195" spans="2:13" ht="30" customHeight="1" x14ac:dyDescent="0.3">
      <c r="B195" s="98"/>
      <c r="C195" s="96"/>
      <c r="D195" s="96"/>
      <c r="E195" s="99"/>
      <c r="F195" s="100"/>
      <c r="G195" s="100"/>
      <c r="H195" s="100"/>
      <c r="I195" s="96"/>
      <c r="J195" s="96"/>
      <c r="K195" s="97"/>
      <c r="L195" s="97"/>
      <c r="M195" s="101"/>
    </row>
    <row r="196" spans="2:13" ht="30" customHeight="1" x14ac:dyDescent="0.3">
      <c r="B196" s="95" t="s">
        <v>64</v>
      </c>
      <c r="C196" s="570">
        <f>+'PB '!C38</f>
        <v>0</v>
      </c>
      <c r="D196" s="570"/>
      <c r="E196" s="570"/>
      <c r="F196" s="570"/>
      <c r="G196" s="102"/>
      <c r="H196" s="96" t="s">
        <v>21</v>
      </c>
      <c r="I196" s="603" t="str">
        <f>'PB '!D38</f>
        <v>Oiler 3</v>
      </c>
      <c r="J196" s="603"/>
      <c r="K196" s="96"/>
      <c r="L196" s="582"/>
      <c r="M196" s="583"/>
    </row>
    <row r="197" spans="2:13" ht="30" customHeight="1" x14ac:dyDescent="0.3">
      <c r="B197" s="95"/>
      <c r="C197" s="96"/>
      <c r="D197" s="96"/>
      <c r="E197" s="96"/>
      <c r="F197" s="96"/>
      <c r="G197" s="96" t="s">
        <v>65</v>
      </c>
      <c r="H197" s="96"/>
      <c r="I197" s="96"/>
      <c r="J197" s="96"/>
      <c r="K197" s="96"/>
      <c r="L197" s="96"/>
      <c r="M197" s="101"/>
    </row>
    <row r="198" spans="2:13" ht="30" customHeight="1" x14ac:dyDescent="0.3">
      <c r="B198" s="95"/>
      <c r="C198" s="96"/>
      <c r="D198" s="96"/>
      <c r="E198" s="96"/>
      <c r="F198" s="96"/>
      <c r="G198" s="96" t="s">
        <v>44</v>
      </c>
      <c r="H198" s="96"/>
      <c r="I198" s="96"/>
      <c r="J198" s="96"/>
      <c r="K198" s="96"/>
      <c r="L198" s="96"/>
      <c r="M198" s="101"/>
    </row>
    <row r="199" spans="2:13" ht="30" customHeight="1" x14ac:dyDescent="0.3">
      <c r="B199" s="95"/>
      <c r="C199" s="96"/>
      <c r="D199" s="96"/>
      <c r="E199" s="96"/>
      <c r="F199" s="96"/>
      <c r="G199" s="103" t="s">
        <v>66</v>
      </c>
      <c r="H199" s="104"/>
      <c r="I199" s="103"/>
      <c r="J199" s="103"/>
      <c r="K199" s="96" t="s">
        <v>51</v>
      </c>
      <c r="L199" s="105">
        <f>'PB '!V38</f>
        <v>0</v>
      </c>
      <c r="M199" s="101"/>
    </row>
    <row r="200" spans="2:13" ht="30" customHeight="1" x14ac:dyDescent="0.3">
      <c r="B200" s="95"/>
      <c r="C200" s="96"/>
      <c r="D200" s="96"/>
      <c r="E200" s="96"/>
      <c r="F200" s="96"/>
      <c r="G200" s="96"/>
      <c r="H200" s="96"/>
      <c r="I200" s="96"/>
      <c r="J200" s="96"/>
      <c r="K200" s="96"/>
      <c r="L200" s="96"/>
      <c r="M200" s="101"/>
    </row>
    <row r="201" spans="2:13" ht="30" customHeight="1" x14ac:dyDescent="0.3">
      <c r="B201" s="590" t="s">
        <v>67</v>
      </c>
      <c r="C201" s="591"/>
      <c r="D201" s="592" t="s">
        <v>60</v>
      </c>
      <c r="E201" s="593"/>
      <c r="F201" s="579" t="s">
        <v>61</v>
      </c>
      <c r="G201" s="580"/>
      <c r="H201" s="106" t="s">
        <v>68</v>
      </c>
      <c r="I201" s="107" t="s">
        <v>69</v>
      </c>
      <c r="J201" s="106" t="s">
        <v>51</v>
      </c>
      <c r="K201" s="108"/>
      <c r="L201" s="108"/>
      <c r="M201" s="109"/>
    </row>
    <row r="202" spans="2:13" ht="30" customHeight="1" x14ac:dyDescent="0.3">
      <c r="B202" s="560" t="s">
        <v>70</v>
      </c>
      <c r="C202" s="581"/>
      <c r="D202" s="110">
        <f>'PB '!E38</f>
        <v>1</v>
      </c>
      <c r="E202" s="111">
        <f>'PB '!C1</f>
        <v>0</v>
      </c>
      <c r="F202" s="112">
        <f>'PB '!F38</f>
        <v>29</v>
      </c>
      <c r="G202" s="111">
        <f>'PB '!C1</f>
        <v>0</v>
      </c>
      <c r="H202" s="113">
        <f>'PB '!G38</f>
        <v>29</v>
      </c>
      <c r="I202" s="114">
        <v>673</v>
      </c>
      <c r="J202" s="115">
        <f>I202/30*H202</f>
        <v>650.56666666666672</v>
      </c>
      <c r="K202" s="96"/>
      <c r="L202" s="96"/>
      <c r="M202" s="101"/>
    </row>
    <row r="203" spans="2:13" ht="30" customHeight="1" x14ac:dyDescent="0.3">
      <c r="B203" s="560" t="s">
        <v>71</v>
      </c>
      <c r="C203" s="581"/>
      <c r="D203" s="110">
        <f>D202</f>
        <v>1</v>
      </c>
      <c r="E203" s="111">
        <f>'PB '!C1</f>
        <v>0</v>
      </c>
      <c r="F203" s="112">
        <f>'PB '!F38</f>
        <v>29</v>
      </c>
      <c r="G203" s="111">
        <f>'PB '!C1</f>
        <v>0</v>
      </c>
      <c r="H203" s="113">
        <v>29</v>
      </c>
      <c r="I203" s="114">
        <v>421</v>
      </c>
      <c r="J203" s="115">
        <f t="shared" ref="J203:J205" si="4">I203/30*H203</f>
        <v>406.96666666666664</v>
      </c>
      <c r="K203" s="96"/>
      <c r="L203" s="96"/>
      <c r="M203" s="101"/>
    </row>
    <row r="204" spans="2:13" ht="30" customHeight="1" x14ac:dyDescent="0.3">
      <c r="B204" s="557" t="s">
        <v>72</v>
      </c>
      <c r="C204" s="558"/>
      <c r="D204" s="110">
        <f>D202</f>
        <v>1</v>
      </c>
      <c r="E204" s="111">
        <f>'PB '!C1</f>
        <v>0</v>
      </c>
      <c r="F204" s="112">
        <f>'PB '!F38</f>
        <v>29</v>
      </c>
      <c r="G204" s="111">
        <f>'PB '!C1</f>
        <v>0</v>
      </c>
      <c r="H204" s="113">
        <v>29</v>
      </c>
      <c r="I204" s="114">
        <v>56.08</v>
      </c>
      <c r="J204" s="115">
        <f t="shared" si="4"/>
        <v>54.210666666666668</v>
      </c>
      <c r="K204" s="96"/>
      <c r="L204" s="96"/>
      <c r="M204" s="101"/>
    </row>
    <row r="205" spans="2:13" ht="30" customHeight="1" x14ac:dyDescent="0.3">
      <c r="B205" s="557" t="s">
        <v>73</v>
      </c>
      <c r="C205" s="558"/>
      <c r="D205" s="110">
        <f>D202</f>
        <v>1</v>
      </c>
      <c r="E205" s="111">
        <f>'PB '!C1</f>
        <v>0</v>
      </c>
      <c r="F205" s="112">
        <f>'PB '!F38</f>
        <v>29</v>
      </c>
      <c r="G205" s="111">
        <f>'PB '!C1</f>
        <v>0</v>
      </c>
      <c r="H205" s="113">
        <v>29</v>
      </c>
      <c r="I205" s="114">
        <v>149.91999999999999</v>
      </c>
      <c r="J205" s="115">
        <f t="shared" si="4"/>
        <v>144.92266666666666</v>
      </c>
      <c r="K205" s="96"/>
      <c r="L205" s="96"/>
      <c r="M205" s="101"/>
    </row>
    <row r="206" spans="2:13" ht="30" customHeight="1" x14ac:dyDescent="0.3">
      <c r="B206" s="562" t="s">
        <v>74</v>
      </c>
      <c r="C206" s="563"/>
      <c r="D206" s="110"/>
      <c r="E206" s="111"/>
      <c r="F206" s="112"/>
      <c r="G206" s="111"/>
      <c r="H206" s="118"/>
      <c r="I206" s="114"/>
      <c r="J206" s="115">
        <f>'PB '!L38</f>
        <v>22.433333333333334</v>
      </c>
      <c r="K206" s="96"/>
      <c r="L206" s="96"/>
      <c r="M206" s="101"/>
    </row>
    <row r="207" spans="2:13" ht="30" customHeight="1" x14ac:dyDescent="0.3">
      <c r="B207" s="612" t="s">
        <v>176</v>
      </c>
      <c r="C207" s="559"/>
      <c r="D207" s="117"/>
      <c r="E207" s="111"/>
      <c r="F207" s="117"/>
      <c r="G207" s="111"/>
      <c r="H207" s="118"/>
      <c r="I207" s="114"/>
      <c r="J207" s="115">
        <v>37.5</v>
      </c>
      <c r="K207" s="96"/>
      <c r="L207" s="96"/>
      <c r="M207" s="101"/>
    </row>
    <row r="208" spans="2:13" ht="30" customHeight="1" x14ac:dyDescent="0.3">
      <c r="B208" s="95"/>
      <c r="C208" s="96"/>
      <c r="D208" s="96"/>
      <c r="E208" s="96"/>
      <c r="F208" s="565" t="s">
        <v>76</v>
      </c>
      <c r="G208" s="565"/>
      <c r="H208" s="565"/>
      <c r="I208" s="566"/>
      <c r="J208" s="119">
        <f>SUM(J202:J207)</f>
        <v>1316.6</v>
      </c>
      <c r="K208" s="120" t="s">
        <v>51</v>
      </c>
      <c r="L208" s="121">
        <f>J208</f>
        <v>1316.6</v>
      </c>
      <c r="M208" s="101"/>
    </row>
    <row r="209" spans="2:13" ht="30" customHeight="1" thickBot="1" x14ac:dyDescent="0.35">
      <c r="B209" s="95"/>
      <c r="C209" s="96"/>
      <c r="D209" s="96"/>
      <c r="E209" s="96"/>
      <c r="F209" s="96"/>
      <c r="G209" s="96"/>
      <c r="H209" s="96"/>
      <c r="I209" s="96"/>
      <c r="J209" s="96"/>
      <c r="K209" s="96"/>
      <c r="L209" s="122">
        <f>L199+L208</f>
        <v>1316.6</v>
      </c>
      <c r="M209" s="101"/>
    </row>
    <row r="210" spans="2:13" ht="30" customHeight="1" x14ac:dyDescent="0.3">
      <c r="B210" s="95"/>
      <c r="C210" s="96"/>
      <c r="D210" s="96"/>
      <c r="E210" s="96"/>
      <c r="F210" s="96"/>
      <c r="G210" s="96"/>
      <c r="H210" s="96"/>
      <c r="I210" s="96"/>
      <c r="J210" s="96"/>
      <c r="K210" s="96"/>
      <c r="L210" s="123"/>
      <c r="M210" s="101"/>
    </row>
    <row r="211" spans="2:13" ht="30" customHeight="1" x14ac:dyDescent="0.3">
      <c r="B211" s="95"/>
      <c r="C211" s="96"/>
      <c r="D211" s="96"/>
      <c r="E211" s="96"/>
      <c r="F211" s="96"/>
      <c r="G211" s="96"/>
      <c r="H211" s="96"/>
      <c r="I211" s="96"/>
      <c r="J211" s="96"/>
      <c r="K211" s="96"/>
      <c r="L211" s="123"/>
      <c r="M211" s="101"/>
    </row>
    <row r="212" spans="2:13" ht="30" customHeight="1" x14ac:dyDescent="0.3">
      <c r="B212" s="557" t="s">
        <v>77</v>
      </c>
      <c r="C212" s="558"/>
      <c r="D212" s="558"/>
      <c r="E212" s="558"/>
      <c r="F212" s="558"/>
      <c r="G212" s="558"/>
      <c r="H212" s="558"/>
      <c r="I212" s="559"/>
      <c r="J212" s="124"/>
      <c r="K212" s="96"/>
      <c r="L212" s="123"/>
      <c r="M212" s="101"/>
    </row>
    <row r="213" spans="2:13" ht="30" customHeight="1" x14ac:dyDescent="0.3">
      <c r="B213" s="560" t="s">
        <v>78</v>
      </c>
      <c r="C213" s="561"/>
      <c r="D213" s="561"/>
      <c r="E213" s="561"/>
      <c r="F213" s="561"/>
      <c r="G213" s="561"/>
      <c r="H213" s="561"/>
      <c r="I213" s="561"/>
      <c r="J213" s="114">
        <f>'PB '!Q38</f>
        <v>400</v>
      </c>
      <c r="K213" s="96"/>
      <c r="L213" s="123"/>
      <c r="M213" s="101"/>
    </row>
    <row r="214" spans="2:13" ht="30" customHeight="1" x14ac:dyDescent="0.3">
      <c r="B214" s="560" t="s">
        <v>79</v>
      </c>
      <c r="C214" s="561"/>
      <c r="D214" s="561"/>
      <c r="E214" s="561"/>
      <c r="F214" s="561"/>
      <c r="G214" s="561"/>
      <c r="H214" s="561"/>
      <c r="I214" s="561"/>
      <c r="J214" s="114">
        <f>'PB '!R38</f>
        <v>916.59999999999991</v>
      </c>
      <c r="K214" s="96"/>
      <c r="L214" s="123"/>
      <c r="M214" s="101"/>
    </row>
    <row r="215" spans="2:13" ht="30" customHeight="1" x14ac:dyDescent="0.3">
      <c r="B215" s="560" t="s">
        <v>80</v>
      </c>
      <c r="C215" s="561"/>
      <c r="D215" s="561"/>
      <c r="E215" s="561"/>
      <c r="F215" s="561"/>
      <c r="G215" s="561"/>
      <c r="H215" s="561"/>
      <c r="I215" s="561"/>
      <c r="J215" s="114">
        <f>'PB '!S80</f>
        <v>0</v>
      </c>
      <c r="K215" s="96"/>
      <c r="L215" s="123"/>
      <c r="M215" s="101"/>
    </row>
    <row r="216" spans="2:13" ht="30" customHeight="1" x14ac:dyDescent="0.3">
      <c r="B216" s="560" t="s">
        <v>81</v>
      </c>
      <c r="C216" s="561"/>
      <c r="D216" s="561"/>
      <c r="E216" s="561"/>
      <c r="F216" s="561"/>
      <c r="G216" s="561"/>
      <c r="H216" s="561"/>
      <c r="I216" s="561"/>
      <c r="J216" s="114">
        <v>0</v>
      </c>
      <c r="K216" s="96"/>
      <c r="L216" s="123"/>
      <c r="M216" s="101"/>
    </row>
    <row r="217" spans="2:13" ht="30" customHeight="1" x14ac:dyDescent="0.3">
      <c r="B217" s="557" t="s">
        <v>107</v>
      </c>
      <c r="C217" s="558"/>
      <c r="D217" s="558"/>
      <c r="E217" s="558"/>
      <c r="F217" s="558"/>
      <c r="G217" s="558"/>
      <c r="H217" s="558"/>
      <c r="I217" s="559"/>
      <c r="J217" s="114">
        <f>'PB '!T126</f>
        <v>0</v>
      </c>
      <c r="K217" s="96"/>
      <c r="L217" s="123"/>
      <c r="M217" s="101"/>
    </row>
    <row r="218" spans="2:13" ht="30" customHeight="1" thickBot="1" x14ac:dyDescent="0.35">
      <c r="B218" s="560"/>
      <c r="C218" s="561"/>
      <c r="D218" s="561"/>
      <c r="E218" s="561"/>
      <c r="F218" s="561"/>
      <c r="G218" s="561"/>
      <c r="H218" s="561"/>
      <c r="I218" s="561"/>
      <c r="J218" s="114"/>
      <c r="K218" s="96"/>
      <c r="L218" s="123"/>
      <c r="M218" s="101"/>
    </row>
    <row r="219" spans="2:13" ht="30" customHeight="1" thickBot="1" x14ac:dyDescent="0.35">
      <c r="B219" s="95"/>
      <c r="C219" s="96"/>
      <c r="D219" s="96"/>
      <c r="E219" s="96"/>
      <c r="F219" s="573" t="s">
        <v>83</v>
      </c>
      <c r="G219" s="574"/>
      <c r="H219" s="574"/>
      <c r="I219" s="575"/>
      <c r="J219" s="114">
        <f>SUM(J213:J217)</f>
        <v>1316.6</v>
      </c>
      <c r="K219" s="96" t="s">
        <v>51</v>
      </c>
      <c r="L219" s="125">
        <f>J219</f>
        <v>1316.6</v>
      </c>
      <c r="M219" s="101"/>
    </row>
    <row r="220" spans="2:13" ht="30" customHeight="1" x14ac:dyDescent="0.3">
      <c r="B220" s="95"/>
      <c r="C220" s="96"/>
      <c r="D220" s="96"/>
      <c r="E220" s="96"/>
      <c r="F220" s="96"/>
      <c r="G220" s="96"/>
      <c r="H220" s="96"/>
      <c r="I220" s="96"/>
      <c r="J220" s="96"/>
      <c r="K220" s="96"/>
      <c r="L220" s="123"/>
      <c r="M220" s="101"/>
    </row>
    <row r="221" spans="2:13" ht="30" customHeight="1" x14ac:dyDescent="0.3">
      <c r="B221" s="95"/>
      <c r="C221" s="96"/>
      <c r="D221" s="96"/>
      <c r="E221" s="96"/>
      <c r="F221" s="96"/>
      <c r="G221" s="96"/>
      <c r="H221" s="96"/>
      <c r="I221" s="96"/>
      <c r="J221" s="96"/>
      <c r="K221" s="96"/>
      <c r="L221" s="123"/>
      <c r="M221" s="101"/>
    </row>
    <row r="222" spans="2:13" ht="30" customHeight="1" thickBot="1" x14ac:dyDescent="0.35">
      <c r="B222" s="95"/>
      <c r="C222" s="96"/>
      <c r="D222" s="96"/>
      <c r="E222" s="96"/>
      <c r="F222" s="112" t="s">
        <v>84</v>
      </c>
      <c r="G222" s="112"/>
      <c r="H222" s="112"/>
      <c r="I222" s="112"/>
      <c r="J222" s="112"/>
      <c r="K222" s="96" t="s">
        <v>51</v>
      </c>
      <c r="L222" s="126">
        <f>L209-L219</f>
        <v>0</v>
      </c>
      <c r="M222" s="101"/>
    </row>
    <row r="223" spans="2:13" ht="30" customHeight="1" x14ac:dyDescent="0.3">
      <c r="B223" s="127"/>
      <c r="C223" s="96"/>
      <c r="D223" s="96"/>
      <c r="E223" s="96"/>
      <c r="F223" s="96"/>
      <c r="G223" s="96"/>
      <c r="H223" s="96"/>
      <c r="I223" s="96" t="s">
        <v>44</v>
      </c>
      <c r="J223" s="96" t="s">
        <v>44</v>
      </c>
      <c r="K223" s="96" t="s">
        <v>44</v>
      </c>
      <c r="L223" s="123" t="s">
        <v>44</v>
      </c>
      <c r="M223" s="101"/>
    </row>
    <row r="224" spans="2:13" ht="30" customHeight="1" x14ac:dyDescent="0.3">
      <c r="B224" s="127"/>
      <c r="C224" s="96"/>
      <c r="D224" s="96"/>
      <c r="E224" s="96"/>
      <c r="F224" s="96"/>
      <c r="G224" s="96"/>
      <c r="H224" s="96"/>
      <c r="I224" s="96"/>
      <c r="J224" s="96"/>
      <c r="K224" s="96"/>
      <c r="L224" s="123"/>
      <c r="M224" s="101"/>
    </row>
    <row r="225" spans="2:15" ht="30" customHeight="1" x14ac:dyDescent="0.3">
      <c r="B225" s="127"/>
      <c r="C225" s="96"/>
      <c r="D225" s="96"/>
      <c r="E225" s="96"/>
      <c r="F225" s="96"/>
      <c r="G225" s="96"/>
      <c r="H225" s="96"/>
      <c r="I225" s="96"/>
      <c r="J225" s="96"/>
      <c r="K225" s="96"/>
      <c r="L225" s="123"/>
      <c r="M225" s="101"/>
    </row>
    <row r="226" spans="2:15" ht="30" customHeight="1" x14ac:dyDescent="0.25">
      <c r="B226" s="576" t="s">
        <v>85</v>
      </c>
      <c r="C226" s="577"/>
      <c r="D226" s="577"/>
      <c r="E226" s="577"/>
      <c r="F226" s="577"/>
      <c r="G226" s="577"/>
      <c r="H226" s="577"/>
      <c r="I226" s="577"/>
      <c r="J226" s="577"/>
      <c r="K226" s="577"/>
      <c r="L226" s="577"/>
      <c r="M226" s="578"/>
    </row>
    <row r="227" spans="2:15" ht="30" customHeight="1" x14ac:dyDescent="0.25">
      <c r="B227" s="576" t="s">
        <v>86</v>
      </c>
      <c r="C227" s="577"/>
      <c r="D227" s="577"/>
      <c r="E227" s="577"/>
      <c r="F227" s="577"/>
      <c r="G227" s="577"/>
      <c r="H227" s="577"/>
      <c r="I227" s="577"/>
      <c r="J227" s="577"/>
      <c r="K227" s="577"/>
      <c r="L227" s="577"/>
      <c r="M227" s="578"/>
    </row>
    <row r="228" spans="2:15" ht="30" customHeight="1" x14ac:dyDescent="0.3">
      <c r="B228" s="95"/>
      <c r="C228" s="660"/>
      <c r="D228" s="660"/>
      <c r="E228" s="660"/>
      <c r="F228" s="660"/>
      <c r="G228" s="660"/>
      <c r="H228" s="660"/>
      <c r="I228" s="660"/>
      <c r="J228" s="660"/>
      <c r="K228" s="660"/>
      <c r="L228" s="660"/>
      <c r="M228" s="101"/>
    </row>
    <row r="229" spans="2:15" ht="30" customHeight="1" x14ac:dyDescent="0.3">
      <c r="B229" s="95"/>
      <c r="C229" s="660"/>
      <c r="D229" s="660"/>
      <c r="E229" s="660"/>
      <c r="F229" s="660"/>
      <c r="G229" s="660"/>
      <c r="H229" s="660"/>
      <c r="I229" s="660"/>
      <c r="J229" s="660"/>
      <c r="K229" s="660"/>
      <c r="L229" s="660"/>
      <c r="M229" s="101"/>
    </row>
    <row r="230" spans="2:15" ht="20.25" customHeight="1" x14ac:dyDescent="0.3">
      <c r="B230" s="567"/>
      <c r="C230" s="568"/>
      <c r="D230" s="568"/>
      <c r="E230" s="96"/>
      <c r="F230" s="96"/>
      <c r="G230" s="96"/>
      <c r="H230" s="96"/>
      <c r="I230" s="96"/>
      <c r="J230" s="568"/>
      <c r="K230" s="568"/>
      <c r="L230" s="568"/>
      <c r="M230" s="101"/>
    </row>
    <row r="231" spans="2:15" ht="46.5" customHeight="1" x14ac:dyDescent="0.3">
      <c r="B231" s="569" t="s">
        <v>87</v>
      </c>
      <c r="C231" s="570"/>
      <c r="D231" s="570"/>
      <c r="E231" s="96"/>
      <c r="F231" s="96"/>
      <c r="G231" s="96"/>
      <c r="H231" s="96"/>
      <c r="I231" s="128" t="s">
        <v>88</v>
      </c>
      <c r="J231" s="128"/>
      <c r="K231" s="128"/>
      <c r="L231" s="102"/>
      <c r="M231" s="101"/>
    </row>
    <row r="232" spans="2:15" ht="30" customHeight="1" x14ac:dyDescent="0.3">
      <c r="B232" s="95" t="s">
        <v>44</v>
      </c>
      <c r="C232" s="96"/>
      <c r="D232" s="96"/>
      <c r="E232" s="96"/>
      <c r="F232" s="96"/>
      <c r="G232" s="96"/>
      <c r="H232" s="96"/>
      <c r="I232" s="96"/>
      <c r="J232" s="570"/>
      <c r="K232" s="570"/>
      <c r="L232" s="570"/>
      <c r="M232" s="101"/>
    </row>
    <row r="233" spans="2:15" ht="30" customHeight="1" x14ac:dyDescent="0.3">
      <c r="B233" s="95" t="s">
        <v>64</v>
      </c>
      <c r="C233" s="570">
        <f>C196</f>
        <v>0</v>
      </c>
      <c r="D233" s="570"/>
      <c r="E233" s="570"/>
      <c r="F233" s="96"/>
      <c r="G233" s="96"/>
      <c r="H233" s="96"/>
      <c r="I233" s="99" t="s">
        <v>104</v>
      </c>
      <c r="J233" s="571">
        <f>'PB '!C7</f>
        <v>0</v>
      </c>
      <c r="K233" s="571"/>
      <c r="L233" s="571"/>
      <c r="M233" s="572"/>
    </row>
    <row r="234" spans="2:15" ht="30" customHeight="1" thickBot="1" x14ac:dyDescent="0.35">
      <c r="B234" s="129"/>
      <c r="C234" s="130"/>
      <c r="D234" s="130"/>
      <c r="E234" s="130"/>
      <c r="F234" s="130"/>
      <c r="G234" s="130"/>
      <c r="H234" s="130"/>
      <c r="I234" s="130"/>
      <c r="J234" s="131"/>
      <c r="K234" s="132"/>
      <c r="L234" s="132"/>
      <c r="M234" s="133"/>
    </row>
    <row r="235" spans="2:15" ht="30" customHeight="1" thickBot="1" x14ac:dyDescent="0.4">
      <c r="B235" s="135"/>
      <c r="C235" s="135"/>
      <c r="D235" s="135"/>
      <c r="E235" s="135"/>
      <c r="F235" s="135"/>
      <c r="G235" s="135"/>
      <c r="H235" s="135"/>
      <c r="I235" s="135"/>
      <c r="J235" s="135"/>
      <c r="K235" s="135"/>
      <c r="L235" s="135"/>
      <c r="M235" s="135"/>
    </row>
    <row r="236" spans="2:15" ht="30" customHeight="1" x14ac:dyDescent="0.3">
      <c r="B236" s="584"/>
      <c r="C236" s="585"/>
      <c r="D236" s="585"/>
      <c r="E236" s="585"/>
      <c r="F236" s="585"/>
      <c r="G236" s="585"/>
      <c r="H236" s="585"/>
      <c r="I236" s="585"/>
      <c r="J236" s="585"/>
      <c r="K236" s="585"/>
      <c r="L236" s="585"/>
      <c r="M236" s="586"/>
    </row>
    <row r="237" spans="2:15" ht="30" customHeight="1" x14ac:dyDescent="0.3">
      <c r="B237" s="587" t="s">
        <v>62</v>
      </c>
      <c r="C237" s="588"/>
      <c r="D237" s="588"/>
      <c r="E237" s="588"/>
      <c r="F237" s="588"/>
      <c r="G237" s="588"/>
      <c r="H237" s="588"/>
      <c r="I237" s="588"/>
      <c r="J237" s="588"/>
      <c r="K237" s="588"/>
      <c r="L237" s="588"/>
      <c r="M237" s="589"/>
      <c r="O237">
        <v>7</v>
      </c>
    </row>
    <row r="238" spans="2:15" ht="30" customHeight="1" x14ac:dyDescent="0.3">
      <c r="B238" s="95" t="s">
        <v>63</v>
      </c>
      <c r="C238" s="570" t="str">
        <f>C147</f>
        <v>Vessel name</v>
      </c>
      <c r="D238" s="570"/>
      <c r="E238" s="570"/>
      <c r="F238" s="96"/>
      <c r="G238" s="570"/>
      <c r="H238" s="570"/>
      <c r="I238" s="570"/>
      <c r="J238" s="96" t="s">
        <v>44</v>
      </c>
      <c r="K238" s="97"/>
      <c r="L238" s="582"/>
      <c r="M238" s="583"/>
    </row>
    <row r="239" spans="2:15" ht="30" customHeight="1" x14ac:dyDescent="0.3">
      <c r="B239" s="98"/>
      <c r="C239" s="96"/>
      <c r="D239" s="96"/>
      <c r="E239" s="99"/>
      <c r="F239" s="100"/>
      <c r="G239" s="100"/>
      <c r="H239" s="100"/>
      <c r="I239" s="96"/>
      <c r="J239" s="96"/>
      <c r="K239" s="97"/>
      <c r="L239" s="97"/>
      <c r="M239" s="101"/>
    </row>
    <row r="240" spans="2:15" ht="30" customHeight="1" x14ac:dyDescent="0.3">
      <c r="B240" s="95" t="s">
        <v>64</v>
      </c>
      <c r="C240" s="570">
        <f>+'PB '!C39</f>
        <v>0</v>
      </c>
      <c r="D240" s="570"/>
      <c r="E240" s="570"/>
      <c r="F240" s="570"/>
      <c r="G240" s="102"/>
      <c r="H240" s="96" t="s">
        <v>21</v>
      </c>
      <c r="I240" s="603" t="str">
        <f>'PB '!D39</f>
        <v>Fitter</v>
      </c>
      <c r="J240" s="603"/>
      <c r="K240" s="96"/>
      <c r="L240" s="582"/>
      <c r="M240" s="583"/>
    </row>
    <row r="241" spans="2:13" ht="30" customHeight="1" x14ac:dyDescent="0.3">
      <c r="B241" s="95"/>
      <c r="C241" s="96"/>
      <c r="D241" s="96"/>
      <c r="E241" s="96"/>
      <c r="F241" s="96"/>
      <c r="G241" s="96" t="s">
        <v>65</v>
      </c>
      <c r="H241" s="96"/>
      <c r="I241" s="96"/>
      <c r="J241" s="96"/>
      <c r="K241" s="96"/>
      <c r="L241" s="96"/>
      <c r="M241" s="101"/>
    </row>
    <row r="242" spans="2:13" ht="30" customHeight="1" x14ac:dyDescent="0.3">
      <c r="B242" s="95"/>
      <c r="C242" s="96"/>
      <c r="D242" s="96"/>
      <c r="E242" s="96"/>
      <c r="F242" s="96"/>
      <c r="G242" s="96" t="s">
        <v>44</v>
      </c>
      <c r="H242" s="96"/>
      <c r="I242" s="96"/>
      <c r="J242" s="96"/>
      <c r="K242" s="96"/>
      <c r="L242" s="96"/>
      <c r="M242" s="101"/>
    </row>
    <row r="243" spans="2:13" ht="30" customHeight="1" x14ac:dyDescent="0.3">
      <c r="B243" s="95"/>
      <c r="C243" s="96"/>
      <c r="D243" s="96"/>
      <c r="E243" s="96"/>
      <c r="F243" s="96"/>
      <c r="G243" s="103" t="s">
        <v>66</v>
      </c>
      <c r="H243" s="104"/>
      <c r="I243" s="103"/>
      <c r="J243" s="103"/>
      <c r="K243" s="96" t="s">
        <v>51</v>
      </c>
      <c r="L243" s="105">
        <f>'PB '!V39</f>
        <v>0</v>
      </c>
      <c r="M243" s="101"/>
    </row>
    <row r="244" spans="2:13" ht="30" customHeight="1" x14ac:dyDescent="0.3">
      <c r="B244" s="95"/>
      <c r="C244" s="96"/>
      <c r="D244" s="96"/>
      <c r="E244" s="96"/>
      <c r="F244" s="96"/>
      <c r="G244" s="96"/>
      <c r="H244" s="96"/>
      <c r="I244" s="96"/>
      <c r="J244" s="96"/>
      <c r="K244" s="96"/>
      <c r="L244" s="96"/>
      <c r="M244" s="101"/>
    </row>
    <row r="245" spans="2:13" ht="30" customHeight="1" x14ac:dyDescent="0.3">
      <c r="B245" s="590" t="s">
        <v>67</v>
      </c>
      <c r="C245" s="591"/>
      <c r="D245" s="592" t="s">
        <v>60</v>
      </c>
      <c r="E245" s="593"/>
      <c r="F245" s="579" t="s">
        <v>61</v>
      </c>
      <c r="G245" s="580"/>
      <c r="H245" s="106" t="s">
        <v>68</v>
      </c>
      <c r="I245" s="107" t="s">
        <v>69</v>
      </c>
      <c r="J245" s="106" t="s">
        <v>51</v>
      </c>
      <c r="K245" s="108"/>
      <c r="L245" s="108"/>
      <c r="M245" s="109"/>
    </row>
    <row r="246" spans="2:13" ht="30" customHeight="1" x14ac:dyDescent="0.3">
      <c r="B246" s="560" t="s">
        <v>70</v>
      </c>
      <c r="C246" s="581"/>
      <c r="D246" s="110">
        <f>'PB '!E39</f>
        <v>1</v>
      </c>
      <c r="E246" s="111">
        <f>'PB '!C1</f>
        <v>0</v>
      </c>
      <c r="F246" s="112">
        <f>'PB '!F39</f>
        <v>29</v>
      </c>
      <c r="G246" s="111">
        <f>'PB '!C1</f>
        <v>0</v>
      </c>
      <c r="H246" s="113">
        <f>'PB '!G39</f>
        <v>29</v>
      </c>
      <c r="I246" s="114">
        <v>752</v>
      </c>
      <c r="J246" s="115">
        <f>I246/30*H246</f>
        <v>726.93333333333328</v>
      </c>
      <c r="K246" s="96"/>
      <c r="L246" s="96"/>
      <c r="M246" s="101"/>
    </row>
    <row r="247" spans="2:13" ht="30" customHeight="1" x14ac:dyDescent="0.3">
      <c r="B247" s="560" t="s">
        <v>71</v>
      </c>
      <c r="C247" s="581"/>
      <c r="D247" s="110">
        <f>D246</f>
        <v>1</v>
      </c>
      <c r="E247" s="111">
        <f>'PB '!C1</f>
        <v>0</v>
      </c>
      <c r="F247" s="112">
        <f>'PB '!F39</f>
        <v>29</v>
      </c>
      <c r="G247" s="111">
        <f>'PB '!C1</f>
        <v>0</v>
      </c>
      <c r="H247" s="113">
        <v>29</v>
      </c>
      <c r="I247" s="114">
        <v>470</v>
      </c>
      <c r="J247" s="115">
        <f t="shared" ref="J247:J249" si="5">I247/30*H247</f>
        <v>454.33333333333331</v>
      </c>
      <c r="K247" s="96"/>
      <c r="L247" s="96"/>
      <c r="M247" s="101"/>
    </row>
    <row r="248" spans="2:13" ht="30" customHeight="1" x14ac:dyDescent="0.3">
      <c r="B248" s="557" t="s">
        <v>72</v>
      </c>
      <c r="C248" s="558"/>
      <c r="D248" s="110">
        <f>D246</f>
        <v>1</v>
      </c>
      <c r="E248" s="111">
        <f>'PB '!C1</f>
        <v>0</v>
      </c>
      <c r="F248" s="112">
        <f>'PB '!F39</f>
        <v>29</v>
      </c>
      <c r="G248" s="111">
        <f>'PB '!C1</f>
        <v>0</v>
      </c>
      <c r="H248" s="113">
        <v>29</v>
      </c>
      <c r="I248" s="114">
        <v>62.65</v>
      </c>
      <c r="J248" s="115">
        <f t="shared" si="5"/>
        <v>60.561666666666667</v>
      </c>
      <c r="K248" s="96"/>
      <c r="L248" s="96"/>
      <c r="M248" s="101"/>
    </row>
    <row r="249" spans="2:13" ht="30" customHeight="1" x14ac:dyDescent="0.3">
      <c r="B249" s="557" t="s">
        <v>73</v>
      </c>
      <c r="C249" s="558"/>
      <c r="D249" s="110">
        <f>D246</f>
        <v>1</v>
      </c>
      <c r="E249" s="111">
        <f>'PB '!C1</f>
        <v>0</v>
      </c>
      <c r="F249" s="112">
        <f>'PB '!F39</f>
        <v>29</v>
      </c>
      <c r="G249" s="111">
        <f>'PB '!C1</f>
        <v>0</v>
      </c>
      <c r="H249" s="113">
        <v>29</v>
      </c>
      <c r="I249" s="114">
        <v>315.35000000000002</v>
      </c>
      <c r="J249" s="115">
        <f t="shared" si="5"/>
        <v>304.83833333333331</v>
      </c>
      <c r="K249" s="96"/>
      <c r="L249" s="96"/>
      <c r="M249" s="101"/>
    </row>
    <row r="250" spans="2:13" ht="30" customHeight="1" x14ac:dyDescent="0.3">
      <c r="B250" s="562" t="s">
        <v>74</v>
      </c>
      <c r="C250" s="563"/>
      <c r="D250" s="110"/>
      <c r="E250" s="111"/>
      <c r="F250" s="112"/>
      <c r="G250" s="111"/>
      <c r="H250" s="118"/>
      <c r="I250" s="114"/>
      <c r="J250" s="115">
        <f>'PB '!L39</f>
        <v>25.066666666666666</v>
      </c>
      <c r="K250" s="96"/>
      <c r="L250" s="96"/>
      <c r="M250" s="101"/>
    </row>
    <row r="251" spans="2:13" ht="30" customHeight="1" x14ac:dyDescent="0.3">
      <c r="B251" s="612" t="s">
        <v>176</v>
      </c>
      <c r="C251" s="559"/>
      <c r="D251" s="117"/>
      <c r="E251" s="111"/>
      <c r="F251" s="117"/>
      <c r="G251" s="111"/>
      <c r="H251" s="118"/>
      <c r="I251" s="114"/>
      <c r="J251" s="115">
        <v>37.5</v>
      </c>
      <c r="K251" s="96"/>
      <c r="L251" s="96"/>
      <c r="M251" s="101"/>
    </row>
    <row r="252" spans="2:13" ht="30" customHeight="1" x14ac:dyDescent="0.3">
      <c r="B252" s="95"/>
      <c r="C252" s="96"/>
      <c r="D252" s="96"/>
      <c r="E252" s="96"/>
      <c r="F252" s="565" t="s">
        <v>76</v>
      </c>
      <c r="G252" s="565"/>
      <c r="H252" s="565"/>
      <c r="I252" s="566"/>
      <c r="J252" s="119">
        <f>SUM(J246:J251)</f>
        <v>1609.2333333333333</v>
      </c>
      <c r="K252" s="120" t="s">
        <v>51</v>
      </c>
      <c r="L252" s="121">
        <f>J252</f>
        <v>1609.2333333333333</v>
      </c>
      <c r="M252" s="101"/>
    </row>
    <row r="253" spans="2:13" ht="30" customHeight="1" thickBot="1" x14ac:dyDescent="0.35">
      <c r="B253" s="95"/>
      <c r="C253" s="96"/>
      <c r="D253" s="96"/>
      <c r="E253" s="96"/>
      <c r="F253" s="96"/>
      <c r="G253" s="96"/>
      <c r="H253" s="96"/>
      <c r="I253" s="96"/>
      <c r="J253" s="96"/>
      <c r="K253" s="96"/>
      <c r="L253" s="122">
        <f>L243+L252</f>
        <v>1609.2333333333333</v>
      </c>
      <c r="M253" s="101"/>
    </row>
    <row r="254" spans="2:13" ht="30" customHeight="1" x14ac:dyDescent="0.3">
      <c r="B254" s="95"/>
      <c r="C254" s="96"/>
      <c r="D254" s="96"/>
      <c r="E254" s="96"/>
      <c r="F254" s="96"/>
      <c r="G254" s="96"/>
      <c r="H254" s="96"/>
      <c r="I254" s="96"/>
      <c r="J254" s="96"/>
      <c r="K254" s="96"/>
      <c r="L254" s="123"/>
      <c r="M254" s="101"/>
    </row>
    <row r="255" spans="2:13" ht="30" customHeight="1" x14ac:dyDescent="0.3">
      <c r="B255" s="95"/>
      <c r="C255" s="96"/>
      <c r="D255" s="96"/>
      <c r="E255" s="96"/>
      <c r="F255" s="96"/>
      <c r="G255" s="96"/>
      <c r="H255" s="96"/>
      <c r="I255" s="96"/>
      <c r="J255" s="96"/>
      <c r="K255" s="96"/>
      <c r="L255" s="123"/>
      <c r="M255" s="101"/>
    </row>
    <row r="256" spans="2:13" ht="30" customHeight="1" x14ac:dyDescent="0.3">
      <c r="B256" s="557" t="s">
        <v>77</v>
      </c>
      <c r="C256" s="558"/>
      <c r="D256" s="558"/>
      <c r="E256" s="558"/>
      <c r="F256" s="558"/>
      <c r="G256" s="558"/>
      <c r="H256" s="558"/>
      <c r="I256" s="559"/>
      <c r="J256" s="124"/>
      <c r="K256" s="96"/>
      <c r="L256" s="123"/>
      <c r="M256" s="101"/>
    </row>
    <row r="257" spans="2:13" ht="30" customHeight="1" x14ac:dyDescent="0.3">
      <c r="B257" s="560" t="s">
        <v>78</v>
      </c>
      <c r="C257" s="561"/>
      <c r="D257" s="561"/>
      <c r="E257" s="561"/>
      <c r="F257" s="561"/>
      <c r="G257" s="561"/>
      <c r="H257" s="561"/>
      <c r="I257" s="561"/>
      <c r="J257" s="114">
        <f>'PB '!Q39</f>
        <v>200</v>
      </c>
      <c r="K257" s="96"/>
      <c r="L257" s="123"/>
      <c r="M257" s="101"/>
    </row>
    <row r="258" spans="2:13" ht="30" customHeight="1" x14ac:dyDescent="0.3">
      <c r="B258" s="560" t="s">
        <v>79</v>
      </c>
      <c r="C258" s="561"/>
      <c r="D258" s="561"/>
      <c r="E258" s="561"/>
      <c r="F258" s="561"/>
      <c r="G258" s="561"/>
      <c r="H258" s="561"/>
      <c r="I258" s="561"/>
      <c r="J258" s="114">
        <f>'PB '!R39</f>
        <v>1409.2333333333333</v>
      </c>
      <c r="K258" s="96"/>
      <c r="L258" s="123"/>
      <c r="M258" s="101"/>
    </row>
    <row r="259" spans="2:13" ht="30" customHeight="1" x14ac:dyDescent="0.3">
      <c r="B259" s="560" t="s">
        <v>80</v>
      </c>
      <c r="C259" s="561"/>
      <c r="D259" s="561"/>
      <c r="E259" s="561"/>
      <c r="F259" s="561"/>
      <c r="G259" s="561"/>
      <c r="H259" s="561"/>
      <c r="I259" s="561"/>
      <c r="J259" s="114">
        <f>'PB '!S124</f>
        <v>0</v>
      </c>
      <c r="K259" s="96"/>
      <c r="L259" s="123"/>
      <c r="M259" s="101"/>
    </row>
    <row r="260" spans="2:13" ht="30" customHeight="1" x14ac:dyDescent="0.3">
      <c r="B260" s="560" t="s">
        <v>81</v>
      </c>
      <c r="C260" s="561"/>
      <c r="D260" s="561"/>
      <c r="E260" s="561"/>
      <c r="F260" s="561"/>
      <c r="G260" s="561"/>
      <c r="H260" s="561"/>
      <c r="I260" s="561"/>
      <c r="J260" s="114">
        <v>0</v>
      </c>
      <c r="K260" s="96"/>
      <c r="L260" s="123"/>
      <c r="M260" s="101"/>
    </row>
    <row r="261" spans="2:13" ht="30" customHeight="1" x14ac:dyDescent="0.3">
      <c r="B261" s="557" t="s">
        <v>107</v>
      </c>
      <c r="C261" s="558"/>
      <c r="D261" s="558"/>
      <c r="E261" s="558"/>
      <c r="F261" s="558"/>
      <c r="G261" s="558"/>
      <c r="H261" s="558"/>
      <c r="I261" s="559"/>
      <c r="J261" s="114">
        <f>'PB '!T170</f>
        <v>0</v>
      </c>
      <c r="K261" s="96"/>
      <c r="L261" s="123"/>
      <c r="M261" s="101"/>
    </row>
    <row r="262" spans="2:13" ht="30" customHeight="1" thickBot="1" x14ac:dyDescent="0.35">
      <c r="B262" s="560"/>
      <c r="C262" s="561"/>
      <c r="D262" s="561"/>
      <c r="E262" s="561"/>
      <c r="F262" s="561"/>
      <c r="G262" s="561"/>
      <c r="H262" s="561"/>
      <c r="I262" s="561"/>
      <c r="J262" s="114"/>
      <c r="K262" s="96"/>
      <c r="L262" s="123"/>
      <c r="M262" s="101"/>
    </row>
    <row r="263" spans="2:13" ht="30" customHeight="1" thickBot="1" x14ac:dyDescent="0.35">
      <c r="B263" s="95"/>
      <c r="C263" s="96"/>
      <c r="D263" s="96"/>
      <c r="E263" s="96"/>
      <c r="F263" s="573" t="s">
        <v>83</v>
      </c>
      <c r="G263" s="574"/>
      <c r="H263" s="574"/>
      <c r="I263" s="575"/>
      <c r="J263" s="114">
        <f>SUM(J257:J261)</f>
        <v>1609.2333333333333</v>
      </c>
      <c r="K263" s="96" t="s">
        <v>51</v>
      </c>
      <c r="L263" s="125">
        <f>J263</f>
        <v>1609.2333333333333</v>
      </c>
      <c r="M263" s="101"/>
    </row>
    <row r="264" spans="2:13" ht="30" customHeight="1" x14ac:dyDescent="0.3">
      <c r="B264" s="95"/>
      <c r="C264" s="96"/>
      <c r="D264" s="96"/>
      <c r="E264" s="96"/>
      <c r="F264" s="96"/>
      <c r="G264" s="96"/>
      <c r="H264" s="96"/>
      <c r="I264" s="96"/>
      <c r="J264" s="96"/>
      <c r="K264" s="96"/>
      <c r="L264" s="123"/>
      <c r="M264" s="101"/>
    </row>
    <row r="265" spans="2:13" ht="30" customHeight="1" x14ac:dyDescent="0.3">
      <c r="B265" s="95"/>
      <c r="C265" s="96"/>
      <c r="D265" s="96"/>
      <c r="E265" s="96"/>
      <c r="F265" s="96"/>
      <c r="G265" s="96"/>
      <c r="H265" s="96"/>
      <c r="I265" s="96"/>
      <c r="J265" s="96"/>
      <c r="K265" s="96"/>
      <c r="L265" s="123"/>
      <c r="M265" s="101"/>
    </row>
    <row r="266" spans="2:13" ht="30" customHeight="1" thickBot="1" x14ac:dyDescent="0.35">
      <c r="B266" s="95"/>
      <c r="C266" s="96"/>
      <c r="D266" s="96"/>
      <c r="E266" s="96"/>
      <c r="F266" s="112" t="s">
        <v>84</v>
      </c>
      <c r="G266" s="112"/>
      <c r="H266" s="112"/>
      <c r="I266" s="112"/>
      <c r="J266" s="112"/>
      <c r="K266" s="96" t="s">
        <v>51</v>
      </c>
      <c r="L266" s="126">
        <f>L253-L263</f>
        <v>0</v>
      </c>
      <c r="M266" s="101"/>
    </row>
    <row r="267" spans="2:13" ht="30" customHeight="1" x14ac:dyDescent="0.3">
      <c r="B267" s="127"/>
      <c r="C267" s="96"/>
      <c r="D267" s="96"/>
      <c r="E267" s="96"/>
      <c r="F267" s="96"/>
      <c r="G267" s="96"/>
      <c r="H267" s="96"/>
      <c r="I267" s="96" t="s">
        <v>44</v>
      </c>
      <c r="J267" s="96" t="s">
        <v>44</v>
      </c>
      <c r="K267" s="96" t="s">
        <v>44</v>
      </c>
      <c r="L267" s="123" t="s">
        <v>44</v>
      </c>
      <c r="M267" s="101"/>
    </row>
    <row r="268" spans="2:13" ht="30" customHeight="1" x14ac:dyDescent="0.3">
      <c r="B268" s="127"/>
      <c r="C268" s="96"/>
      <c r="D268" s="96"/>
      <c r="E268" s="96"/>
      <c r="F268" s="96"/>
      <c r="G268" s="96"/>
      <c r="H268" s="96"/>
      <c r="I268" s="96"/>
      <c r="J268" s="96"/>
      <c r="K268" s="96"/>
      <c r="L268" s="123"/>
      <c r="M268" s="101"/>
    </row>
    <row r="269" spans="2:13" ht="30" customHeight="1" x14ac:dyDescent="0.3">
      <c r="B269" s="127"/>
      <c r="C269" s="96"/>
      <c r="D269" s="96"/>
      <c r="E269" s="96"/>
      <c r="F269" s="96"/>
      <c r="G269" s="96"/>
      <c r="H269" s="96"/>
      <c r="I269" s="96"/>
      <c r="J269" s="96"/>
      <c r="K269" s="96"/>
      <c r="L269" s="123"/>
      <c r="M269" s="101"/>
    </row>
    <row r="270" spans="2:13" ht="30" customHeight="1" x14ac:dyDescent="0.25">
      <c r="B270" s="576" t="s">
        <v>85</v>
      </c>
      <c r="C270" s="577"/>
      <c r="D270" s="577"/>
      <c r="E270" s="577"/>
      <c r="F270" s="577"/>
      <c r="G270" s="577"/>
      <c r="H270" s="577"/>
      <c r="I270" s="577"/>
      <c r="J270" s="577"/>
      <c r="K270" s="577"/>
      <c r="L270" s="577"/>
      <c r="M270" s="578"/>
    </row>
    <row r="271" spans="2:13" ht="30" customHeight="1" x14ac:dyDescent="0.25">
      <c r="B271" s="576" t="s">
        <v>86</v>
      </c>
      <c r="C271" s="577"/>
      <c r="D271" s="577"/>
      <c r="E271" s="577"/>
      <c r="F271" s="577"/>
      <c r="G271" s="577"/>
      <c r="H271" s="577"/>
      <c r="I271" s="577"/>
      <c r="J271" s="577"/>
      <c r="K271" s="577"/>
      <c r="L271" s="577"/>
      <c r="M271" s="578"/>
    </row>
    <row r="272" spans="2:13" ht="30" customHeight="1" x14ac:dyDescent="0.3">
      <c r="B272" s="95"/>
      <c r="C272" s="660"/>
      <c r="D272" s="660"/>
      <c r="E272" s="660"/>
      <c r="F272" s="660"/>
      <c r="G272" s="660"/>
      <c r="H272" s="660"/>
      <c r="I272" s="660"/>
      <c r="J272" s="660"/>
      <c r="K272" s="660"/>
      <c r="L272" s="660"/>
      <c r="M272" s="101"/>
    </row>
    <row r="273" spans="2:15" ht="30" customHeight="1" x14ac:dyDescent="0.3">
      <c r="B273" s="95"/>
      <c r="C273" s="660"/>
      <c r="D273" s="660"/>
      <c r="E273" s="660"/>
      <c r="F273" s="660"/>
      <c r="G273" s="660"/>
      <c r="H273" s="660"/>
      <c r="I273" s="660"/>
      <c r="J273" s="660"/>
      <c r="K273" s="660"/>
      <c r="L273" s="660"/>
      <c r="M273" s="101"/>
    </row>
    <row r="274" spans="2:15" ht="30" customHeight="1" x14ac:dyDescent="0.3">
      <c r="B274" s="567"/>
      <c r="C274" s="568"/>
      <c r="D274" s="568"/>
      <c r="E274" s="96"/>
      <c r="F274" s="96"/>
      <c r="G274" s="96"/>
      <c r="H274" s="96"/>
      <c r="I274" s="96"/>
      <c r="J274" s="568"/>
      <c r="K274" s="568"/>
      <c r="L274" s="568"/>
      <c r="M274" s="101"/>
    </row>
    <row r="275" spans="2:15" ht="30" customHeight="1" x14ac:dyDescent="0.3">
      <c r="B275" s="569" t="s">
        <v>87</v>
      </c>
      <c r="C275" s="570"/>
      <c r="D275" s="570"/>
      <c r="E275" s="96"/>
      <c r="F275" s="96"/>
      <c r="G275" s="96"/>
      <c r="H275" s="96"/>
      <c r="I275" s="128" t="s">
        <v>88</v>
      </c>
      <c r="J275" s="128"/>
      <c r="K275" s="128"/>
      <c r="L275" s="102"/>
      <c r="M275" s="101"/>
    </row>
    <row r="276" spans="2:15" ht="30" customHeight="1" x14ac:dyDescent="0.3">
      <c r="B276" s="95" t="s">
        <v>44</v>
      </c>
      <c r="C276" s="96"/>
      <c r="D276" s="96"/>
      <c r="E276" s="96"/>
      <c r="F276" s="96"/>
      <c r="G276" s="96"/>
      <c r="H276" s="96"/>
      <c r="I276" s="96"/>
      <c r="J276" s="570"/>
      <c r="K276" s="570"/>
      <c r="L276" s="570"/>
      <c r="M276" s="101"/>
    </row>
    <row r="277" spans="2:15" ht="30" customHeight="1" x14ac:dyDescent="0.3">
      <c r="B277" s="95" t="s">
        <v>64</v>
      </c>
      <c r="C277" s="570">
        <f>C240</f>
        <v>0</v>
      </c>
      <c r="D277" s="570"/>
      <c r="E277" s="570"/>
      <c r="F277" s="96"/>
      <c r="G277" s="96"/>
      <c r="H277" s="96"/>
      <c r="I277" s="99" t="s">
        <v>104</v>
      </c>
      <c r="J277" s="571">
        <f>'PB '!C7</f>
        <v>0</v>
      </c>
      <c r="K277" s="571"/>
      <c r="L277" s="571"/>
      <c r="M277" s="572"/>
    </row>
    <row r="278" spans="2:15" ht="30" customHeight="1" thickBot="1" x14ac:dyDescent="0.35">
      <c r="B278" s="129"/>
      <c r="C278" s="130"/>
      <c r="D278" s="130"/>
      <c r="E278" s="130"/>
      <c r="F278" s="130"/>
      <c r="G278" s="130"/>
      <c r="H278" s="130"/>
      <c r="I278" s="130"/>
      <c r="J278" s="131"/>
      <c r="K278" s="132"/>
      <c r="L278" s="132"/>
      <c r="M278" s="133"/>
    </row>
    <row r="279" spans="2:15" ht="30" customHeight="1" x14ac:dyDescent="0.35">
      <c r="B279" s="135"/>
      <c r="C279" s="135"/>
      <c r="D279" s="135"/>
      <c r="E279" s="135"/>
      <c r="F279" s="135"/>
      <c r="G279" s="135"/>
      <c r="H279" s="135"/>
      <c r="I279" s="135"/>
      <c r="J279" s="135"/>
      <c r="K279" s="135"/>
      <c r="L279" s="135"/>
      <c r="M279" s="135"/>
    </row>
    <row r="280" spans="2:15" ht="30" customHeight="1" x14ac:dyDescent="0.35">
      <c r="B280" s="135"/>
      <c r="C280" s="135"/>
      <c r="D280" s="135"/>
      <c r="E280" s="135"/>
      <c r="F280" s="135"/>
      <c r="G280" s="135"/>
      <c r="H280" s="135"/>
      <c r="I280" s="135"/>
      <c r="J280" s="135"/>
      <c r="K280" s="135"/>
      <c r="L280" s="135"/>
      <c r="M280" s="135"/>
    </row>
    <row r="281" spans="2:15" ht="30" customHeight="1" x14ac:dyDescent="0.35">
      <c r="B281" s="135"/>
      <c r="C281" s="135"/>
      <c r="D281" s="135"/>
      <c r="E281" s="135"/>
      <c r="F281" s="135"/>
      <c r="G281" s="135"/>
      <c r="H281" s="135"/>
      <c r="I281" s="135"/>
      <c r="J281" s="135"/>
      <c r="K281" s="135"/>
      <c r="L281" s="135"/>
      <c r="M281" s="135"/>
    </row>
    <row r="282" spans="2:15" ht="30" customHeight="1" thickBot="1" x14ac:dyDescent="0.4">
      <c r="B282" s="135"/>
      <c r="C282" s="135"/>
      <c r="D282" s="135"/>
      <c r="E282" s="135"/>
      <c r="F282" s="135"/>
      <c r="G282" s="135"/>
      <c r="H282" s="135"/>
      <c r="I282" s="135"/>
      <c r="J282" s="135"/>
      <c r="K282" s="135"/>
      <c r="L282" s="135"/>
      <c r="M282" s="135"/>
    </row>
    <row r="283" spans="2:15" ht="30" customHeight="1" x14ac:dyDescent="0.3">
      <c r="B283" s="584"/>
      <c r="C283" s="585"/>
      <c r="D283" s="585"/>
      <c r="E283" s="585"/>
      <c r="F283" s="585"/>
      <c r="G283" s="585"/>
      <c r="H283" s="585"/>
      <c r="I283" s="585"/>
      <c r="J283" s="585"/>
      <c r="K283" s="585"/>
      <c r="L283" s="585"/>
      <c r="M283" s="586"/>
      <c r="O283">
        <v>8</v>
      </c>
    </row>
    <row r="284" spans="2:15" ht="30" customHeight="1" x14ac:dyDescent="0.3">
      <c r="B284" s="587" t="s">
        <v>62</v>
      </c>
      <c r="C284" s="588"/>
      <c r="D284" s="588"/>
      <c r="E284" s="588"/>
      <c r="F284" s="588"/>
      <c r="G284" s="588"/>
      <c r="H284" s="588"/>
      <c r="I284" s="588"/>
      <c r="J284" s="588"/>
      <c r="K284" s="588"/>
      <c r="L284" s="588"/>
      <c r="M284" s="589"/>
    </row>
    <row r="285" spans="2:15" ht="30" customHeight="1" x14ac:dyDescent="0.3">
      <c r="B285" s="95" t="s">
        <v>63</v>
      </c>
      <c r="C285" s="570" t="str">
        <f>C238</f>
        <v>Vessel name</v>
      </c>
      <c r="D285" s="570"/>
      <c r="E285" s="570"/>
      <c r="F285" s="96"/>
      <c r="G285" s="570"/>
      <c r="H285" s="570"/>
      <c r="I285" s="570"/>
      <c r="J285" s="96" t="s">
        <v>44</v>
      </c>
      <c r="K285" s="97"/>
      <c r="L285" s="582"/>
      <c r="M285" s="583"/>
    </row>
    <row r="286" spans="2:15" ht="30" customHeight="1" x14ac:dyDescent="0.3">
      <c r="B286" s="98"/>
      <c r="C286" s="96"/>
      <c r="D286" s="96"/>
      <c r="E286" s="99"/>
      <c r="F286" s="100"/>
      <c r="G286" s="100"/>
      <c r="H286" s="100"/>
      <c r="I286" s="96"/>
      <c r="J286" s="96"/>
      <c r="K286" s="97"/>
      <c r="L286" s="97"/>
      <c r="M286" s="101"/>
    </row>
    <row r="287" spans="2:15" ht="30" customHeight="1" x14ac:dyDescent="0.3">
      <c r="B287" s="95" t="s">
        <v>64</v>
      </c>
      <c r="C287" s="570">
        <f>'PB '!C40</f>
        <v>0</v>
      </c>
      <c r="D287" s="570"/>
      <c r="E287" s="570"/>
      <c r="F287" s="570"/>
      <c r="G287" s="102"/>
      <c r="H287" s="96" t="s">
        <v>21</v>
      </c>
      <c r="I287" s="603" t="str">
        <f>'PB '!D40</f>
        <v>4th.Engineer</v>
      </c>
      <c r="J287" s="570"/>
      <c r="K287" s="96"/>
      <c r="L287" s="582"/>
      <c r="M287" s="583"/>
    </row>
    <row r="288" spans="2:15" ht="30" customHeight="1" x14ac:dyDescent="0.3">
      <c r="B288" s="95"/>
      <c r="C288" s="96"/>
      <c r="D288" s="96"/>
      <c r="E288" s="96"/>
      <c r="F288" s="96"/>
      <c r="G288" s="96" t="s">
        <v>65</v>
      </c>
      <c r="H288" s="96"/>
      <c r="I288" s="96"/>
      <c r="J288" s="96"/>
      <c r="K288" s="96"/>
      <c r="L288" s="96"/>
      <c r="M288" s="101"/>
    </row>
    <row r="289" spans="2:13" ht="30" customHeight="1" x14ac:dyDescent="0.3">
      <c r="B289" s="95"/>
      <c r="C289" s="96"/>
      <c r="D289" s="96"/>
      <c r="E289" s="96"/>
      <c r="F289" s="96"/>
      <c r="G289" s="96" t="s">
        <v>44</v>
      </c>
      <c r="H289" s="96"/>
      <c r="I289" s="96"/>
      <c r="J289" s="96"/>
      <c r="K289" s="96"/>
      <c r="L289" s="96"/>
      <c r="M289" s="101"/>
    </row>
    <row r="290" spans="2:13" ht="30" customHeight="1" x14ac:dyDescent="0.3">
      <c r="B290" s="95"/>
      <c r="C290" s="96"/>
      <c r="D290" s="96"/>
      <c r="E290" s="96"/>
      <c r="F290" s="96"/>
      <c r="G290" s="103" t="s">
        <v>66</v>
      </c>
      <c r="H290" s="104"/>
      <c r="I290" s="103"/>
      <c r="J290" s="103"/>
      <c r="K290" s="96" t="s">
        <v>51</v>
      </c>
      <c r="L290" s="105">
        <f>'PB '!V13</f>
        <v>0</v>
      </c>
      <c r="M290" s="101"/>
    </row>
    <row r="291" spans="2:13" ht="30" customHeight="1" x14ac:dyDescent="0.3">
      <c r="B291" s="95"/>
      <c r="C291" s="96"/>
      <c r="D291" s="96"/>
      <c r="E291" s="96"/>
      <c r="F291" s="96"/>
      <c r="G291" s="96"/>
      <c r="H291" s="96"/>
      <c r="I291" s="96"/>
      <c r="J291" s="96"/>
      <c r="K291" s="96"/>
      <c r="L291" s="96"/>
      <c r="M291" s="101"/>
    </row>
    <row r="292" spans="2:13" ht="30" customHeight="1" x14ac:dyDescent="0.3">
      <c r="B292" s="590" t="s">
        <v>67</v>
      </c>
      <c r="C292" s="591"/>
      <c r="D292" s="592" t="s">
        <v>60</v>
      </c>
      <c r="E292" s="593"/>
      <c r="F292" s="579" t="s">
        <v>61</v>
      </c>
      <c r="G292" s="580"/>
      <c r="H292" s="106" t="s">
        <v>68</v>
      </c>
      <c r="I292" s="107" t="s">
        <v>69</v>
      </c>
      <c r="J292" s="106" t="s">
        <v>51</v>
      </c>
      <c r="K292" s="108"/>
      <c r="L292" s="108"/>
      <c r="M292" s="109"/>
    </row>
    <row r="293" spans="2:13" ht="30" customHeight="1" x14ac:dyDescent="0.3">
      <c r="B293" s="560" t="s">
        <v>70</v>
      </c>
      <c r="C293" s="581"/>
      <c r="D293" s="110">
        <f>'PB '!E40</f>
        <v>1</v>
      </c>
      <c r="E293" s="111">
        <f>'PB '!C1</f>
        <v>0</v>
      </c>
      <c r="F293" s="112">
        <f>'PB '!F40</f>
        <v>28</v>
      </c>
      <c r="G293" s="111">
        <f>'PB '!C1</f>
        <v>0</v>
      </c>
      <c r="H293" s="113">
        <f>'PB '!G40</f>
        <v>28</v>
      </c>
      <c r="I293" s="114">
        <v>854</v>
      </c>
      <c r="J293" s="115">
        <f>I293*H293/30</f>
        <v>797.06666666666672</v>
      </c>
      <c r="K293" s="96"/>
      <c r="L293" s="96"/>
      <c r="M293" s="101"/>
    </row>
    <row r="294" spans="2:13" ht="30" customHeight="1" x14ac:dyDescent="0.3">
      <c r="B294" s="560" t="s">
        <v>71</v>
      </c>
      <c r="C294" s="581"/>
      <c r="D294" s="110">
        <f>D293</f>
        <v>1</v>
      </c>
      <c r="E294" s="111">
        <f>'PB '!C1</f>
        <v>0</v>
      </c>
      <c r="F294" s="112">
        <f>F293</f>
        <v>28</v>
      </c>
      <c r="G294" s="111">
        <f>'PB '!C1</f>
        <v>0</v>
      </c>
      <c r="H294" s="113">
        <f>H293</f>
        <v>28</v>
      </c>
      <c r="I294" s="114">
        <v>534</v>
      </c>
      <c r="J294" s="115">
        <f t="shared" ref="J294:J296" si="6">I294*H294/30</f>
        <v>498.4</v>
      </c>
      <c r="K294" s="96"/>
      <c r="L294" s="96"/>
      <c r="M294" s="101"/>
    </row>
    <row r="295" spans="2:13" ht="30" customHeight="1" x14ac:dyDescent="0.3">
      <c r="B295" s="557" t="s">
        <v>72</v>
      </c>
      <c r="C295" s="558"/>
      <c r="D295" s="110">
        <f>D293</f>
        <v>1</v>
      </c>
      <c r="E295" s="111">
        <f>'PB '!C1</f>
        <v>0</v>
      </c>
      <c r="F295" s="112">
        <f>F293</f>
        <v>28</v>
      </c>
      <c r="G295" s="111">
        <f>'PB '!C1</f>
        <v>0</v>
      </c>
      <c r="H295" s="113">
        <f>H293</f>
        <v>28</v>
      </c>
      <c r="I295" s="114">
        <v>71.17</v>
      </c>
      <c r="J295" s="115">
        <f t="shared" si="6"/>
        <v>66.425333333333327</v>
      </c>
      <c r="K295" s="96"/>
      <c r="L295" s="96"/>
      <c r="M295" s="101"/>
    </row>
    <row r="296" spans="2:13" ht="30" customHeight="1" x14ac:dyDescent="0.3">
      <c r="B296" s="557" t="s">
        <v>73</v>
      </c>
      <c r="C296" s="558"/>
      <c r="D296" s="110">
        <f>D293</f>
        <v>1</v>
      </c>
      <c r="E296" s="111">
        <f>'PB '!C1</f>
        <v>0</v>
      </c>
      <c r="F296" s="112">
        <f>F293</f>
        <v>28</v>
      </c>
      <c r="G296" s="111">
        <f>'PB '!C1</f>
        <v>0</v>
      </c>
      <c r="H296" s="113">
        <f>H293</f>
        <v>28</v>
      </c>
      <c r="I296" s="114">
        <v>540.83000000000004</v>
      </c>
      <c r="J296" s="115">
        <f t="shared" si="6"/>
        <v>504.77466666666675</v>
      </c>
      <c r="K296" s="96"/>
      <c r="L296" s="96"/>
      <c r="M296" s="101"/>
    </row>
    <row r="297" spans="2:13" ht="30" customHeight="1" x14ac:dyDescent="0.3">
      <c r="B297" s="562" t="s">
        <v>74</v>
      </c>
      <c r="C297" s="563"/>
      <c r="D297" s="110"/>
      <c r="E297" s="111"/>
      <c r="F297" s="112"/>
      <c r="G297" s="111"/>
      <c r="H297" s="113"/>
      <c r="I297" s="114"/>
      <c r="J297" s="115">
        <f>'PB '!L40</f>
        <v>0</v>
      </c>
      <c r="K297" s="96"/>
      <c r="L297" s="96"/>
      <c r="M297" s="101"/>
    </row>
    <row r="298" spans="2:13" ht="30" customHeight="1" x14ac:dyDescent="0.3">
      <c r="B298" s="564" t="s">
        <v>176</v>
      </c>
      <c r="C298" s="561"/>
      <c r="D298" s="117"/>
      <c r="E298" s="111"/>
      <c r="F298" s="117"/>
      <c r="G298" s="111"/>
      <c r="H298" s="118"/>
      <c r="I298" s="114"/>
      <c r="J298" s="115">
        <f>'PB '!N40</f>
        <v>0</v>
      </c>
      <c r="K298" s="96"/>
      <c r="L298" s="96"/>
      <c r="M298" s="101"/>
    </row>
    <row r="299" spans="2:13" ht="30" customHeight="1" x14ac:dyDescent="0.3">
      <c r="B299" s="95"/>
      <c r="C299" s="96"/>
      <c r="D299" s="96"/>
      <c r="E299" s="96"/>
      <c r="F299" s="565" t="s">
        <v>76</v>
      </c>
      <c r="G299" s="565"/>
      <c r="H299" s="565"/>
      <c r="I299" s="566"/>
      <c r="J299" s="119">
        <f>SUM(J293:J298)</f>
        <v>1866.6666666666667</v>
      </c>
      <c r="K299" s="120" t="s">
        <v>51</v>
      </c>
      <c r="L299" s="121">
        <f>J299</f>
        <v>1866.6666666666667</v>
      </c>
      <c r="M299" s="101"/>
    </row>
    <row r="300" spans="2:13" ht="30" customHeight="1" thickBot="1" x14ac:dyDescent="0.35">
      <c r="B300" s="95"/>
      <c r="C300" s="96"/>
      <c r="D300" s="96"/>
      <c r="E300" s="96"/>
      <c r="F300" s="96"/>
      <c r="G300" s="96"/>
      <c r="H300" s="96"/>
      <c r="I300" s="96"/>
      <c r="J300" s="96"/>
      <c r="K300" s="96"/>
      <c r="L300" s="122">
        <f>L290+L299</f>
        <v>1866.6666666666667</v>
      </c>
      <c r="M300" s="101"/>
    </row>
    <row r="301" spans="2:13" ht="30" customHeight="1" x14ac:dyDescent="0.3">
      <c r="B301" s="95"/>
      <c r="C301" s="96"/>
      <c r="D301" s="96"/>
      <c r="E301" s="96"/>
      <c r="F301" s="96"/>
      <c r="G301" s="96"/>
      <c r="H301" s="96"/>
      <c r="I301" s="96"/>
      <c r="J301" s="96"/>
      <c r="K301" s="96"/>
      <c r="L301" s="123"/>
      <c r="M301" s="101"/>
    </row>
    <row r="302" spans="2:13" ht="30" customHeight="1" x14ac:dyDescent="0.3">
      <c r="B302" s="95"/>
      <c r="C302" s="96"/>
      <c r="D302" s="96"/>
      <c r="E302" s="96"/>
      <c r="F302" s="96"/>
      <c r="G302" s="96"/>
      <c r="H302" s="96"/>
      <c r="I302" s="96"/>
      <c r="J302" s="96"/>
      <c r="K302" s="96"/>
      <c r="L302" s="123"/>
      <c r="M302" s="101"/>
    </row>
    <row r="303" spans="2:13" ht="30" customHeight="1" x14ac:dyDescent="0.3">
      <c r="B303" s="557" t="s">
        <v>77</v>
      </c>
      <c r="C303" s="558"/>
      <c r="D303" s="558"/>
      <c r="E303" s="558"/>
      <c r="F303" s="558"/>
      <c r="G303" s="558"/>
      <c r="H303" s="558"/>
      <c r="I303" s="559"/>
      <c r="J303" s="124"/>
      <c r="K303" s="96"/>
      <c r="L303" s="123"/>
      <c r="M303" s="101"/>
    </row>
    <row r="304" spans="2:13" ht="30" customHeight="1" x14ac:dyDescent="0.3">
      <c r="B304" s="560" t="s">
        <v>78</v>
      </c>
      <c r="C304" s="561"/>
      <c r="D304" s="561"/>
      <c r="E304" s="561"/>
      <c r="F304" s="561"/>
      <c r="G304" s="561"/>
      <c r="H304" s="561"/>
      <c r="I304" s="561"/>
      <c r="J304" s="114">
        <f>'PB '!Q40</f>
        <v>0</v>
      </c>
      <c r="K304" s="96"/>
      <c r="L304" s="123"/>
      <c r="M304" s="101"/>
    </row>
    <row r="305" spans="2:13" ht="30" customHeight="1" x14ac:dyDescent="0.3">
      <c r="B305" s="560" t="s">
        <v>79</v>
      </c>
      <c r="C305" s="561"/>
      <c r="D305" s="561"/>
      <c r="E305" s="561"/>
      <c r="F305" s="561"/>
      <c r="G305" s="561"/>
      <c r="H305" s="561"/>
      <c r="I305" s="561"/>
      <c r="J305" s="114">
        <f>'PB '!R40</f>
        <v>1866.6666666666667</v>
      </c>
      <c r="K305" s="96"/>
      <c r="L305" s="123"/>
      <c r="M305" s="101"/>
    </row>
    <row r="306" spans="2:13" ht="30" customHeight="1" x14ac:dyDescent="0.3">
      <c r="B306" s="560" t="s">
        <v>80</v>
      </c>
      <c r="C306" s="561"/>
      <c r="D306" s="561"/>
      <c r="E306" s="561"/>
      <c r="F306" s="561"/>
      <c r="G306" s="561"/>
      <c r="H306" s="561"/>
      <c r="I306" s="561"/>
      <c r="J306" s="114">
        <f>'PB '!S40</f>
        <v>0</v>
      </c>
      <c r="K306" s="96"/>
      <c r="L306" s="123"/>
      <c r="M306" s="101"/>
    </row>
    <row r="307" spans="2:13" ht="30" customHeight="1" x14ac:dyDescent="0.3">
      <c r="B307" s="560" t="s">
        <v>81</v>
      </c>
      <c r="C307" s="561"/>
      <c r="D307" s="561"/>
      <c r="E307" s="561"/>
      <c r="F307" s="561"/>
      <c r="G307" s="561"/>
      <c r="H307" s="561"/>
      <c r="I307" s="561"/>
      <c r="J307" s="114">
        <v>0</v>
      </c>
      <c r="K307" s="96"/>
      <c r="L307" s="123"/>
      <c r="M307" s="101"/>
    </row>
    <row r="308" spans="2:13" ht="30" customHeight="1" x14ac:dyDescent="0.3">
      <c r="B308" s="557" t="s">
        <v>82</v>
      </c>
      <c r="C308" s="558"/>
      <c r="D308" s="558"/>
      <c r="E308" s="558"/>
      <c r="F308" s="558"/>
      <c r="G308" s="558"/>
      <c r="H308" s="558"/>
      <c r="I308" s="559"/>
      <c r="J308" s="114">
        <f>'PB '!T40</f>
        <v>0</v>
      </c>
      <c r="K308" s="96"/>
      <c r="L308" s="123"/>
      <c r="M308" s="101"/>
    </row>
    <row r="309" spans="2:13" ht="30" customHeight="1" thickBot="1" x14ac:dyDescent="0.35">
      <c r="B309" s="560"/>
      <c r="C309" s="561"/>
      <c r="D309" s="561"/>
      <c r="E309" s="561"/>
      <c r="F309" s="561"/>
      <c r="G309" s="561"/>
      <c r="H309" s="561"/>
      <c r="I309" s="561"/>
      <c r="J309" s="114"/>
      <c r="K309" s="96"/>
      <c r="L309" s="123"/>
      <c r="M309" s="101"/>
    </row>
    <row r="310" spans="2:13" ht="30" customHeight="1" thickBot="1" x14ac:dyDescent="0.35">
      <c r="B310" s="95"/>
      <c r="C310" s="96"/>
      <c r="D310" s="96"/>
      <c r="E310" s="96"/>
      <c r="F310" s="573" t="s">
        <v>83</v>
      </c>
      <c r="G310" s="574"/>
      <c r="H310" s="574"/>
      <c r="I310" s="575"/>
      <c r="J310" s="114">
        <f>SUM(J304:J308)</f>
        <v>1866.6666666666667</v>
      </c>
      <c r="K310" s="96" t="s">
        <v>51</v>
      </c>
      <c r="L310" s="125">
        <f>J310</f>
        <v>1866.6666666666667</v>
      </c>
      <c r="M310" s="101"/>
    </row>
    <row r="311" spans="2:13" ht="30" customHeight="1" x14ac:dyDescent="0.3">
      <c r="B311" s="95"/>
      <c r="C311" s="96"/>
      <c r="D311" s="96"/>
      <c r="E311" s="96"/>
      <c r="F311" s="96"/>
      <c r="G311" s="96"/>
      <c r="H311" s="96"/>
      <c r="I311" s="96"/>
      <c r="J311" s="96"/>
      <c r="K311" s="96"/>
      <c r="L311" s="123"/>
      <c r="M311" s="101"/>
    </row>
    <row r="312" spans="2:13" ht="30" customHeight="1" x14ac:dyDescent="0.3">
      <c r="B312" s="95"/>
      <c r="C312" s="96"/>
      <c r="D312" s="96"/>
      <c r="E312" s="96"/>
      <c r="F312" s="96"/>
      <c r="G312" s="96"/>
      <c r="H312" s="96"/>
      <c r="I312" s="96"/>
      <c r="J312" s="96"/>
      <c r="K312" s="96"/>
      <c r="L312" s="123"/>
      <c r="M312" s="101"/>
    </row>
    <row r="313" spans="2:13" ht="30" customHeight="1" thickBot="1" x14ac:dyDescent="0.35">
      <c r="B313" s="95"/>
      <c r="C313" s="96"/>
      <c r="D313" s="96"/>
      <c r="E313" s="96"/>
      <c r="F313" s="112" t="s">
        <v>84</v>
      </c>
      <c r="G313" s="112"/>
      <c r="H313" s="112"/>
      <c r="I313" s="112"/>
      <c r="J313" s="112"/>
      <c r="K313" s="96" t="s">
        <v>51</v>
      </c>
      <c r="L313" s="126">
        <f>L300-L310</f>
        <v>0</v>
      </c>
      <c r="M313" s="101"/>
    </row>
    <row r="314" spans="2:13" ht="30" customHeight="1" x14ac:dyDescent="0.3">
      <c r="B314" s="127"/>
      <c r="C314" s="96"/>
      <c r="D314" s="96"/>
      <c r="E314" s="96"/>
      <c r="F314" s="96"/>
      <c r="G314" s="96"/>
      <c r="H314" s="96"/>
      <c r="I314" s="96" t="s">
        <v>44</v>
      </c>
      <c r="J314" s="96" t="s">
        <v>44</v>
      </c>
      <c r="K314" s="96" t="s">
        <v>44</v>
      </c>
      <c r="L314" s="123" t="s">
        <v>44</v>
      </c>
      <c r="M314" s="101"/>
    </row>
    <row r="315" spans="2:13" ht="30" customHeight="1" x14ac:dyDescent="0.3">
      <c r="B315" s="127"/>
      <c r="C315" s="96"/>
      <c r="D315" s="96"/>
      <c r="E315" s="96"/>
      <c r="F315" s="96"/>
      <c r="G315" s="96"/>
      <c r="H315" s="96"/>
      <c r="I315" s="96"/>
      <c r="J315" s="96"/>
      <c r="K315" s="96"/>
      <c r="L315" s="123"/>
      <c r="M315" s="101"/>
    </row>
    <row r="316" spans="2:13" ht="30" customHeight="1" x14ac:dyDescent="0.3">
      <c r="B316" s="127"/>
      <c r="C316" s="96"/>
      <c r="D316" s="96"/>
      <c r="E316" s="96"/>
      <c r="F316" s="96"/>
      <c r="G316" s="96"/>
      <c r="H316" s="96"/>
      <c r="I316" s="96"/>
      <c r="J316" s="96"/>
      <c r="K316" s="96"/>
      <c r="L316" s="123"/>
      <c r="M316" s="101"/>
    </row>
    <row r="317" spans="2:13" ht="30" customHeight="1" x14ac:dyDescent="0.25">
      <c r="B317" s="576" t="s">
        <v>85</v>
      </c>
      <c r="C317" s="577"/>
      <c r="D317" s="577"/>
      <c r="E317" s="577"/>
      <c r="F317" s="577"/>
      <c r="G317" s="577"/>
      <c r="H317" s="577"/>
      <c r="I317" s="577"/>
      <c r="J317" s="577"/>
      <c r="K317" s="577"/>
      <c r="L317" s="577"/>
      <c r="M317" s="578"/>
    </row>
    <row r="318" spans="2:13" ht="30" customHeight="1" x14ac:dyDescent="0.25">
      <c r="B318" s="576" t="s">
        <v>86</v>
      </c>
      <c r="C318" s="577"/>
      <c r="D318" s="577"/>
      <c r="E318" s="577"/>
      <c r="F318" s="577"/>
      <c r="G318" s="577"/>
      <c r="H318" s="577"/>
      <c r="I318" s="577"/>
      <c r="J318" s="577"/>
      <c r="K318" s="577"/>
      <c r="L318" s="577"/>
      <c r="M318" s="578"/>
    </row>
    <row r="319" spans="2:13" ht="30" customHeight="1" x14ac:dyDescent="0.3">
      <c r="B319" s="95"/>
      <c r="C319" s="96"/>
      <c r="D319" s="96"/>
      <c r="E319" s="96"/>
      <c r="F319" s="96"/>
      <c r="G319" s="96"/>
      <c r="H319" s="96"/>
      <c r="I319" s="96"/>
      <c r="J319" s="96"/>
      <c r="K319" s="96"/>
      <c r="L319" s="96"/>
      <c r="M319" s="101"/>
    </row>
    <row r="320" spans="2:13" ht="30" customHeight="1" x14ac:dyDescent="0.3">
      <c r="B320" s="95"/>
      <c r="C320" s="96"/>
      <c r="D320" s="96"/>
      <c r="E320" s="96"/>
      <c r="F320" s="96"/>
      <c r="G320" s="96"/>
      <c r="H320" s="96"/>
      <c r="I320" s="96"/>
      <c r="J320" s="96"/>
      <c r="K320" s="96"/>
      <c r="L320" s="96"/>
      <c r="M320" s="101"/>
    </row>
    <row r="321" spans="2:15" ht="30" customHeight="1" x14ac:dyDescent="0.3">
      <c r="B321" s="567"/>
      <c r="C321" s="568"/>
      <c r="D321" s="568"/>
      <c r="E321" s="96"/>
      <c r="F321" s="96"/>
      <c r="G321" s="96"/>
      <c r="H321" s="96"/>
      <c r="I321" s="96"/>
      <c r="J321" s="568"/>
      <c r="K321" s="568"/>
      <c r="L321" s="568"/>
      <c r="M321" s="101"/>
    </row>
    <row r="322" spans="2:15" ht="30" customHeight="1" x14ac:dyDescent="0.3">
      <c r="B322" s="569" t="s">
        <v>87</v>
      </c>
      <c r="C322" s="570"/>
      <c r="D322" s="570"/>
      <c r="E322" s="96"/>
      <c r="F322" s="96"/>
      <c r="G322" s="96"/>
      <c r="H322" s="96"/>
      <c r="I322" s="128" t="s">
        <v>88</v>
      </c>
      <c r="J322" s="128"/>
      <c r="K322" s="128"/>
      <c r="L322" s="102"/>
      <c r="M322" s="101"/>
    </row>
    <row r="323" spans="2:15" ht="30" customHeight="1" x14ac:dyDescent="0.3">
      <c r="B323" s="95" t="s">
        <v>44</v>
      </c>
      <c r="C323" s="96"/>
      <c r="D323" s="96"/>
      <c r="E323" s="96"/>
      <c r="F323" s="96"/>
      <c r="G323" s="96"/>
      <c r="H323" s="96"/>
      <c r="I323" s="96"/>
      <c r="J323" s="570"/>
      <c r="K323" s="570"/>
      <c r="L323" s="570"/>
      <c r="M323" s="101"/>
    </row>
    <row r="324" spans="2:15" ht="30" customHeight="1" x14ac:dyDescent="0.3">
      <c r="B324" s="95" t="s">
        <v>64</v>
      </c>
      <c r="C324" s="570">
        <f>C287</f>
        <v>0</v>
      </c>
      <c r="D324" s="570"/>
      <c r="E324" s="570"/>
      <c r="F324" s="96"/>
      <c r="G324" s="96"/>
      <c r="H324" s="96"/>
      <c r="I324" s="99" t="s">
        <v>104</v>
      </c>
      <c r="J324" s="571">
        <f>+'PB '!C7</f>
        <v>0</v>
      </c>
      <c r="K324" s="571"/>
      <c r="L324" s="571"/>
      <c r="M324" s="572"/>
    </row>
    <row r="325" spans="2:15" ht="30" customHeight="1" thickBot="1" x14ac:dyDescent="0.35">
      <c r="B325" s="129"/>
      <c r="C325" s="130"/>
      <c r="D325" s="130"/>
      <c r="E325" s="130"/>
      <c r="F325" s="130"/>
      <c r="G325" s="130"/>
      <c r="H325" s="130"/>
      <c r="I325" s="130"/>
      <c r="J325" s="131"/>
      <c r="K325" s="132"/>
      <c r="L325" s="132"/>
      <c r="M325" s="133"/>
    </row>
    <row r="326" spans="2:15" ht="30" customHeight="1" x14ac:dyDescent="0.35">
      <c r="B326" s="135"/>
      <c r="C326" s="135"/>
      <c r="D326" s="135"/>
      <c r="E326" s="135"/>
      <c r="F326" s="135"/>
      <c r="G326" s="135"/>
      <c r="H326" s="135"/>
      <c r="I326" s="135"/>
      <c r="J326" s="135"/>
      <c r="K326" s="135"/>
      <c r="L326" s="135"/>
      <c r="M326" s="135"/>
    </row>
    <row r="327" spans="2:15" ht="30" customHeight="1" x14ac:dyDescent="0.35">
      <c r="B327" s="135"/>
      <c r="C327" s="135"/>
      <c r="D327" s="135"/>
      <c r="E327" s="135"/>
      <c r="F327" s="135"/>
      <c r="G327" s="135"/>
      <c r="H327" s="135"/>
      <c r="I327" s="135"/>
      <c r="J327" s="135"/>
      <c r="K327" s="135"/>
      <c r="L327" s="135"/>
      <c r="M327" s="135"/>
    </row>
    <row r="328" spans="2:15" ht="30" customHeight="1" thickBot="1" x14ac:dyDescent="0.4">
      <c r="B328" s="135"/>
      <c r="C328" s="135"/>
      <c r="D328" s="135"/>
      <c r="E328" s="135"/>
      <c r="F328" s="135"/>
      <c r="G328" s="135"/>
      <c r="H328" s="135"/>
      <c r="I328" s="135"/>
      <c r="J328" s="135"/>
      <c r="K328" s="135"/>
      <c r="L328" s="135"/>
      <c r="M328" s="135"/>
    </row>
    <row r="329" spans="2:15" ht="30" customHeight="1" x14ac:dyDescent="0.3">
      <c r="B329" s="584"/>
      <c r="C329" s="585"/>
      <c r="D329" s="585"/>
      <c r="E329" s="585"/>
      <c r="F329" s="585"/>
      <c r="G329" s="585"/>
      <c r="H329" s="585"/>
      <c r="I329" s="585"/>
      <c r="J329" s="585"/>
      <c r="K329" s="585"/>
      <c r="L329" s="585"/>
      <c r="M329" s="586"/>
      <c r="O329">
        <v>9</v>
      </c>
    </row>
    <row r="330" spans="2:15" ht="30" customHeight="1" x14ac:dyDescent="0.3">
      <c r="B330" s="587" t="s">
        <v>62</v>
      </c>
      <c r="C330" s="588"/>
      <c r="D330" s="588"/>
      <c r="E330" s="588"/>
      <c r="F330" s="588"/>
      <c r="G330" s="588"/>
      <c r="H330" s="588"/>
      <c r="I330" s="588"/>
      <c r="J330" s="588"/>
      <c r="K330" s="588"/>
      <c r="L330" s="588"/>
      <c r="M330" s="589"/>
    </row>
    <row r="331" spans="2:15" ht="30" customHeight="1" x14ac:dyDescent="0.3">
      <c r="B331" s="95" t="s">
        <v>63</v>
      </c>
      <c r="C331" s="570" t="str">
        <f>C285</f>
        <v>Vessel name</v>
      </c>
      <c r="D331" s="570"/>
      <c r="E331" s="570"/>
      <c r="F331" s="96"/>
      <c r="G331" s="570"/>
      <c r="H331" s="570"/>
      <c r="I331" s="570"/>
      <c r="J331" s="96" t="s">
        <v>44</v>
      </c>
      <c r="K331" s="97"/>
      <c r="L331" s="582"/>
      <c r="M331" s="583"/>
    </row>
    <row r="332" spans="2:15" ht="30" customHeight="1" x14ac:dyDescent="0.3">
      <c r="B332" s="98"/>
      <c r="C332" s="96"/>
      <c r="D332" s="96"/>
      <c r="E332" s="99"/>
      <c r="F332" s="100"/>
      <c r="G332" s="100"/>
      <c r="H332" s="100"/>
      <c r="I332" s="96"/>
      <c r="J332" s="96"/>
      <c r="K332" s="97"/>
      <c r="L332" s="97"/>
      <c r="M332" s="101"/>
    </row>
    <row r="333" spans="2:15" ht="30" customHeight="1" x14ac:dyDescent="0.3">
      <c r="B333" s="95" t="s">
        <v>64</v>
      </c>
      <c r="C333" s="570" t="e">
        <f>'PB '!#REF!</f>
        <v>#REF!</v>
      </c>
      <c r="D333" s="570"/>
      <c r="E333" s="570"/>
      <c r="F333" s="570"/>
      <c r="G333" s="102"/>
      <c r="H333" s="96" t="s">
        <v>21</v>
      </c>
      <c r="I333" s="603" t="e">
        <f>'PB '!#REF!</f>
        <v>#REF!</v>
      </c>
      <c r="J333" s="570"/>
      <c r="K333" s="96"/>
      <c r="L333" s="582"/>
      <c r="M333" s="583"/>
    </row>
    <row r="334" spans="2:15" ht="30" customHeight="1" x14ac:dyDescent="0.3">
      <c r="B334" s="95"/>
      <c r="C334" s="96"/>
      <c r="D334" s="96"/>
      <c r="E334" s="96"/>
      <c r="F334" s="96"/>
      <c r="G334" s="96" t="s">
        <v>65</v>
      </c>
      <c r="H334" s="96"/>
      <c r="I334" s="96"/>
      <c r="J334" s="96"/>
      <c r="K334" s="96"/>
      <c r="L334" s="96"/>
      <c r="M334" s="101"/>
    </row>
    <row r="335" spans="2:15" ht="30" customHeight="1" x14ac:dyDescent="0.3">
      <c r="B335" s="95"/>
      <c r="C335" s="96"/>
      <c r="D335" s="96"/>
      <c r="E335" s="96"/>
      <c r="F335" s="96"/>
      <c r="G335" s="96" t="s">
        <v>44</v>
      </c>
      <c r="H335" s="96"/>
      <c r="I335" s="96"/>
      <c r="J335" s="96"/>
      <c r="K335" s="96"/>
      <c r="L335" s="96"/>
      <c r="M335" s="101"/>
    </row>
    <row r="336" spans="2:15" ht="30" customHeight="1" x14ac:dyDescent="0.3">
      <c r="B336" s="95"/>
      <c r="C336" s="96"/>
      <c r="D336" s="96"/>
      <c r="E336" s="96"/>
      <c r="F336" s="96"/>
      <c r="G336" s="103" t="s">
        <v>66</v>
      </c>
      <c r="H336" s="104"/>
      <c r="I336" s="103"/>
      <c r="J336" s="103"/>
      <c r="K336" s="96" t="s">
        <v>51</v>
      </c>
      <c r="L336" s="105">
        <f>'PB '!V14</f>
        <v>0</v>
      </c>
      <c r="M336" s="101"/>
    </row>
    <row r="337" spans="2:13" ht="30" customHeight="1" x14ac:dyDescent="0.3">
      <c r="B337" s="95"/>
      <c r="C337" s="96"/>
      <c r="D337" s="96"/>
      <c r="E337" s="96"/>
      <c r="F337" s="96"/>
      <c r="G337" s="96"/>
      <c r="H337" s="96"/>
      <c r="I337" s="96"/>
      <c r="J337" s="96"/>
      <c r="K337" s="96"/>
      <c r="L337" s="96"/>
      <c r="M337" s="101"/>
    </row>
    <row r="338" spans="2:13" ht="30" customHeight="1" x14ac:dyDescent="0.3">
      <c r="B338" s="590" t="s">
        <v>67</v>
      </c>
      <c r="C338" s="591"/>
      <c r="D338" s="592" t="s">
        <v>60</v>
      </c>
      <c r="E338" s="593"/>
      <c r="F338" s="579" t="s">
        <v>61</v>
      </c>
      <c r="G338" s="580"/>
      <c r="H338" s="106" t="s">
        <v>68</v>
      </c>
      <c r="I338" s="107" t="s">
        <v>69</v>
      </c>
      <c r="J338" s="106" t="s">
        <v>51</v>
      </c>
      <c r="K338" s="108"/>
      <c r="L338" s="108"/>
      <c r="M338" s="109"/>
    </row>
    <row r="339" spans="2:13" ht="30" customHeight="1" x14ac:dyDescent="0.3">
      <c r="B339" s="560" t="s">
        <v>70</v>
      </c>
      <c r="C339" s="581"/>
      <c r="D339" s="110" t="e">
        <f>'PB '!#REF!</f>
        <v>#REF!</v>
      </c>
      <c r="E339" s="111">
        <f>'PB '!C1</f>
        <v>0</v>
      </c>
      <c r="F339" s="112" t="e">
        <f>'PB '!#REF!</f>
        <v>#REF!</v>
      </c>
      <c r="G339" s="111">
        <f>'PB '!C1</f>
        <v>0</v>
      </c>
      <c r="H339" s="113" t="e">
        <f>'PB '!#REF!</f>
        <v>#REF!</v>
      </c>
      <c r="I339" s="114">
        <v>285</v>
      </c>
      <c r="J339" s="115" t="e">
        <f>I339*H339/30</f>
        <v>#REF!</v>
      </c>
      <c r="K339" s="96"/>
      <c r="L339" s="96"/>
      <c r="M339" s="101"/>
    </row>
    <row r="340" spans="2:13" ht="30" customHeight="1" x14ac:dyDescent="0.3">
      <c r="B340" s="560" t="s">
        <v>71</v>
      </c>
      <c r="C340" s="581"/>
      <c r="D340" s="110" t="e">
        <f>D339</f>
        <v>#REF!</v>
      </c>
      <c r="E340" s="111">
        <f>'PB '!C1</f>
        <v>0</v>
      </c>
      <c r="F340" s="112" t="e">
        <f>F339</f>
        <v>#REF!</v>
      </c>
      <c r="G340" s="111">
        <f>'PB '!C1</f>
        <v>0</v>
      </c>
      <c r="H340" s="113" t="e">
        <f>H339</f>
        <v>#REF!</v>
      </c>
      <c r="I340" s="114">
        <v>178</v>
      </c>
      <c r="J340" s="115" t="e">
        <f t="shared" ref="J340:J342" si="7">I340*H340/30</f>
        <v>#REF!</v>
      </c>
      <c r="K340" s="96"/>
      <c r="L340" s="96"/>
      <c r="M340" s="101"/>
    </row>
    <row r="341" spans="2:13" ht="30" customHeight="1" x14ac:dyDescent="0.3">
      <c r="B341" s="557" t="s">
        <v>72</v>
      </c>
      <c r="C341" s="558"/>
      <c r="D341" s="110" t="e">
        <f>D339</f>
        <v>#REF!</v>
      </c>
      <c r="E341" s="111">
        <f>'PB '!C1</f>
        <v>0</v>
      </c>
      <c r="F341" s="112" t="e">
        <f>F339</f>
        <v>#REF!</v>
      </c>
      <c r="G341" s="111">
        <f>'PB '!C1</f>
        <v>0</v>
      </c>
      <c r="H341" s="113" t="e">
        <f>H339</f>
        <v>#REF!</v>
      </c>
      <c r="I341" s="114">
        <v>24</v>
      </c>
      <c r="J341" s="115" t="e">
        <f t="shared" si="7"/>
        <v>#REF!</v>
      </c>
      <c r="K341" s="96"/>
      <c r="L341" s="96"/>
      <c r="M341" s="101"/>
    </row>
    <row r="342" spans="2:13" ht="30" customHeight="1" x14ac:dyDescent="0.3">
      <c r="B342" s="557" t="s">
        <v>73</v>
      </c>
      <c r="C342" s="558"/>
      <c r="D342" s="110" t="e">
        <f>D339</f>
        <v>#REF!</v>
      </c>
      <c r="E342" s="111">
        <f>'PB '!C1</f>
        <v>0</v>
      </c>
      <c r="F342" s="112" t="e">
        <f>F339</f>
        <v>#REF!</v>
      </c>
      <c r="G342" s="111">
        <f>'PB '!C1</f>
        <v>0</v>
      </c>
      <c r="H342" s="113" t="e">
        <f>H339</f>
        <v>#REF!</v>
      </c>
      <c r="I342" s="114">
        <v>213</v>
      </c>
      <c r="J342" s="115" t="e">
        <f t="shared" si="7"/>
        <v>#REF!</v>
      </c>
      <c r="K342" s="96"/>
      <c r="L342" s="96"/>
      <c r="M342" s="101"/>
    </row>
    <row r="343" spans="2:13" ht="30" customHeight="1" x14ac:dyDescent="0.3">
      <c r="B343" s="562" t="s">
        <v>74</v>
      </c>
      <c r="C343" s="563"/>
      <c r="D343" s="110"/>
      <c r="E343" s="111"/>
      <c r="F343" s="112"/>
      <c r="G343" s="111"/>
      <c r="H343" s="113"/>
      <c r="I343" s="114"/>
      <c r="J343" s="115" t="e">
        <f>'PB '!#REF!</f>
        <v>#REF!</v>
      </c>
      <c r="K343" s="96"/>
      <c r="L343" s="96"/>
      <c r="M343" s="101"/>
    </row>
    <row r="344" spans="2:13" ht="30" customHeight="1" x14ac:dyDescent="0.3">
      <c r="B344" s="564" t="s">
        <v>176</v>
      </c>
      <c r="C344" s="561"/>
      <c r="D344" s="117"/>
      <c r="E344" s="111"/>
      <c r="F344" s="117"/>
      <c r="G344" s="111"/>
      <c r="H344" s="118"/>
      <c r="I344" s="114"/>
      <c r="J344" s="115" t="e">
        <f>'PB '!#REF!</f>
        <v>#REF!</v>
      </c>
      <c r="K344" s="96"/>
      <c r="L344" s="96"/>
      <c r="M344" s="101"/>
    </row>
    <row r="345" spans="2:13" ht="30" customHeight="1" x14ac:dyDescent="0.3">
      <c r="B345" s="95"/>
      <c r="C345" s="96"/>
      <c r="D345" s="96"/>
      <c r="E345" s="96"/>
      <c r="F345" s="565" t="s">
        <v>76</v>
      </c>
      <c r="G345" s="565"/>
      <c r="H345" s="565"/>
      <c r="I345" s="566"/>
      <c r="J345" s="119" t="e">
        <f>SUM(J339:J344)</f>
        <v>#REF!</v>
      </c>
      <c r="K345" s="120" t="s">
        <v>51</v>
      </c>
      <c r="L345" s="121" t="e">
        <f>J345</f>
        <v>#REF!</v>
      </c>
      <c r="M345" s="101"/>
    </row>
    <row r="346" spans="2:13" ht="30" customHeight="1" thickBot="1" x14ac:dyDescent="0.35">
      <c r="B346" s="95"/>
      <c r="C346" s="96"/>
      <c r="D346" s="96"/>
      <c r="E346" s="96"/>
      <c r="F346" s="96"/>
      <c r="G346" s="96"/>
      <c r="H346" s="96"/>
      <c r="I346" s="96"/>
      <c r="J346" s="96"/>
      <c r="K346" s="96"/>
      <c r="L346" s="122" t="e">
        <f>L336+L345</f>
        <v>#REF!</v>
      </c>
      <c r="M346" s="101"/>
    </row>
    <row r="347" spans="2:13" ht="30" customHeight="1" x14ac:dyDescent="0.3">
      <c r="B347" s="95"/>
      <c r="C347" s="96"/>
      <c r="D347" s="96"/>
      <c r="E347" s="96"/>
      <c r="F347" s="96"/>
      <c r="G347" s="96"/>
      <c r="H347" s="96"/>
      <c r="I347" s="96"/>
      <c r="J347" s="96"/>
      <c r="K347" s="96"/>
      <c r="L347" s="123"/>
      <c r="M347" s="101"/>
    </row>
    <row r="348" spans="2:13" ht="30" customHeight="1" x14ac:dyDescent="0.3">
      <c r="B348" s="95"/>
      <c r="C348" s="96"/>
      <c r="D348" s="96"/>
      <c r="E348" s="96"/>
      <c r="F348" s="96"/>
      <c r="G348" s="96"/>
      <c r="H348" s="96"/>
      <c r="I348" s="96"/>
      <c r="J348" s="96"/>
      <c r="K348" s="96"/>
      <c r="L348" s="123"/>
      <c r="M348" s="101"/>
    </row>
    <row r="349" spans="2:13" ht="30" customHeight="1" x14ac:dyDescent="0.3">
      <c r="B349" s="557" t="s">
        <v>77</v>
      </c>
      <c r="C349" s="558"/>
      <c r="D349" s="558"/>
      <c r="E349" s="558"/>
      <c r="F349" s="558"/>
      <c r="G349" s="558"/>
      <c r="H349" s="558"/>
      <c r="I349" s="559"/>
      <c r="J349" s="124"/>
      <c r="K349" s="96"/>
      <c r="L349" s="123"/>
      <c r="M349" s="101"/>
    </row>
    <row r="350" spans="2:13" ht="30" customHeight="1" x14ac:dyDescent="0.3">
      <c r="B350" s="560" t="s">
        <v>78</v>
      </c>
      <c r="C350" s="561"/>
      <c r="D350" s="561"/>
      <c r="E350" s="561"/>
      <c r="F350" s="561"/>
      <c r="G350" s="561"/>
      <c r="H350" s="561"/>
      <c r="I350" s="561"/>
      <c r="J350" s="114" t="e">
        <f>'PB '!#REF!</f>
        <v>#REF!</v>
      </c>
      <c r="K350" s="96"/>
      <c r="L350" s="123"/>
      <c r="M350" s="101"/>
    </row>
    <row r="351" spans="2:13" ht="30" customHeight="1" x14ac:dyDescent="0.3">
      <c r="B351" s="560" t="s">
        <v>79</v>
      </c>
      <c r="C351" s="561"/>
      <c r="D351" s="561"/>
      <c r="E351" s="561"/>
      <c r="F351" s="561"/>
      <c r="G351" s="561"/>
      <c r="H351" s="561"/>
      <c r="I351" s="561"/>
      <c r="J351" s="114" t="e">
        <f>'PB '!#REF!</f>
        <v>#REF!</v>
      </c>
      <c r="K351" s="96"/>
      <c r="L351" s="123"/>
      <c r="M351" s="101"/>
    </row>
    <row r="352" spans="2:13" ht="30" customHeight="1" x14ac:dyDescent="0.3">
      <c r="B352" s="560" t="s">
        <v>80</v>
      </c>
      <c r="C352" s="561"/>
      <c r="D352" s="561"/>
      <c r="E352" s="561"/>
      <c r="F352" s="561"/>
      <c r="G352" s="561"/>
      <c r="H352" s="561"/>
      <c r="I352" s="561"/>
      <c r="J352" s="114" t="e">
        <f>'PB '!#REF!</f>
        <v>#REF!</v>
      </c>
      <c r="K352" s="96"/>
      <c r="L352" s="123"/>
      <c r="M352" s="101"/>
    </row>
    <row r="353" spans="2:13" ht="30" customHeight="1" x14ac:dyDescent="0.3">
      <c r="B353" s="560" t="s">
        <v>81</v>
      </c>
      <c r="C353" s="561"/>
      <c r="D353" s="561"/>
      <c r="E353" s="561"/>
      <c r="F353" s="561"/>
      <c r="G353" s="561"/>
      <c r="H353" s="561"/>
      <c r="I353" s="561"/>
      <c r="J353" s="114">
        <v>0</v>
      </c>
      <c r="K353" s="96"/>
      <c r="L353" s="123"/>
      <c r="M353" s="101"/>
    </row>
    <row r="354" spans="2:13" ht="30" customHeight="1" x14ac:dyDescent="0.3">
      <c r="B354" s="557" t="s">
        <v>105</v>
      </c>
      <c r="C354" s="558"/>
      <c r="D354" s="558"/>
      <c r="E354" s="558"/>
      <c r="F354" s="558"/>
      <c r="G354" s="558"/>
      <c r="H354" s="558"/>
      <c r="I354" s="559"/>
      <c r="J354" s="114" t="e">
        <f>'PB '!#REF!</f>
        <v>#REF!</v>
      </c>
      <c r="K354" s="96"/>
      <c r="L354" s="123"/>
      <c r="M354" s="101"/>
    </row>
    <row r="355" spans="2:13" ht="30" customHeight="1" thickBot="1" x14ac:dyDescent="0.35">
      <c r="B355" s="560"/>
      <c r="C355" s="561"/>
      <c r="D355" s="561"/>
      <c r="E355" s="561"/>
      <c r="F355" s="561"/>
      <c r="G355" s="561"/>
      <c r="H355" s="561"/>
      <c r="I355" s="561"/>
      <c r="J355" s="114"/>
      <c r="K355" s="96"/>
      <c r="L355" s="123"/>
      <c r="M355" s="101"/>
    </row>
    <row r="356" spans="2:13" ht="30" customHeight="1" thickBot="1" x14ac:dyDescent="0.35">
      <c r="B356" s="95"/>
      <c r="C356" s="96"/>
      <c r="D356" s="96"/>
      <c r="E356" s="96"/>
      <c r="F356" s="573" t="s">
        <v>83</v>
      </c>
      <c r="G356" s="574"/>
      <c r="H356" s="574"/>
      <c r="I356" s="575"/>
      <c r="J356" s="114" t="e">
        <f>SUM(J350:J354)</f>
        <v>#REF!</v>
      </c>
      <c r="K356" s="96" t="s">
        <v>51</v>
      </c>
      <c r="L356" s="125" t="e">
        <f>J356</f>
        <v>#REF!</v>
      </c>
      <c r="M356" s="101"/>
    </row>
    <row r="357" spans="2:13" ht="30" customHeight="1" x14ac:dyDescent="0.3">
      <c r="B357" s="95"/>
      <c r="C357" s="96"/>
      <c r="D357" s="96"/>
      <c r="E357" s="96"/>
      <c r="F357" s="96"/>
      <c r="G357" s="96"/>
      <c r="H357" s="96"/>
      <c r="I357" s="96"/>
      <c r="J357" s="96"/>
      <c r="K357" s="96"/>
      <c r="L357" s="123"/>
      <c r="M357" s="101"/>
    </row>
    <row r="358" spans="2:13" ht="30" customHeight="1" x14ac:dyDescent="0.3">
      <c r="B358" s="95"/>
      <c r="C358" s="96"/>
      <c r="D358" s="96"/>
      <c r="E358" s="96"/>
      <c r="F358" s="96"/>
      <c r="G358" s="96"/>
      <c r="H358" s="96"/>
      <c r="I358" s="96"/>
      <c r="J358" s="96"/>
      <c r="K358" s="96"/>
      <c r="L358" s="123"/>
      <c r="M358" s="101"/>
    </row>
    <row r="359" spans="2:13" ht="30" customHeight="1" thickBot="1" x14ac:dyDescent="0.35">
      <c r="B359" s="95"/>
      <c r="C359" s="96"/>
      <c r="D359" s="96"/>
      <c r="E359" s="96"/>
      <c r="F359" s="112" t="s">
        <v>84</v>
      </c>
      <c r="G359" s="112"/>
      <c r="H359" s="112"/>
      <c r="I359" s="112"/>
      <c r="J359" s="112"/>
      <c r="K359" s="96" t="s">
        <v>51</v>
      </c>
      <c r="L359" s="126" t="e">
        <f>L346-L356</f>
        <v>#REF!</v>
      </c>
      <c r="M359" s="101"/>
    </row>
    <row r="360" spans="2:13" ht="30" customHeight="1" x14ac:dyDescent="0.3">
      <c r="B360" s="127"/>
      <c r="C360" s="96"/>
      <c r="D360" s="96"/>
      <c r="E360" s="96"/>
      <c r="F360" s="96"/>
      <c r="G360" s="96"/>
      <c r="H360" s="96"/>
      <c r="I360" s="96" t="s">
        <v>44</v>
      </c>
      <c r="J360" s="96" t="s">
        <v>44</v>
      </c>
      <c r="K360" s="96" t="s">
        <v>44</v>
      </c>
      <c r="L360" s="123" t="s">
        <v>44</v>
      </c>
      <c r="M360" s="101"/>
    </row>
    <row r="361" spans="2:13" ht="30" customHeight="1" x14ac:dyDescent="0.3">
      <c r="B361" s="127"/>
      <c r="C361" s="96"/>
      <c r="D361" s="96"/>
      <c r="E361" s="96"/>
      <c r="F361" s="96"/>
      <c r="G361" s="96"/>
      <c r="H361" s="96"/>
      <c r="I361" s="96"/>
      <c r="J361" s="96"/>
      <c r="K361" s="96"/>
      <c r="L361" s="123"/>
      <c r="M361" s="101"/>
    </row>
    <row r="362" spans="2:13" ht="30" customHeight="1" x14ac:dyDescent="0.3">
      <c r="B362" s="127"/>
      <c r="C362" s="96"/>
      <c r="D362" s="96"/>
      <c r="E362" s="96"/>
      <c r="F362" s="96"/>
      <c r="G362" s="96"/>
      <c r="H362" s="96"/>
      <c r="I362" s="96"/>
      <c r="J362" s="96"/>
      <c r="K362" s="96"/>
      <c r="L362" s="123"/>
      <c r="M362" s="101"/>
    </row>
    <row r="363" spans="2:13" ht="30" customHeight="1" x14ac:dyDescent="0.25">
      <c r="B363" s="576" t="s">
        <v>85</v>
      </c>
      <c r="C363" s="577"/>
      <c r="D363" s="577"/>
      <c r="E363" s="577"/>
      <c r="F363" s="577"/>
      <c r="G363" s="577"/>
      <c r="H363" s="577"/>
      <c r="I363" s="577"/>
      <c r="J363" s="577"/>
      <c r="K363" s="577"/>
      <c r="L363" s="577"/>
      <c r="M363" s="578"/>
    </row>
    <row r="364" spans="2:13" ht="30" customHeight="1" x14ac:dyDescent="0.25">
      <c r="B364" s="576" t="s">
        <v>86</v>
      </c>
      <c r="C364" s="577"/>
      <c r="D364" s="577"/>
      <c r="E364" s="577"/>
      <c r="F364" s="577"/>
      <c r="G364" s="577"/>
      <c r="H364" s="577"/>
      <c r="I364" s="577"/>
      <c r="J364" s="577"/>
      <c r="K364" s="577"/>
      <c r="L364" s="577"/>
      <c r="M364" s="578"/>
    </row>
    <row r="365" spans="2:13" ht="30" customHeight="1" x14ac:dyDescent="0.3">
      <c r="B365" s="95"/>
      <c r="C365" s="96"/>
      <c r="D365" s="96"/>
      <c r="E365" s="96"/>
      <c r="F365" s="96"/>
      <c r="G365" s="96"/>
      <c r="H365" s="96"/>
      <c r="I365" s="96"/>
      <c r="J365" s="96"/>
      <c r="K365" s="96"/>
      <c r="L365" s="96"/>
      <c r="M365" s="101"/>
    </row>
    <row r="366" spans="2:13" ht="30" customHeight="1" x14ac:dyDescent="0.3">
      <c r="B366" s="95"/>
      <c r="C366" s="96"/>
      <c r="D366" s="96"/>
      <c r="E366" s="96"/>
      <c r="F366" s="96"/>
      <c r="G366" s="96"/>
      <c r="H366" s="96"/>
      <c r="I366" s="96"/>
      <c r="J366" s="96"/>
      <c r="K366" s="96"/>
      <c r="L366" s="96"/>
      <c r="M366" s="101"/>
    </row>
    <row r="367" spans="2:13" ht="30" customHeight="1" x14ac:dyDescent="0.3">
      <c r="B367" s="567"/>
      <c r="C367" s="568"/>
      <c r="D367" s="568"/>
      <c r="E367" s="96"/>
      <c r="F367" s="103"/>
      <c r="G367" s="103"/>
      <c r="H367" s="96"/>
      <c r="I367" s="96"/>
      <c r="J367" s="568"/>
      <c r="K367" s="568"/>
      <c r="L367" s="568"/>
      <c r="M367" s="101"/>
    </row>
    <row r="368" spans="2:13" ht="30" customHeight="1" x14ac:dyDescent="0.3">
      <c r="B368" s="569" t="s">
        <v>87</v>
      </c>
      <c r="C368" s="570"/>
      <c r="D368" s="570"/>
      <c r="E368" s="96"/>
      <c r="F368" s="96"/>
      <c r="G368" s="96"/>
      <c r="H368" s="96"/>
      <c r="I368" s="128" t="s">
        <v>88</v>
      </c>
      <c r="J368" s="128"/>
      <c r="K368" s="128"/>
      <c r="L368" s="102"/>
      <c r="M368" s="101"/>
    </row>
    <row r="369" spans="2:15" ht="30" customHeight="1" x14ac:dyDescent="0.3">
      <c r="B369" s="95" t="s">
        <v>44</v>
      </c>
      <c r="C369" s="96"/>
      <c r="D369" s="96"/>
      <c r="E369" s="96"/>
      <c r="F369" s="96"/>
      <c r="G369" s="96"/>
      <c r="H369" s="96"/>
      <c r="I369" s="96"/>
      <c r="J369" s="570"/>
      <c r="K369" s="570"/>
      <c r="L369" s="570"/>
      <c r="M369" s="101"/>
    </row>
    <row r="370" spans="2:15" ht="30" customHeight="1" x14ac:dyDescent="0.3">
      <c r="B370" s="95" t="s">
        <v>64</v>
      </c>
      <c r="C370" s="570" t="e">
        <f>C333</f>
        <v>#REF!</v>
      </c>
      <c r="D370" s="570"/>
      <c r="E370" s="570"/>
      <c r="F370" s="96"/>
      <c r="G370" s="96"/>
      <c r="H370" s="96"/>
      <c r="I370" s="99" t="s">
        <v>104</v>
      </c>
      <c r="J370" s="571">
        <f>+'PB '!C7</f>
        <v>0</v>
      </c>
      <c r="K370" s="571"/>
      <c r="L370" s="571"/>
      <c r="M370" s="572"/>
    </row>
    <row r="371" spans="2:15" ht="30" customHeight="1" thickBot="1" x14ac:dyDescent="0.35">
      <c r="B371" s="129"/>
      <c r="C371" s="130"/>
      <c r="D371" s="130"/>
      <c r="E371" s="130"/>
      <c r="F371" s="130"/>
      <c r="G371" s="130"/>
      <c r="H371" s="130"/>
      <c r="I371" s="130"/>
      <c r="J371" s="131"/>
      <c r="K371" s="132"/>
      <c r="L371" s="132"/>
      <c r="M371" s="133"/>
    </row>
    <row r="372" spans="2:15" ht="30" customHeight="1" x14ac:dyDescent="0.35">
      <c r="B372" s="135"/>
      <c r="C372" s="135"/>
      <c r="D372" s="135"/>
      <c r="E372" s="135"/>
      <c r="F372" s="135"/>
      <c r="G372" s="135"/>
      <c r="H372" s="135"/>
      <c r="I372" s="135"/>
      <c r="J372" s="135"/>
      <c r="K372" s="135"/>
      <c r="L372" s="135"/>
      <c r="M372" s="135"/>
    </row>
    <row r="373" spans="2:15" ht="30" customHeight="1" x14ac:dyDescent="0.35">
      <c r="B373" s="135"/>
      <c r="C373" s="135"/>
      <c r="D373" s="135"/>
      <c r="E373" s="135"/>
      <c r="F373" s="135"/>
      <c r="G373" s="135"/>
      <c r="H373" s="135"/>
      <c r="I373" s="135"/>
      <c r="J373" s="135"/>
      <c r="K373" s="135"/>
      <c r="L373" s="135"/>
      <c r="M373" s="135"/>
    </row>
    <row r="374" spans="2:15" ht="30" customHeight="1" thickBot="1" x14ac:dyDescent="0.4">
      <c r="B374" s="135"/>
      <c r="C374" s="135"/>
      <c r="D374" s="135"/>
      <c r="E374" s="135"/>
      <c r="F374" s="135"/>
      <c r="G374" s="135"/>
      <c r="H374" s="135"/>
      <c r="I374" s="135"/>
      <c r="J374" s="135"/>
      <c r="K374" s="135"/>
      <c r="L374" s="135"/>
      <c r="M374" s="135"/>
    </row>
    <row r="375" spans="2:15" ht="30" customHeight="1" x14ac:dyDescent="0.3">
      <c r="B375" s="584"/>
      <c r="C375" s="585"/>
      <c r="D375" s="585"/>
      <c r="E375" s="585"/>
      <c r="F375" s="585"/>
      <c r="G375" s="585"/>
      <c r="H375" s="585"/>
      <c r="I375" s="585"/>
      <c r="J375" s="585"/>
      <c r="K375" s="585"/>
      <c r="L375" s="585"/>
      <c r="M375" s="586"/>
      <c r="O375">
        <v>10</v>
      </c>
    </row>
    <row r="376" spans="2:15" ht="30" customHeight="1" x14ac:dyDescent="0.3">
      <c r="B376" s="587" t="s">
        <v>62</v>
      </c>
      <c r="C376" s="588"/>
      <c r="D376" s="588"/>
      <c r="E376" s="588"/>
      <c r="F376" s="588"/>
      <c r="G376" s="588"/>
      <c r="H376" s="588"/>
      <c r="I376" s="588"/>
      <c r="J376" s="588"/>
      <c r="K376" s="588"/>
      <c r="L376" s="588"/>
      <c r="M376" s="589"/>
    </row>
    <row r="377" spans="2:15" ht="30" customHeight="1" x14ac:dyDescent="0.3">
      <c r="B377" s="95" t="s">
        <v>63</v>
      </c>
      <c r="C377" s="570" t="str">
        <f>C331</f>
        <v>Vessel name</v>
      </c>
      <c r="D377" s="570"/>
      <c r="E377" s="570"/>
      <c r="F377" s="96"/>
      <c r="G377" s="570"/>
      <c r="H377" s="570"/>
      <c r="I377" s="570"/>
      <c r="J377" s="96" t="s">
        <v>44</v>
      </c>
      <c r="K377" s="97"/>
      <c r="L377" s="582"/>
      <c r="M377" s="583"/>
    </row>
    <row r="378" spans="2:15" ht="30" customHeight="1" x14ac:dyDescent="0.3">
      <c r="B378" s="98"/>
      <c r="C378" s="96"/>
      <c r="D378" s="96"/>
      <c r="E378" s="99"/>
      <c r="F378" s="100"/>
      <c r="G378" s="100"/>
      <c r="H378" s="100"/>
      <c r="I378" s="96"/>
      <c r="J378" s="96"/>
      <c r="K378" s="97"/>
      <c r="L378" s="97"/>
      <c r="M378" s="101"/>
    </row>
    <row r="379" spans="2:15" ht="30" customHeight="1" x14ac:dyDescent="0.3">
      <c r="B379" s="95" t="s">
        <v>64</v>
      </c>
      <c r="C379" s="570" t="e">
        <f>'PB '!#REF!</f>
        <v>#REF!</v>
      </c>
      <c r="D379" s="570"/>
      <c r="E379" s="570"/>
      <c r="F379" s="570"/>
      <c r="G379" s="102"/>
      <c r="H379" s="96" t="s">
        <v>21</v>
      </c>
      <c r="I379" s="603" t="str">
        <f>'PB '!D26</f>
        <v>Oiler 1</v>
      </c>
      <c r="J379" s="570"/>
      <c r="K379" s="96"/>
      <c r="L379" s="582"/>
      <c r="M379" s="583"/>
    </row>
    <row r="380" spans="2:15" ht="30" customHeight="1" x14ac:dyDescent="0.3">
      <c r="B380" s="95"/>
      <c r="C380" s="96"/>
      <c r="D380" s="96"/>
      <c r="E380" s="96"/>
      <c r="F380" s="96"/>
      <c r="G380" s="96" t="s">
        <v>65</v>
      </c>
      <c r="H380" s="96"/>
      <c r="I380" s="96"/>
      <c r="J380" s="96"/>
      <c r="K380" s="96"/>
      <c r="L380" s="96"/>
      <c r="M380" s="101"/>
    </row>
    <row r="381" spans="2:15" ht="30" customHeight="1" x14ac:dyDescent="0.3">
      <c r="B381" s="95"/>
      <c r="C381" s="96"/>
      <c r="D381" s="96"/>
      <c r="E381" s="96"/>
      <c r="F381" s="96"/>
      <c r="G381" s="96" t="s">
        <v>44</v>
      </c>
      <c r="H381" s="96"/>
      <c r="I381" s="96"/>
      <c r="J381" s="96"/>
      <c r="K381" s="96"/>
      <c r="L381" s="96"/>
      <c r="M381" s="101"/>
    </row>
    <row r="382" spans="2:15" ht="30" customHeight="1" x14ac:dyDescent="0.3">
      <c r="B382" s="95"/>
      <c r="C382" s="96"/>
      <c r="D382" s="96"/>
      <c r="E382" s="96"/>
      <c r="F382" s="96"/>
      <c r="G382" s="103" t="s">
        <v>66</v>
      </c>
      <c r="H382" s="104"/>
      <c r="I382" s="103"/>
      <c r="J382" s="103"/>
      <c r="K382" s="96" t="s">
        <v>51</v>
      </c>
      <c r="L382" s="105">
        <f>'PB '!V15</f>
        <v>0</v>
      </c>
      <c r="M382" s="101"/>
    </row>
    <row r="383" spans="2:15" ht="30" customHeight="1" x14ac:dyDescent="0.3">
      <c r="B383" s="95"/>
      <c r="C383" s="96"/>
      <c r="D383" s="96"/>
      <c r="E383" s="96"/>
      <c r="F383" s="96"/>
      <c r="G383" s="96"/>
      <c r="H383" s="96"/>
      <c r="I383" s="96"/>
      <c r="J383" s="96"/>
      <c r="K383" s="96"/>
      <c r="L383" s="96"/>
      <c r="M383" s="101"/>
    </row>
    <row r="384" spans="2:15" ht="30" customHeight="1" x14ac:dyDescent="0.3">
      <c r="B384" s="590" t="s">
        <v>67</v>
      </c>
      <c r="C384" s="591"/>
      <c r="D384" s="592" t="s">
        <v>60</v>
      </c>
      <c r="E384" s="593"/>
      <c r="F384" s="579" t="s">
        <v>61</v>
      </c>
      <c r="G384" s="580"/>
      <c r="H384" s="106" t="s">
        <v>68</v>
      </c>
      <c r="I384" s="107" t="s">
        <v>69</v>
      </c>
      <c r="J384" s="106" t="s">
        <v>51</v>
      </c>
      <c r="K384" s="108"/>
      <c r="L384" s="108"/>
      <c r="M384" s="109"/>
    </row>
    <row r="385" spans="2:16" ht="30" customHeight="1" x14ac:dyDescent="0.3">
      <c r="B385" s="560" t="s">
        <v>70</v>
      </c>
      <c r="C385" s="581"/>
      <c r="D385" s="110" t="e">
        <f>'PB '!#REF!</f>
        <v>#REF!</v>
      </c>
      <c r="E385" s="111">
        <f>'PB '!C1</f>
        <v>0</v>
      </c>
      <c r="F385" s="112" t="e">
        <f>'PB '!#REF!</f>
        <v>#REF!</v>
      </c>
      <c r="G385" s="111">
        <f>'PB '!C1</f>
        <v>0</v>
      </c>
      <c r="H385" s="113" t="e">
        <f>'PB '!#REF!</f>
        <v>#REF!</v>
      </c>
      <c r="I385" s="114">
        <v>673</v>
      </c>
      <c r="J385" s="115" t="e">
        <f>I385*H385/30</f>
        <v>#REF!</v>
      </c>
      <c r="K385" s="96"/>
      <c r="L385" s="96"/>
      <c r="M385" s="101"/>
      <c r="P385">
        <v>0</v>
      </c>
    </row>
    <row r="386" spans="2:16" ht="30" customHeight="1" x14ac:dyDescent="0.3">
      <c r="B386" s="560" t="s">
        <v>71</v>
      </c>
      <c r="C386" s="581"/>
      <c r="D386" s="110" t="e">
        <f>D385</f>
        <v>#REF!</v>
      </c>
      <c r="E386" s="111">
        <f>'PB '!C1</f>
        <v>0</v>
      </c>
      <c r="F386" s="112" t="e">
        <f>F385</f>
        <v>#REF!</v>
      </c>
      <c r="G386" s="111">
        <f>'PB '!C1</f>
        <v>0</v>
      </c>
      <c r="H386" s="113" t="e">
        <f>H385</f>
        <v>#REF!</v>
      </c>
      <c r="I386" s="114">
        <v>421</v>
      </c>
      <c r="J386" s="115" t="e">
        <f t="shared" ref="J386:J388" si="8">I386*H386/30</f>
        <v>#REF!</v>
      </c>
      <c r="K386" s="96"/>
      <c r="L386" s="96"/>
      <c r="M386" s="101"/>
    </row>
    <row r="387" spans="2:16" ht="30" customHeight="1" x14ac:dyDescent="0.3">
      <c r="B387" s="557" t="s">
        <v>72</v>
      </c>
      <c r="C387" s="558"/>
      <c r="D387" s="110" t="e">
        <f>D385</f>
        <v>#REF!</v>
      </c>
      <c r="E387" s="111">
        <f>'PB '!C1</f>
        <v>0</v>
      </c>
      <c r="F387" s="112" t="e">
        <f>F385</f>
        <v>#REF!</v>
      </c>
      <c r="G387" s="111">
        <f>'PB '!C1</f>
        <v>0</v>
      </c>
      <c r="H387" s="113" t="e">
        <f>H385</f>
        <v>#REF!</v>
      </c>
      <c r="I387" s="114">
        <v>56.08</v>
      </c>
      <c r="J387" s="115" t="e">
        <f t="shared" si="8"/>
        <v>#REF!</v>
      </c>
      <c r="K387" s="96"/>
      <c r="L387" s="96"/>
      <c r="M387" s="101"/>
    </row>
    <row r="388" spans="2:16" ht="30" customHeight="1" x14ac:dyDescent="0.3">
      <c r="B388" s="557" t="s">
        <v>73</v>
      </c>
      <c r="C388" s="558"/>
      <c r="D388" s="110" t="e">
        <f>D385</f>
        <v>#REF!</v>
      </c>
      <c r="E388" s="111">
        <f>'PB '!C1</f>
        <v>0</v>
      </c>
      <c r="F388" s="112" t="e">
        <f>F385</f>
        <v>#REF!</v>
      </c>
      <c r="G388" s="111">
        <f>'PB '!C1</f>
        <v>0</v>
      </c>
      <c r="H388" s="113" t="e">
        <f>H385</f>
        <v>#REF!</v>
      </c>
      <c r="I388" s="114">
        <v>249.92</v>
      </c>
      <c r="J388" s="115" t="e">
        <f t="shared" si="8"/>
        <v>#REF!</v>
      </c>
      <c r="K388" s="96"/>
      <c r="L388" s="96"/>
      <c r="M388" s="101"/>
    </row>
    <row r="389" spans="2:16" ht="30" customHeight="1" x14ac:dyDescent="0.3">
      <c r="B389" s="562" t="s">
        <v>74</v>
      </c>
      <c r="C389" s="563"/>
      <c r="D389" s="110"/>
      <c r="E389" s="111"/>
      <c r="F389" s="112"/>
      <c r="G389" s="111"/>
      <c r="H389" s="113"/>
      <c r="I389" s="114"/>
      <c r="J389" s="115" t="e">
        <f>'PB '!#REF!</f>
        <v>#REF!</v>
      </c>
      <c r="K389" s="96"/>
      <c r="L389" s="96"/>
      <c r="M389" s="101"/>
    </row>
    <row r="390" spans="2:16" ht="30" customHeight="1" x14ac:dyDescent="0.3">
      <c r="B390" s="564" t="s">
        <v>176</v>
      </c>
      <c r="C390" s="561"/>
      <c r="D390" s="117"/>
      <c r="E390" s="111"/>
      <c r="F390" s="117"/>
      <c r="G390" s="111"/>
      <c r="H390" s="118"/>
      <c r="I390" s="114"/>
      <c r="J390" s="115" t="e">
        <f>'PB '!#REF!</f>
        <v>#REF!</v>
      </c>
      <c r="K390" s="96"/>
      <c r="L390" s="96"/>
      <c r="M390" s="101"/>
    </row>
    <row r="391" spans="2:16" ht="30" customHeight="1" x14ac:dyDescent="0.3">
      <c r="B391" s="95"/>
      <c r="C391" s="96"/>
      <c r="D391" s="96"/>
      <c r="E391" s="96"/>
      <c r="F391" s="565" t="s">
        <v>76</v>
      </c>
      <c r="G391" s="565"/>
      <c r="H391" s="565"/>
      <c r="I391" s="566"/>
      <c r="J391" s="119" t="e">
        <f>SUM(J385:J390)</f>
        <v>#REF!</v>
      </c>
      <c r="K391" s="120" t="s">
        <v>51</v>
      </c>
      <c r="L391" s="121" t="e">
        <f>J391</f>
        <v>#REF!</v>
      </c>
      <c r="M391" s="101"/>
    </row>
    <row r="392" spans="2:16" ht="30" customHeight="1" thickBot="1" x14ac:dyDescent="0.35">
      <c r="B392" s="95"/>
      <c r="C392" s="96"/>
      <c r="D392" s="96"/>
      <c r="E392" s="96"/>
      <c r="F392" s="112"/>
      <c r="G392" s="96"/>
      <c r="H392" s="96"/>
      <c r="I392" s="96"/>
      <c r="J392" s="96"/>
      <c r="K392" s="96"/>
      <c r="L392" s="122" t="e">
        <f>L382+L391</f>
        <v>#REF!</v>
      </c>
      <c r="M392" s="101"/>
    </row>
    <row r="393" spans="2:16" ht="30" customHeight="1" x14ac:dyDescent="0.3">
      <c r="B393" s="95"/>
      <c r="C393" s="96"/>
      <c r="D393" s="96"/>
      <c r="E393" s="96"/>
      <c r="F393" s="96"/>
      <c r="G393" s="96"/>
      <c r="H393" s="96"/>
      <c r="I393" s="96"/>
      <c r="J393" s="96"/>
      <c r="K393" s="96"/>
      <c r="L393" s="123"/>
      <c r="M393" s="101"/>
    </row>
    <row r="394" spans="2:16" ht="30" customHeight="1" x14ac:dyDescent="0.3">
      <c r="B394" s="95"/>
      <c r="C394" s="96"/>
      <c r="D394" s="96"/>
      <c r="E394" s="96"/>
      <c r="F394" s="96"/>
      <c r="G394" s="96"/>
      <c r="H394" s="96"/>
      <c r="I394" s="96"/>
      <c r="J394" s="96"/>
      <c r="K394" s="96"/>
      <c r="L394" s="123"/>
      <c r="M394" s="101"/>
    </row>
    <row r="395" spans="2:16" ht="30" customHeight="1" x14ac:dyDescent="0.3">
      <c r="B395" s="557" t="s">
        <v>77</v>
      </c>
      <c r="C395" s="558"/>
      <c r="D395" s="558"/>
      <c r="E395" s="558"/>
      <c r="F395" s="558"/>
      <c r="G395" s="558"/>
      <c r="H395" s="558"/>
      <c r="I395" s="559"/>
      <c r="J395" s="124"/>
      <c r="K395" s="96"/>
      <c r="L395" s="123"/>
      <c r="M395" s="101"/>
    </row>
    <row r="396" spans="2:16" ht="30" customHeight="1" x14ac:dyDescent="0.3">
      <c r="B396" s="560" t="s">
        <v>78</v>
      </c>
      <c r="C396" s="561"/>
      <c r="D396" s="561"/>
      <c r="E396" s="561"/>
      <c r="F396" s="561"/>
      <c r="G396" s="561"/>
      <c r="H396" s="561"/>
      <c r="I396" s="561"/>
      <c r="J396" s="114" t="e">
        <f>'PB '!#REF!</f>
        <v>#REF!</v>
      </c>
      <c r="K396" s="96"/>
      <c r="L396" s="123"/>
      <c r="M396" s="101"/>
    </row>
    <row r="397" spans="2:16" ht="30" customHeight="1" x14ac:dyDescent="0.3">
      <c r="B397" s="560" t="s">
        <v>79</v>
      </c>
      <c r="C397" s="561"/>
      <c r="D397" s="561"/>
      <c r="E397" s="561"/>
      <c r="F397" s="561"/>
      <c r="G397" s="561"/>
      <c r="H397" s="561"/>
      <c r="I397" s="561"/>
      <c r="J397" s="114" t="e">
        <f>'PB '!#REF!</f>
        <v>#REF!</v>
      </c>
      <c r="K397" s="96"/>
      <c r="L397" s="123"/>
      <c r="M397" s="101"/>
    </row>
    <row r="398" spans="2:16" ht="30" customHeight="1" x14ac:dyDescent="0.3">
      <c r="B398" s="560" t="s">
        <v>80</v>
      </c>
      <c r="C398" s="561"/>
      <c r="D398" s="561"/>
      <c r="E398" s="561"/>
      <c r="F398" s="561"/>
      <c r="G398" s="561"/>
      <c r="H398" s="561"/>
      <c r="I398" s="561"/>
      <c r="J398" s="114" t="e">
        <f>'PB '!#REF!</f>
        <v>#REF!</v>
      </c>
      <c r="K398" s="96"/>
      <c r="L398" s="123"/>
      <c r="M398" s="101"/>
    </row>
    <row r="399" spans="2:16" ht="30" customHeight="1" x14ac:dyDescent="0.3">
      <c r="B399" s="560" t="s">
        <v>81</v>
      </c>
      <c r="C399" s="561"/>
      <c r="D399" s="561"/>
      <c r="E399" s="561"/>
      <c r="F399" s="561"/>
      <c r="G399" s="561"/>
      <c r="H399" s="561"/>
      <c r="I399" s="561"/>
      <c r="J399" s="114">
        <v>0</v>
      </c>
      <c r="K399" s="96"/>
      <c r="L399" s="123"/>
      <c r="M399" s="101"/>
    </row>
    <row r="400" spans="2:16" ht="30" customHeight="1" x14ac:dyDescent="0.3">
      <c r="B400" s="557" t="s">
        <v>105</v>
      </c>
      <c r="C400" s="558"/>
      <c r="D400" s="558"/>
      <c r="E400" s="558"/>
      <c r="F400" s="558"/>
      <c r="G400" s="558"/>
      <c r="H400" s="558"/>
      <c r="I400" s="559"/>
      <c r="J400" s="114" t="e">
        <f>'PB '!#REF!</f>
        <v>#REF!</v>
      </c>
      <c r="K400" s="96"/>
      <c r="L400" s="123"/>
      <c r="M400" s="101"/>
    </row>
    <row r="401" spans="2:13" ht="30" customHeight="1" thickBot="1" x14ac:dyDescent="0.35">
      <c r="B401" s="560"/>
      <c r="C401" s="561"/>
      <c r="D401" s="561"/>
      <c r="E401" s="561"/>
      <c r="F401" s="561"/>
      <c r="G401" s="561"/>
      <c r="H401" s="561"/>
      <c r="I401" s="561"/>
      <c r="J401" s="114"/>
      <c r="K401" s="96"/>
      <c r="L401" s="123"/>
      <c r="M401" s="101"/>
    </row>
    <row r="402" spans="2:13" ht="30" customHeight="1" thickBot="1" x14ac:dyDescent="0.35">
      <c r="B402" s="95"/>
      <c r="C402" s="96"/>
      <c r="D402" s="96"/>
      <c r="E402" s="96"/>
      <c r="F402" s="573" t="s">
        <v>83</v>
      </c>
      <c r="G402" s="574"/>
      <c r="H402" s="574"/>
      <c r="I402" s="575"/>
      <c r="J402" s="114" t="e">
        <f>SUM(J396:J400)</f>
        <v>#REF!</v>
      </c>
      <c r="K402" s="96" t="s">
        <v>51</v>
      </c>
      <c r="L402" s="125" t="e">
        <f>J402</f>
        <v>#REF!</v>
      </c>
      <c r="M402" s="101"/>
    </row>
    <row r="403" spans="2:13" ht="30" customHeight="1" x14ac:dyDescent="0.3">
      <c r="B403" s="95"/>
      <c r="C403" s="96"/>
      <c r="D403" s="96"/>
      <c r="E403" s="96"/>
      <c r="F403" s="96"/>
      <c r="G403" s="96"/>
      <c r="H403" s="96"/>
      <c r="I403" s="96"/>
      <c r="J403" s="96"/>
      <c r="K403" s="96"/>
      <c r="L403" s="123"/>
      <c r="M403" s="101"/>
    </row>
    <row r="404" spans="2:13" ht="30" customHeight="1" x14ac:dyDescent="0.3">
      <c r="B404" s="95"/>
      <c r="C404" s="96"/>
      <c r="D404" s="96"/>
      <c r="E404" s="96"/>
      <c r="F404" s="96"/>
      <c r="G404" s="96"/>
      <c r="H404" s="96"/>
      <c r="I404" s="96"/>
      <c r="J404" s="96"/>
      <c r="K404" s="96"/>
      <c r="L404" s="123"/>
      <c r="M404" s="101"/>
    </row>
    <row r="405" spans="2:13" ht="30" customHeight="1" thickBot="1" x14ac:dyDescent="0.35">
      <c r="B405" s="95"/>
      <c r="C405" s="96"/>
      <c r="D405" s="96"/>
      <c r="E405" s="96"/>
      <c r="F405" s="112" t="s">
        <v>84</v>
      </c>
      <c r="G405" s="112"/>
      <c r="H405" s="112"/>
      <c r="I405" s="112"/>
      <c r="J405" s="112"/>
      <c r="K405" s="96" t="s">
        <v>51</v>
      </c>
      <c r="L405" s="126" t="e">
        <f>L392-L402</f>
        <v>#REF!</v>
      </c>
      <c r="M405" s="101"/>
    </row>
    <row r="406" spans="2:13" ht="30" customHeight="1" x14ac:dyDescent="0.3">
      <c r="B406" s="127"/>
      <c r="C406" s="96"/>
      <c r="D406" s="96"/>
      <c r="E406" s="96"/>
      <c r="F406" s="96"/>
      <c r="G406" s="96"/>
      <c r="H406" s="96"/>
      <c r="I406" s="96" t="s">
        <v>44</v>
      </c>
      <c r="J406" s="96" t="s">
        <v>44</v>
      </c>
      <c r="K406" s="96" t="s">
        <v>44</v>
      </c>
      <c r="L406" s="123" t="s">
        <v>44</v>
      </c>
      <c r="M406" s="101"/>
    </row>
    <row r="407" spans="2:13" ht="30" customHeight="1" x14ac:dyDescent="0.3">
      <c r="B407" s="127"/>
      <c r="C407" s="96"/>
      <c r="D407" s="96"/>
      <c r="E407" s="96"/>
      <c r="F407" s="96"/>
      <c r="G407" s="96"/>
      <c r="H407" s="96"/>
      <c r="I407" s="96"/>
      <c r="J407" s="96"/>
      <c r="K407" s="96"/>
      <c r="L407" s="123"/>
      <c r="M407" s="101"/>
    </row>
    <row r="408" spans="2:13" ht="30" customHeight="1" x14ac:dyDescent="0.3">
      <c r="B408" s="127"/>
      <c r="C408" s="96"/>
      <c r="D408" s="96"/>
      <c r="E408" s="96"/>
      <c r="F408" s="96"/>
      <c r="G408" s="96"/>
      <c r="H408" s="96"/>
      <c r="I408" s="96"/>
      <c r="J408" s="96"/>
      <c r="K408" s="96"/>
      <c r="L408" s="123"/>
      <c r="M408" s="101"/>
    </row>
    <row r="409" spans="2:13" ht="30" customHeight="1" x14ac:dyDescent="0.25">
      <c r="B409" s="576" t="s">
        <v>85</v>
      </c>
      <c r="C409" s="577"/>
      <c r="D409" s="577"/>
      <c r="E409" s="577"/>
      <c r="F409" s="577"/>
      <c r="G409" s="577"/>
      <c r="H409" s="577"/>
      <c r="I409" s="577"/>
      <c r="J409" s="577"/>
      <c r="K409" s="577"/>
      <c r="L409" s="577"/>
      <c r="M409" s="578"/>
    </row>
    <row r="410" spans="2:13" ht="30" customHeight="1" x14ac:dyDescent="0.25">
      <c r="B410" s="576" t="s">
        <v>86</v>
      </c>
      <c r="C410" s="577"/>
      <c r="D410" s="577"/>
      <c r="E410" s="577"/>
      <c r="F410" s="577"/>
      <c r="G410" s="577"/>
      <c r="H410" s="577"/>
      <c r="I410" s="577"/>
      <c r="J410" s="577"/>
      <c r="K410" s="577"/>
      <c r="L410" s="577"/>
      <c r="M410" s="578"/>
    </row>
    <row r="411" spans="2:13" ht="30" customHeight="1" x14ac:dyDescent="0.3">
      <c r="B411" s="95"/>
      <c r="C411" s="96"/>
      <c r="D411" s="96"/>
      <c r="E411" s="96"/>
      <c r="F411" s="96"/>
      <c r="G411" s="96"/>
      <c r="H411" s="96"/>
      <c r="I411" s="96"/>
      <c r="J411" s="96"/>
      <c r="K411" s="96"/>
      <c r="L411" s="96"/>
      <c r="M411" s="101"/>
    </row>
    <row r="412" spans="2:13" ht="30" customHeight="1" x14ac:dyDescent="0.3">
      <c r="B412" s="95"/>
      <c r="C412" s="96"/>
      <c r="D412" s="96"/>
      <c r="E412" s="96"/>
      <c r="F412" s="96"/>
      <c r="G412" s="96"/>
      <c r="H412" s="96"/>
      <c r="I412" s="96"/>
      <c r="J412" s="96"/>
      <c r="K412" s="96"/>
      <c r="L412" s="96"/>
      <c r="M412" s="101"/>
    </row>
    <row r="413" spans="2:13" ht="30" customHeight="1" x14ac:dyDescent="0.3">
      <c r="B413" s="567"/>
      <c r="C413" s="568"/>
      <c r="D413" s="568"/>
      <c r="E413" s="96"/>
      <c r="F413" s="96"/>
      <c r="G413" s="96"/>
      <c r="H413" s="96"/>
      <c r="I413" s="96"/>
      <c r="J413" s="568"/>
      <c r="K413" s="568"/>
      <c r="L413" s="568"/>
      <c r="M413" s="101"/>
    </row>
    <row r="414" spans="2:13" ht="30" customHeight="1" x14ac:dyDescent="0.3">
      <c r="B414" s="569" t="s">
        <v>87</v>
      </c>
      <c r="C414" s="570"/>
      <c r="D414" s="570"/>
      <c r="E414" s="96"/>
      <c r="F414" s="96"/>
      <c r="G414" s="96"/>
      <c r="H414" s="96"/>
      <c r="I414" s="128" t="s">
        <v>88</v>
      </c>
      <c r="J414" s="128"/>
      <c r="K414" s="128"/>
      <c r="L414" s="102"/>
      <c r="M414" s="101"/>
    </row>
    <row r="415" spans="2:13" ht="30" customHeight="1" x14ac:dyDescent="0.3">
      <c r="B415" s="95" t="s">
        <v>44</v>
      </c>
      <c r="C415" s="96"/>
      <c r="D415" s="96"/>
      <c r="E415" s="96"/>
      <c r="F415" s="96"/>
      <c r="G415" s="96"/>
      <c r="H415" s="96"/>
      <c r="I415" s="96"/>
      <c r="J415" s="570"/>
      <c r="K415" s="570"/>
      <c r="L415" s="570"/>
      <c r="M415" s="101"/>
    </row>
    <row r="416" spans="2:13" ht="30" customHeight="1" x14ac:dyDescent="0.3">
      <c r="B416" s="95" t="s">
        <v>64</v>
      </c>
      <c r="C416" s="570" t="e">
        <f>C379</f>
        <v>#REF!</v>
      </c>
      <c r="D416" s="570"/>
      <c r="E416" s="570"/>
      <c r="F416" s="96"/>
      <c r="G416" s="96"/>
      <c r="H416" s="96"/>
      <c r="I416" s="99" t="s">
        <v>104</v>
      </c>
      <c r="J416" s="571">
        <f>+'PB '!C7</f>
        <v>0</v>
      </c>
      <c r="K416" s="571"/>
      <c r="L416" s="571"/>
      <c r="M416" s="572"/>
    </row>
    <row r="417" spans="2:15" ht="30" customHeight="1" thickBot="1" x14ac:dyDescent="0.35">
      <c r="B417" s="129"/>
      <c r="C417" s="130"/>
      <c r="D417" s="130"/>
      <c r="E417" s="130"/>
      <c r="F417" s="130"/>
      <c r="G417" s="130"/>
      <c r="H417" s="130"/>
      <c r="I417" s="130"/>
      <c r="J417" s="131"/>
      <c r="K417" s="132"/>
      <c r="L417" s="132"/>
      <c r="M417" s="133"/>
    </row>
    <row r="418" spans="2:15" ht="30" customHeight="1" x14ac:dyDescent="0.35">
      <c r="B418" s="135"/>
      <c r="C418" s="135"/>
      <c r="D418" s="135"/>
      <c r="E418" s="135"/>
      <c r="F418" s="135"/>
      <c r="G418" s="135"/>
      <c r="H418" s="135"/>
      <c r="I418" s="135"/>
      <c r="J418" s="135"/>
      <c r="K418" s="135"/>
      <c r="L418" s="135"/>
      <c r="M418" s="135"/>
    </row>
    <row r="419" spans="2:15" ht="30" customHeight="1" x14ac:dyDescent="0.35">
      <c r="B419" s="135"/>
      <c r="C419" s="135"/>
      <c r="D419" s="135"/>
      <c r="E419" s="135"/>
      <c r="F419" s="135"/>
      <c r="G419" s="135"/>
      <c r="H419" s="135"/>
      <c r="I419" s="135"/>
      <c r="J419" s="135"/>
      <c r="K419" s="135"/>
      <c r="L419" s="135"/>
      <c r="M419" s="135"/>
    </row>
    <row r="420" spans="2:15" ht="30" customHeight="1" thickBot="1" x14ac:dyDescent="0.4">
      <c r="B420" s="135"/>
      <c r="C420" s="135"/>
      <c r="D420" s="135"/>
      <c r="E420" s="135"/>
      <c r="F420" s="135"/>
      <c r="G420" s="135"/>
      <c r="H420" s="135"/>
      <c r="I420" s="135"/>
      <c r="J420" s="135"/>
      <c r="K420" s="135"/>
      <c r="L420" s="135"/>
      <c r="M420" s="135"/>
    </row>
    <row r="421" spans="2:15" ht="30" customHeight="1" x14ac:dyDescent="0.3">
      <c r="B421" s="584"/>
      <c r="C421" s="585"/>
      <c r="D421" s="585"/>
      <c r="E421" s="585"/>
      <c r="F421" s="585"/>
      <c r="G421" s="585"/>
      <c r="H421" s="585"/>
      <c r="I421" s="585"/>
      <c r="J421" s="585"/>
      <c r="K421" s="585"/>
      <c r="L421" s="585"/>
      <c r="M421" s="586"/>
      <c r="O421">
        <v>11</v>
      </c>
    </row>
    <row r="422" spans="2:15" ht="30" customHeight="1" x14ac:dyDescent="0.3">
      <c r="B422" s="587" t="s">
        <v>62</v>
      </c>
      <c r="C422" s="588"/>
      <c r="D422" s="588"/>
      <c r="E422" s="588"/>
      <c r="F422" s="588"/>
      <c r="G422" s="588"/>
      <c r="H422" s="588"/>
      <c r="I422" s="588"/>
      <c r="J422" s="588"/>
      <c r="K422" s="588"/>
      <c r="L422" s="588"/>
      <c r="M422" s="589"/>
    </row>
    <row r="423" spans="2:15" ht="30" customHeight="1" x14ac:dyDescent="0.3">
      <c r="B423" s="95" t="s">
        <v>63</v>
      </c>
      <c r="C423" s="570" t="str">
        <f>C377</f>
        <v>Vessel name</v>
      </c>
      <c r="D423" s="570"/>
      <c r="E423" s="570"/>
      <c r="F423" s="96"/>
      <c r="G423" s="570"/>
      <c r="H423" s="570"/>
      <c r="I423" s="570"/>
      <c r="J423" s="96" t="s">
        <v>44</v>
      </c>
      <c r="K423" s="97"/>
      <c r="L423" s="582"/>
      <c r="M423" s="583"/>
    </row>
    <row r="424" spans="2:15" ht="30" customHeight="1" x14ac:dyDescent="0.3">
      <c r="B424" s="98"/>
      <c r="C424" s="96"/>
      <c r="D424" s="96"/>
      <c r="E424" s="99"/>
      <c r="F424" s="100"/>
      <c r="G424" s="100"/>
      <c r="H424" s="100"/>
      <c r="I424" s="96"/>
      <c r="J424" s="96"/>
      <c r="K424" s="97"/>
      <c r="L424" s="97"/>
      <c r="M424" s="101"/>
    </row>
    <row r="425" spans="2:15" ht="30" customHeight="1" x14ac:dyDescent="0.3">
      <c r="B425" s="95" t="s">
        <v>64</v>
      </c>
      <c r="C425" s="570" t="e">
        <f>'PB '!#REF!</f>
        <v>#REF!</v>
      </c>
      <c r="D425" s="570"/>
      <c r="E425" s="570"/>
      <c r="F425" s="570"/>
      <c r="G425" s="102"/>
      <c r="H425" s="96" t="s">
        <v>21</v>
      </c>
      <c r="I425" s="150" t="e">
        <f>'PB '!#REF!</f>
        <v>#REF!</v>
      </c>
      <c r="J425" s="136"/>
      <c r="K425" s="96"/>
      <c r="L425" s="137"/>
      <c r="M425" s="138"/>
    </row>
    <row r="426" spans="2:15" ht="30" customHeight="1" x14ac:dyDescent="0.3">
      <c r="B426" s="95"/>
      <c r="C426" s="96"/>
      <c r="D426" s="96"/>
      <c r="E426" s="96"/>
      <c r="F426" s="96"/>
      <c r="G426" s="96" t="s">
        <v>65</v>
      </c>
      <c r="H426" s="96"/>
      <c r="I426" s="96"/>
      <c r="J426" s="96"/>
      <c r="K426" s="96"/>
      <c r="L426" s="96"/>
      <c r="M426" s="101"/>
    </row>
    <row r="427" spans="2:15" ht="30" customHeight="1" x14ac:dyDescent="0.3">
      <c r="B427" s="95"/>
      <c r="C427" s="96"/>
      <c r="D427" s="96"/>
      <c r="E427" s="96"/>
      <c r="F427" s="96"/>
      <c r="G427" s="96" t="s">
        <v>44</v>
      </c>
      <c r="H427" s="96"/>
      <c r="I427" s="96"/>
      <c r="J427" s="96"/>
      <c r="K427" s="96"/>
      <c r="L427" s="96"/>
      <c r="M427" s="101"/>
    </row>
    <row r="428" spans="2:15" ht="30" customHeight="1" x14ac:dyDescent="0.3">
      <c r="B428" s="95"/>
      <c r="C428" s="96"/>
      <c r="D428" s="96"/>
      <c r="E428" s="96"/>
      <c r="F428" s="96"/>
      <c r="G428" s="103" t="s">
        <v>66</v>
      </c>
      <c r="H428" s="104"/>
      <c r="I428" s="103"/>
      <c r="J428" s="103"/>
      <c r="K428" s="96" t="s">
        <v>51</v>
      </c>
      <c r="L428" s="105">
        <f>'PB '!V19</f>
        <v>0</v>
      </c>
      <c r="M428" s="101"/>
    </row>
    <row r="429" spans="2:15" ht="30" customHeight="1" x14ac:dyDescent="0.3">
      <c r="B429" s="95"/>
      <c r="C429" s="96"/>
      <c r="D429" s="96"/>
      <c r="E429" s="96"/>
      <c r="F429" s="96"/>
      <c r="G429" s="96"/>
      <c r="H429" s="96"/>
      <c r="I429" s="96"/>
      <c r="J429" s="96"/>
      <c r="K429" s="96"/>
      <c r="L429" s="96"/>
      <c r="M429" s="101"/>
    </row>
    <row r="430" spans="2:15" ht="30" customHeight="1" x14ac:dyDescent="0.3">
      <c r="B430" s="590" t="s">
        <v>67</v>
      </c>
      <c r="C430" s="591"/>
      <c r="D430" s="592" t="s">
        <v>60</v>
      </c>
      <c r="E430" s="593"/>
      <c r="F430" s="579" t="s">
        <v>61</v>
      </c>
      <c r="G430" s="580"/>
      <c r="H430" s="106" t="s">
        <v>68</v>
      </c>
      <c r="I430" s="107" t="s">
        <v>69</v>
      </c>
      <c r="J430" s="106" t="s">
        <v>51</v>
      </c>
      <c r="K430" s="108"/>
      <c r="L430" s="108"/>
      <c r="M430" s="109"/>
    </row>
    <row r="431" spans="2:15" ht="30" customHeight="1" x14ac:dyDescent="0.3">
      <c r="B431" s="560" t="s">
        <v>70</v>
      </c>
      <c r="C431" s="581"/>
      <c r="D431" s="110" t="e">
        <f>'PB '!#REF!</f>
        <v>#REF!</v>
      </c>
      <c r="E431" s="111">
        <f>'PB '!C1</f>
        <v>0</v>
      </c>
      <c r="F431" s="112" t="e">
        <f>'PB '!#REF!</f>
        <v>#REF!</v>
      </c>
      <c r="G431" s="111">
        <f>'PB '!C1</f>
        <v>0</v>
      </c>
      <c r="H431" s="113" t="e">
        <f>'PB '!#REF!</f>
        <v>#REF!</v>
      </c>
      <c r="I431" s="114">
        <v>673</v>
      </c>
      <c r="J431" s="115" t="e">
        <f>I431*H431/30</f>
        <v>#REF!</v>
      </c>
      <c r="K431" s="96"/>
      <c r="L431" s="96"/>
      <c r="M431" s="101"/>
    </row>
    <row r="432" spans="2:15" ht="30" customHeight="1" x14ac:dyDescent="0.3">
      <c r="B432" s="560" t="s">
        <v>71</v>
      </c>
      <c r="C432" s="581"/>
      <c r="D432" s="110" t="e">
        <f>D431</f>
        <v>#REF!</v>
      </c>
      <c r="E432" s="111">
        <f>'PB '!C1</f>
        <v>0</v>
      </c>
      <c r="F432" s="112" t="e">
        <f>F431</f>
        <v>#REF!</v>
      </c>
      <c r="G432" s="111">
        <f>'PB '!C1</f>
        <v>0</v>
      </c>
      <c r="H432" s="113" t="e">
        <f>H431</f>
        <v>#REF!</v>
      </c>
      <c r="I432" s="114">
        <v>421</v>
      </c>
      <c r="J432" s="115" t="e">
        <f t="shared" ref="J432:J434" si="9">I432*H432/30</f>
        <v>#REF!</v>
      </c>
      <c r="K432" s="96"/>
      <c r="L432" s="96"/>
      <c r="M432" s="101"/>
    </row>
    <row r="433" spans="2:13" ht="30" customHeight="1" x14ac:dyDescent="0.3">
      <c r="B433" s="557" t="s">
        <v>72</v>
      </c>
      <c r="C433" s="558"/>
      <c r="D433" s="110" t="e">
        <f>D431</f>
        <v>#REF!</v>
      </c>
      <c r="E433" s="111">
        <f>'PB '!C1</f>
        <v>0</v>
      </c>
      <c r="F433" s="112" t="e">
        <f>F431</f>
        <v>#REF!</v>
      </c>
      <c r="G433" s="111">
        <f>'PB '!C1</f>
        <v>0</v>
      </c>
      <c r="H433" s="113" t="e">
        <f>H431</f>
        <v>#REF!</v>
      </c>
      <c r="I433" s="114">
        <v>56.08</v>
      </c>
      <c r="J433" s="115" t="e">
        <f t="shared" si="9"/>
        <v>#REF!</v>
      </c>
      <c r="K433" s="96"/>
      <c r="L433" s="96"/>
      <c r="M433" s="101"/>
    </row>
    <row r="434" spans="2:13" ht="30" customHeight="1" x14ac:dyDescent="0.3">
      <c r="B434" s="557" t="s">
        <v>73</v>
      </c>
      <c r="C434" s="558"/>
      <c r="D434" s="110" t="e">
        <f>D431</f>
        <v>#REF!</v>
      </c>
      <c r="E434" s="111">
        <f>'PB '!C1</f>
        <v>0</v>
      </c>
      <c r="F434" s="112" t="e">
        <f>F431</f>
        <v>#REF!</v>
      </c>
      <c r="G434" s="111">
        <f>'PB '!C1</f>
        <v>0</v>
      </c>
      <c r="H434" s="113" t="e">
        <f>H431</f>
        <v>#REF!</v>
      </c>
      <c r="I434" s="114">
        <v>249.92</v>
      </c>
      <c r="J434" s="115" t="e">
        <f t="shared" si="9"/>
        <v>#REF!</v>
      </c>
      <c r="K434" s="96"/>
      <c r="L434" s="96"/>
      <c r="M434" s="101"/>
    </row>
    <row r="435" spans="2:13" ht="30" customHeight="1" x14ac:dyDescent="0.3">
      <c r="B435" s="562" t="s">
        <v>74</v>
      </c>
      <c r="C435" s="563"/>
      <c r="D435" s="110"/>
      <c r="E435" s="111"/>
      <c r="F435" s="112"/>
      <c r="G435" s="111"/>
      <c r="H435" s="113"/>
      <c r="I435" s="114"/>
      <c r="J435" s="115">
        <f>'PB '!L75</f>
        <v>0</v>
      </c>
      <c r="K435" s="96"/>
      <c r="L435" s="96"/>
      <c r="M435" s="101"/>
    </row>
    <row r="436" spans="2:13" ht="30" customHeight="1" x14ac:dyDescent="0.3">
      <c r="B436" s="564" t="s">
        <v>176</v>
      </c>
      <c r="C436" s="561"/>
      <c r="D436" s="117"/>
      <c r="E436" s="111"/>
      <c r="F436" s="117"/>
      <c r="G436" s="111"/>
      <c r="H436" s="118"/>
      <c r="I436" s="114"/>
      <c r="J436" s="115">
        <f>'PB '!O75</f>
        <v>0</v>
      </c>
      <c r="K436" s="96"/>
      <c r="L436" s="96"/>
      <c r="M436" s="101"/>
    </row>
    <row r="437" spans="2:13" ht="30" customHeight="1" x14ac:dyDescent="0.3">
      <c r="B437" s="95"/>
      <c r="C437" s="96"/>
      <c r="D437" s="96"/>
      <c r="E437" s="96"/>
      <c r="F437" s="565" t="s">
        <v>76</v>
      </c>
      <c r="G437" s="565"/>
      <c r="H437" s="565"/>
      <c r="I437" s="566"/>
      <c r="J437" s="119" t="e">
        <f>SUM(J431:J436)</f>
        <v>#REF!</v>
      </c>
      <c r="K437" s="120" t="s">
        <v>51</v>
      </c>
      <c r="L437" s="121" t="e">
        <f>J437</f>
        <v>#REF!</v>
      </c>
      <c r="M437" s="101"/>
    </row>
    <row r="438" spans="2:13" ht="30" customHeight="1" thickBot="1" x14ac:dyDescent="0.35">
      <c r="B438" s="95"/>
      <c r="C438" s="96"/>
      <c r="D438" s="96"/>
      <c r="E438" s="96"/>
      <c r="F438" s="96"/>
      <c r="G438" s="96"/>
      <c r="H438" s="96"/>
      <c r="I438" s="96"/>
      <c r="J438" s="96"/>
      <c r="K438" s="96"/>
      <c r="L438" s="122" t="e">
        <f>L428+L437</f>
        <v>#REF!</v>
      </c>
      <c r="M438" s="101"/>
    </row>
    <row r="439" spans="2:13" ht="30" customHeight="1" x14ac:dyDescent="0.3">
      <c r="B439" s="95"/>
      <c r="C439" s="96"/>
      <c r="D439" s="96"/>
      <c r="E439" s="96"/>
      <c r="F439" s="96"/>
      <c r="G439" s="96"/>
      <c r="H439" s="96"/>
      <c r="I439" s="96"/>
      <c r="J439" s="96"/>
      <c r="K439" s="96"/>
      <c r="L439" s="123"/>
      <c r="M439" s="101"/>
    </row>
    <row r="440" spans="2:13" ht="30" customHeight="1" x14ac:dyDescent="0.3">
      <c r="B440" s="95"/>
      <c r="C440" s="96"/>
      <c r="D440" s="96"/>
      <c r="E440" s="96"/>
      <c r="F440" s="96"/>
      <c r="G440" s="96"/>
      <c r="H440" s="96"/>
      <c r="I440" s="96"/>
      <c r="J440" s="96"/>
      <c r="K440" s="96"/>
      <c r="L440" s="123"/>
      <c r="M440" s="101"/>
    </row>
    <row r="441" spans="2:13" ht="30" customHeight="1" x14ac:dyDescent="0.3">
      <c r="B441" s="557" t="s">
        <v>77</v>
      </c>
      <c r="C441" s="558"/>
      <c r="D441" s="558"/>
      <c r="E441" s="558"/>
      <c r="F441" s="558"/>
      <c r="G441" s="558"/>
      <c r="H441" s="558"/>
      <c r="I441" s="559"/>
      <c r="J441" s="124"/>
      <c r="K441" s="96"/>
      <c r="L441" s="123"/>
      <c r="M441" s="101"/>
    </row>
    <row r="442" spans="2:13" ht="30" customHeight="1" x14ac:dyDescent="0.3">
      <c r="B442" s="560" t="s">
        <v>78</v>
      </c>
      <c r="C442" s="561"/>
      <c r="D442" s="561"/>
      <c r="E442" s="561"/>
      <c r="F442" s="561"/>
      <c r="G442" s="561"/>
      <c r="H442" s="561"/>
      <c r="I442" s="561"/>
      <c r="J442" s="114" t="e">
        <f>'PB '!#REF!</f>
        <v>#REF!</v>
      </c>
      <c r="K442" s="96"/>
      <c r="L442" s="123"/>
      <c r="M442" s="101"/>
    </row>
    <row r="443" spans="2:13" ht="30" customHeight="1" x14ac:dyDescent="0.3">
      <c r="B443" s="560" t="s">
        <v>79</v>
      </c>
      <c r="C443" s="561"/>
      <c r="D443" s="561"/>
      <c r="E443" s="561"/>
      <c r="F443" s="561"/>
      <c r="G443" s="561"/>
      <c r="H443" s="561"/>
      <c r="I443" s="561"/>
      <c r="J443" s="114" t="e">
        <f>'PB '!#REF!</f>
        <v>#REF!</v>
      </c>
      <c r="K443" s="96"/>
      <c r="L443" s="123"/>
      <c r="M443" s="101"/>
    </row>
    <row r="444" spans="2:13" ht="30" customHeight="1" x14ac:dyDescent="0.3">
      <c r="B444" s="560" t="s">
        <v>80</v>
      </c>
      <c r="C444" s="561"/>
      <c r="D444" s="561"/>
      <c r="E444" s="561"/>
      <c r="F444" s="561"/>
      <c r="G444" s="561"/>
      <c r="H444" s="561"/>
      <c r="I444" s="561"/>
      <c r="J444" s="114" t="e">
        <f>'PB '!#REF!</f>
        <v>#REF!</v>
      </c>
      <c r="K444" s="96"/>
      <c r="L444" s="123"/>
      <c r="M444" s="101"/>
    </row>
    <row r="445" spans="2:13" ht="30" customHeight="1" x14ac:dyDescent="0.3">
      <c r="B445" s="560" t="s">
        <v>81</v>
      </c>
      <c r="C445" s="561"/>
      <c r="D445" s="561"/>
      <c r="E445" s="561"/>
      <c r="F445" s="561"/>
      <c r="G445" s="561"/>
      <c r="H445" s="561"/>
      <c r="I445" s="561"/>
      <c r="J445" s="114">
        <v>0</v>
      </c>
      <c r="K445" s="96"/>
      <c r="L445" s="123"/>
      <c r="M445" s="101"/>
    </row>
    <row r="446" spans="2:13" ht="30" customHeight="1" x14ac:dyDescent="0.3">
      <c r="B446" s="557" t="s">
        <v>105</v>
      </c>
      <c r="C446" s="558"/>
      <c r="D446" s="558"/>
      <c r="E446" s="558"/>
      <c r="F446" s="558"/>
      <c r="G446" s="558"/>
      <c r="H446" s="558"/>
      <c r="I446" s="559"/>
      <c r="J446" s="114" t="e">
        <f>'PB '!#REF!</f>
        <v>#REF!</v>
      </c>
      <c r="K446" s="96"/>
      <c r="L446" s="123"/>
      <c r="M446" s="101"/>
    </row>
    <row r="447" spans="2:13" ht="30" customHeight="1" thickBot="1" x14ac:dyDescent="0.35">
      <c r="B447" s="560"/>
      <c r="C447" s="561"/>
      <c r="D447" s="561"/>
      <c r="E447" s="561"/>
      <c r="F447" s="561"/>
      <c r="G447" s="561"/>
      <c r="H447" s="561"/>
      <c r="I447" s="561"/>
      <c r="J447" s="114"/>
      <c r="K447" s="96"/>
      <c r="L447" s="123"/>
      <c r="M447" s="101"/>
    </row>
    <row r="448" spans="2:13" ht="30" customHeight="1" thickBot="1" x14ac:dyDescent="0.35">
      <c r="B448" s="95"/>
      <c r="C448" s="96"/>
      <c r="D448" s="96"/>
      <c r="E448" s="96"/>
      <c r="F448" s="573" t="s">
        <v>83</v>
      </c>
      <c r="G448" s="574"/>
      <c r="H448" s="574"/>
      <c r="I448" s="575"/>
      <c r="J448" s="114" t="e">
        <f>SUM(J442:J446)</f>
        <v>#REF!</v>
      </c>
      <c r="K448" s="96" t="s">
        <v>51</v>
      </c>
      <c r="L448" s="125" t="e">
        <f>J448</f>
        <v>#REF!</v>
      </c>
      <c r="M448" s="101"/>
    </row>
    <row r="449" spans="2:13" ht="30" customHeight="1" x14ac:dyDescent="0.3">
      <c r="B449" s="95"/>
      <c r="C449" s="96"/>
      <c r="D449" s="96"/>
      <c r="E449" s="96"/>
      <c r="F449" s="96"/>
      <c r="G449" s="96"/>
      <c r="H449" s="96"/>
      <c r="I449" s="96"/>
      <c r="J449" s="96"/>
      <c r="K449" s="96"/>
      <c r="L449" s="123"/>
      <c r="M449" s="101"/>
    </row>
    <row r="450" spans="2:13" ht="30" customHeight="1" x14ac:dyDescent="0.3">
      <c r="B450" s="95"/>
      <c r="C450" s="96"/>
      <c r="D450" s="96"/>
      <c r="E450" s="96"/>
      <c r="F450" s="96"/>
      <c r="G450" s="96"/>
      <c r="H450" s="96"/>
      <c r="I450" s="96"/>
      <c r="J450" s="96"/>
      <c r="K450" s="96"/>
      <c r="L450" s="123"/>
      <c r="M450" s="101"/>
    </row>
    <row r="451" spans="2:13" ht="30" customHeight="1" thickBot="1" x14ac:dyDescent="0.35">
      <c r="B451" s="95"/>
      <c r="C451" s="96"/>
      <c r="D451" s="96"/>
      <c r="E451" s="96"/>
      <c r="F451" s="112" t="s">
        <v>84</v>
      </c>
      <c r="G451" s="112"/>
      <c r="H451" s="112"/>
      <c r="I451" s="112"/>
      <c r="J451" s="112"/>
      <c r="K451" s="96" t="s">
        <v>51</v>
      </c>
      <c r="L451" s="126" t="e">
        <f>L438-L448</f>
        <v>#REF!</v>
      </c>
      <c r="M451" s="101"/>
    </row>
    <row r="452" spans="2:13" ht="30" customHeight="1" x14ac:dyDescent="0.3">
      <c r="B452" s="127"/>
      <c r="C452" s="96"/>
      <c r="D452" s="96"/>
      <c r="E452" s="96"/>
      <c r="F452" s="96"/>
      <c r="G452" s="96"/>
      <c r="H452" s="96"/>
      <c r="I452" s="96" t="s">
        <v>44</v>
      </c>
      <c r="J452" s="96" t="s">
        <v>44</v>
      </c>
      <c r="K452" s="96" t="s">
        <v>44</v>
      </c>
      <c r="L452" s="123" t="s">
        <v>44</v>
      </c>
      <c r="M452" s="101"/>
    </row>
    <row r="453" spans="2:13" ht="30" customHeight="1" x14ac:dyDescent="0.3">
      <c r="B453" s="127"/>
      <c r="C453" s="96"/>
      <c r="D453" s="96"/>
      <c r="E453" s="96"/>
      <c r="F453" s="96"/>
      <c r="G453" s="96"/>
      <c r="H453" s="96"/>
      <c r="I453" s="96"/>
      <c r="J453" s="96"/>
      <c r="K453" s="96"/>
      <c r="L453" s="123"/>
      <c r="M453" s="101"/>
    </row>
    <row r="454" spans="2:13" ht="30" customHeight="1" x14ac:dyDescent="0.3">
      <c r="B454" s="127"/>
      <c r="C454" s="96"/>
      <c r="D454" s="96"/>
      <c r="E454" s="96"/>
      <c r="F454" s="96"/>
      <c r="G454" s="96"/>
      <c r="H454" s="96"/>
      <c r="I454" s="96"/>
      <c r="J454" s="96"/>
      <c r="K454" s="96"/>
      <c r="L454" s="123"/>
      <c r="M454" s="101"/>
    </row>
    <row r="455" spans="2:13" ht="30" customHeight="1" x14ac:dyDescent="0.25">
      <c r="B455" s="576" t="s">
        <v>85</v>
      </c>
      <c r="C455" s="577"/>
      <c r="D455" s="577"/>
      <c r="E455" s="577"/>
      <c r="F455" s="577"/>
      <c r="G455" s="577"/>
      <c r="H455" s="577"/>
      <c r="I455" s="577"/>
      <c r="J455" s="577"/>
      <c r="K455" s="577"/>
      <c r="L455" s="577"/>
      <c r="M455" s="578"/>
    </row>
    <row r="456" spans="2:13" ht="30" customHeight="1" x14ac:dyDescent="0.25">
      <c r="B456" s="576" t="s">
        <v>86</v>
      </c>
      <c r="C456" s="577"/>
      <c r="D456" s="577"/>
      <c r="E456" s="577"/>
      <c r="F456" s="577"/>
      <c r="G456" s="577"/>
      <c r="H456" s="577"/>
      <c r="I456" s="577"/>
      <c r="J456" s="577"/>
      <c r="K456" s="577"/>
      <c r="L456" s="577"/>
      <c r="M456" s="578"/>
    </row>
    <row r="457" spans="2:13" ht="30" customHeight="1" x14ac:dyDescent="0.3">
      <c r="B457" s="95"/>
      <c r="C457" s="96"/>
      <c r="D457" s="96"/>
      <c r="E457" s="96"/>
      <c r="F457" s="96"/>
      <c r="G457" s="96"/>
      <c r="H457" s="96"/>
      <c r="I457" s="96"/>
      <c r="J457" s="96"/>
      <c r="K457" s="96"/>
      <c r="L457" s="96"/>
      <c r="M457" s="101"/>
    </row>
    <row r="458" spans="2:13" ht="30" customHeight="1" x14ac:dyDescent="0.3">
      <c r="B458" s="95"/>
      <c r="C458" s="96"/>
      <c r="D458" s="96"/>
      <c r="E458" s="96"/>
      <c r="F458" s="96"/>
      <c r="G458" s="96"/>
      <c r="H458" s="96"/>
      <c r="I458" s="96"/>
      <c r="J458" s="96"/>
      <c r="K458" s="96"/>
      <c r="L458" s="96"/>
      <c r="M458" s="101"/>
    </row>
    <row r="459" spans="2:13" ht="30" customHeight="1" x14ac:dyDescent="0.3">
      <c r="B459" s="567"/>
      <c r="C459" s="568"/>
      <c r="D459" s="568"/>
      <c r="E459" s="96"/>
      <c r="F459" s="96"/>
      <c r="G459" s="96"/>
      <c r="H459" s="96"/>
      <c r="I459" s="96"/>
      <c r="J459" s="568"/>
      <c r="K459" s="568"/>
      <c r="L459" s="568"/>
      <c r="M459" s="101"/>
    </row>
    <row r="460" spans="2:13" ht="30" customHeight="1" x14ac:dyDescent="0.3">
      <c r="B460" s="569" t="s">
        <v>87</v>
      </c>
      <c r="C460" s="570"/>
      <c r="D460" s="570"/>
      <c r="E460" s="96"/>
      <c r="F460" s="96"/>
      <c r="G460" s="96"/>
      <c r="H460" s="96"/>
      <c r="I460" s="128" t="s">
        <v>88</v>
      </c>
      <c r="J460" s="128"/>
      <c r="K460" s="128"/>
      <c r="L460" s="102"/>
      <c r="M460" s="101"/>
    </row>
    <row r="461" spans="2:13" ht="30" customHeight="1" x14ac:dyDescent="0.3">
      <c r="B461" s="95" t="s">
        <v>44</v>
      </c>
      <c r="C461" s="96"/>
      <c r="D461" s="96"/>
      <c r="E461" s="96"/>
      <c r="F461" s="96"/>
      <c r="G461" s="96"/>
      <c r="H461" s="96"/>
      <c r="I461" s="96"/>
      <c r="J461" s="570"/>
      <c r="K461" s="570"/>
      <c r="L461" s="570"/>
      <c r="M461" s="101"/>
    </row>
    <row r="462" spans="2:13" ht="30" customHeight="1" x14ac:dyDescent="0.3">
      <c r="B462" s="95" t="s">
        <v>64</v>
      </c>
      <c r="C462" s="570" t="e">
        <f>C425</f>
        <v>#REF!</v>
      </c>
      <c r="D462" s="570"/>
      <c r="E462" s="570"/>
      <c r="F462" s="96"/>
      <c r="G462" s="96"/>
      <c r="H462" s="96"/>
      <c r="I462" s="99" t="s">
        <v>104</v>
      </c>
      <c r="J462" s="571">
        <f>+'PB '!C7</f>
        <v>0</v>
      </c>
      <c r="K462" s="571"/>
      <c r="L462" s="571"/>
      <c r="M462" s="572"/>
    </row>
    <row r="463" spans="2:13" ht="30" customHeight="1" thickBot="1" x14ac:dyDescent="0.35">
      <c r="B463" s="129"/>
      <c r="C463" s="130"/>
      <c r="D463" s="130"/>
      <c r="E463" s="130"/>
      <c r="F463" s="130"/>
      <c r="G463" s="130"/>
      <c r="H463" s="130"/>
      <c r="I463" s="130"/>
      <c r="J463" s="131"/>
      <c r="K463" s="132"/>
      <c r="L463" s="132"/>
      <c r="M463" s="133"/>
    </row>
    <row r="464" spans="2:13" ht="30" customHeight="1" x14ac:dyDescent="0.35">
      <c r="B464" s="135"/>
      <c r="C464" s="135"/>
      <c r="D464" s="135"/>
      <c r="E464" s="135"/>
      <c r="F464" s="135"/>
      <c r="G464" s="135"/>
      <c r="H464" s="135"/>
      <c r="I464" s="135"/>
      <c r="J464" s="135"/>
      <c r="K464" s="135"/>
      <c r="L464" s="135"/>
      <c r="M464" s="135"/>
    </row>
    <row r="465" spans="2:13" ht="30" customHeight="1" x14ac:dyDescent="0.35">
      <c r="B465" s="135"/>
      <c r="C465" s="135"/>
      <c r="D465" s="135"/>
      <c r="E465" s="135"/>
      <c r="F465" s="135"/>
      <c r="G465" s="135"/>
      <c r="H465" s="135"/>
      <c r="I465" s="135"/>
      <c r="J465" s="135"/>
      <c r="K465" s="135"/>
      <c r="L465" s="135"/>
      <c r="M465" s="135"/>
    </row>
    <row r="466" spans="2:13" ht="30" customHeight="1" thickBot="1" x14ac:dyDescent="0.4">
      <c r="B466" s="135"/>
      <c r="C466" s="135"/>
      <c r="D466" s="135"/>
      <c r="E466" s="135"/>
      <c r="F466" s="135"/>
      <c r="G466" s="135"/>
      <c r="H466" s="135"/>
      <c r="I466" s="135"/>
      <c r="J466" s="135"/>
      <c r="K466" s="135"/>
      <c r="L466" s="135"/>
      <c r="M466" s="135"/>
    </row>
    <row r="467" spans="2:13" ht="30" customHeight="1" x14ac:dyDescent="0.3">
      <c r="B467" s="584"/>
      <c r="C467" s="585"/>
      <c r="D467" s="585"/>
      <c r="E467" s="585"/>
      <c r="F467" s="585"/>
      <c r="G467" s="585"/>
      <c r="H467" s="585"/>
      <c r="I467" s="585"/>
      <c r="J467" s="585"/>
      <c r="K467" s="585"/>
      <c r="L467" s="585"/>
      <c r="M467" s="586"/>
    </row>
    <row r="468" spans="2:13" ht="30" customHeight="1" x14ac:dyDescent="0.3">
      <c r="B468" s="587" t="s">
        <v>62</v>
      </c>
      <c r="C468" s="588"/>
      <c r="D468" s="588"/>
      <c r="E468" s="588"/>
      <c r="F468" s="588"/>
      <c r="G468" s="588"/>
      <c r="H468" s="588"/>
      <c r="I468" s="588"/>
      <c r="J468" s="588"/>
      <c r="K468" s="588"/>
      <c r="L468" s="588"/>
      <c r="M468" s="589"/>
    </row>
    <row r="469" spans="2:13" ht="30" customHeight="1" x14ac:dyDescent="0.3">
      <c r="B469" s="95" t="s">
        <v>63</v>
      </c>
      <c r="C469" s="570" t="str">
        <f>C423</f>
        <v>Vessel name</v>
      </c>
      <c r="D469" s="570"/>
      <c r="E469" s="570"/>
      <c r="F469" s="96"/>
      <c r="G469" s="570"/>
      <c r="H469" s="570"/>
      <c r="I469" s="570"/>
      <c r="J469" s="96" t="s">
        <v>44</v>
      </c>
      <c r="K469" s="97"/>
      <c r="L469" s="582"/>
      <c r="M469" s="583"/>
    </row>
    <row r="470" spans="2:13" ht="30" customHeight="1" x14ac:dyDescent="0.3">
      <c r="B470" s="98"/>
      <c r="C470" s="96"/>
      <c r="D470" s="96"/>
      <c r="E470" s="99"/>
      <c r="F470" s="100"/>
      <c r="G470" s="100"/>
      <c r="H470" s="100"/>
      <c r="I470" s="96"/>
      <c r="J470" s="96"/>
      <c r="K470" s="97"/>
      <c r="L470" s="97"/>
      <c r="M470" s="101"/>
    </row>
    <row r="471" spans="2:13" ht="30" customHeight="1" x14ac:dyDescent="0.3">
      <c r="B471" s="95" t="s">
        <v>64</v>
      </c>
      <c r="C471" s="570" t="e">
        <f>'PB '!#REF!</f>
        <v>#REF!</v>
      </c>
      <c r="D471" s="570"/>
      <c r="E471" s="570"/>
      <c r="F471" s="570"/>
      <c r="G471" s="102"/>
      <c r="H471" s="96" t="s">
        <v>21</v>
      </c>
      <c r="I471" s="150" t="e">
        <f>'PB '!#REF!</f>
        <v>#REF!</v>
      </c>
      <c r="J471" s="136"/>
      <c r="K471" s="96"/>
      <c r="L471" s="582"/>
      <c r="M471" s="583"/>
    </row>
    <row r="472" spans="2:13" ht="30" customHeight="1" x14ac:dyDescent="0.3">
      <c r="B472" s="95"/>
      <c r="C472" s="96"/>
      <c r="D472" s="96"/>
      <c r="E472" s="96"/>
      <c r="F472" s="96"/>
      <c r="G472" s="96" t="s">
        <v>65</v>
      </c>
      <c r="H472" s="96"/>
      <c r="I472" s="96"/>
      <c r="J472" s="96"/>
      <c r="K472" s="96"/>
      <c r="L472" s="96"/>
      <c r="M472" s="101"/>
    </row>
    <row r="473" spans="2:13" ht="30" customHeight="1" x14ac:dyDescent="0.3">
      <c r="B473" s="95"/>
      <c r="C473" s="96"/>
      <c r="D473" s="96"/>
      <c r="E473" s="96"/>
      <c r="F473" s="96"/>
      <c r="G473" s="96" t="s">
        <v>44</v>
      </c>
      <c r="H473" s="96"/>
      <c r="I473" s="96"/>
      <c r="J473" s="96"/>
      <c r="K473" s="96"/>
      <c r="L473" s="96"/>
      <c r="M473" s="101"/>
    </row>
    <row r="474" spans="2:13" ht="30" customHeight="1" x14ac:dyDescent="0.3">
      <c r="B474" s="95"/>
      <c r="C474" s="96"/>
      <c r="D474" s="96"/>
      <c r="E474" s="96"/>
      <c r="F474" s="96"/>
      <c r="G474" s="103" t="s">
        <v>66</v>
      </c>
      <c r="H474" s="104"/>
      <c r="I474" s="103"/>
      <c r="J474" s="103"/>
      <c r="K474" s="96" t="s">
        <v>51</v>
      </c>
      <c r="L474" s="105">
        <f>'PB '!V16</f>
        <v>0</v>
      </c>
      <c r="M474" s="101"/>
    </row>
    <row r="475" spans="2:13" ht="30" customHeight="1" x14ac:dyDescent="0.3">
      <c r="B475" s="95"/>
      <c r="C475" s="96"/>
      <c r="D475" s="96"/>
      <c r="E475" s="96"/>
      <c r="F475" s="96"/>
      <c r="G475" s="96"/>
      <c r="H475" s="96"/>
      <c r="I475" s="96"/>
      <c r="J475" s="96"/>
      <c r="K475" s="96"/>
      <c r="L475" s="96"/>
      <c r="M475" s="101"/>
    </row>
    <row r="476" spans="2:13" ht="30" customHeight="1" x14ac:dyDescent="0.3">
      <c r="B476" s="590" t="s">
        <v>67</v>
      </c>
      <c r="C476" s="591"/>
      <c r="D476" s="592" t="s">
        <v>60</v>
      </c>
      <c r="E476" s="593"/>
      <c r="F476" s="579" t="s">
        <v>61</v>
      </c>
      <c r="G476" s="580"/>
      <c r="H476" s="106" t="s">
        <v>68</v>
      </c>
      <c r="I476" s="107" t="s">
        <v>69</v>
      </c>
      <c r="J476" s="106" t="s">
        <v>51</v>
      </c>
      <c r="K476" s="108"/>
      <c r="L476" s="108"/>
      <c r="M476" s="109"/>
    </row>
    <row r="477" spans="2:13" ht="30" customHeight="1" x14ac:dyDescent="0.3">
      <c r="B477" s="560" t="s">
        <v>70</v>
      </c>
      <c r="C477" s="581"/>
      <c r="D477" s="110" t="e">
        <f>'PB '!#REF!</f>
        <v>#REF!</v>
      </c>
      <c r="E477" s="111">
        <f>'PB '!C1</f>
        <v>0</v>
      </c>
      <c r="F477" s="112" t="e">
        <f>'PB '!#REF!</f>
        <v>#REF!</v>
      </c>
      <c r="G477" s="111">
        <f>'PB '!C1</f>
        <v>0</v>
      </c>
      <c r="H477" s="113" t="e">
        <f>'PB '!#REF!</f>
        <v>#REF!</v>
      </c>
      <c r="I477" s="114">
        <v>752</v>
      </c>
      <c r="J477" s="115" t="e">
        <f>I477*H477/30</f>
        <v>#REF!</v>
      </c>
      <c r="K477" s="96"/>
      <c r="L477" s="96"/>
      <c r="M477" s="101"/>
    </row>
    <row r="478" spans="2:13" ht="30" customHeight="1" x14ac:dyDescent="0.3">
      <c r="B478" s="560" t="s">
        <v>71</v>
      </c>
      <c r="C478" s="581"/>
      <c r="D478" s="110" t="e">
        <f>D477</f>
        <v>#REF!</v>
      </c>
      <c r="E478" s="111">
        <f>'PB '!C1</f>
        <v>0</v>
      </c>
      <c r="F478" s="112" t="e">
        <f>F477</f>
        <v>#REF!</v>
      </c>
      <c r="G478" s="111">
        <f>'PB '!C1</f>
        <v>0</v>
      </c>
      <c r="H478" s="113" t="e">
        <f>H477</f>
        <v>#REF!</v>
      </c>
      <c r="I478" s="114">
        <v>470</v>
      </c>
      <c r="J478" s="115" t="e">
        <f t="shared" ref="J478:J480" si="10">I478*H478/30</f>
        <v>#REF!</v>
      </c>
      <c r="K478" s="96"/>
      <c r="L478" s="96"/>
      <c r="M478" s="101"/>
    </row>
    <row r="479" spans="2:13" ht="30" customHeight="1" x14ac:dyDescent="0.3">
      <c r="B479" s="557" t="s">
        <v>72</v>
      </c>
      <c r="C479" s="558"/>
      <c r="D479" s="110" t="e">
        <f>D477</f>
        <v>#REF!</v>
      </c>
      <c r="E479" s="111">
        <f>'PB '!C1</f>
        <v>0</v>
      </c>
      <c r="F479" s="112" t="e">
        <f>F477</f>
        <v>#REF!</v>
      </c>
      <c r="G479" s="111">
        <f>'PB '!C1</f>
        <v>0</v>
      </c>
      <c r="H479" s="113" t="e">
        <f>H477</f>
        <v>#REF!</v>
      </c>
      <c r="I479" s="114">
        <v>62.65</v>
      </c>
      <c r="J479" s="115" t="e">
        <f t="shared" si="10"/>
        <v>#REF!</v>
      </c>
      <c r="K479" s="96"/>
      <c r="L479" s="96"/>
      <c r="M479" s="101"/>
    </row>
    <row r="480" spans="2:13" ht="30" customHeight="1" x14ac:dyDescent="0.3">
      <c r="B480" s="557" t="s">
        <v>73</v>
      </c>
      <c r="C480" s="558"/>
      <c r="D480" s="110" t="e">
        <f>D477</f>
        <v>#REF!</v>
      </c>
      <c r="E480" s="111">
        <f>'PB '!C1</f>
        <v>0</v>
      </c>
      <c r="F480" s="112" t="e">
        <f>F477</f>
        <v>#REF!</v>
      </c>
      <c r="G480" s="111">
        <f>'PB '!C1</f>
        <v>0</v>
      </c>
      <c r="H480" s="113" t="e">
        <f>H477</f>
        <v>#REF!</v>
      </c>
      <c r="I480" s="114">
        <v>465.35</v>
      </c>
      <c r="J480" s="115" t="e">
        <f t="shared" si="10"/>
        <v>#REF!</v>
      </c>
      <c r="K480" s="96"/>
      <c r="L480" s="96"/>
      <c r="M480" s="101"/>
    </row>
    <row r="481" spans="2:13" ht="30" customHeight="1" x14ac:dyDescent="0.3">
      <c r="B481" s="562" t="s">
        <v>74</v>
      </c>
      <c r="C481" s="563"/>
      <c r="D481" s="110"/>
      <c r="E481" s="111"/>
      <c r="F481" s="112"/>
      <c r="G481" s="111"/>
      <c r="H481" s="113"/>
      <c r="I481" s="114"/>
      <c r="J481" s="115">
        <f>'PB '!L121</f>
        <v>0</v>
      </c>
      <c r="K481" s="96"/>
      <c r="L481" s="96"/>
      <c r="M481" s="101"/>
    </row>
    <row r="482" spans="2:13" ht="30" customHeight="1" x14ac:dyDescent="0.3">
      <c r="B482" s="564" t="s">
        <v>176</v>
      </c>
      <c r="C482" s="561"/>
      <c r="D482" s="117"/>
      <c r="E482" s="111"/>
      <c r="F482" s="117"/>
      <c r="G482" s="111"/>
      <c r="H482" s="118"/>
      <c r="I482" s="114"/>
      <c r="J482" s="115">
        <f>'PB '!O121</f>
        <v>0</v>
      </c>
      <c r="K482" s="96"/>
      <c r="L482" s="96"/>
      <c r="M482" s="101"/>
    </row>
    <row r="483" spans="2:13" ht="30" customHeight="1" x14ac:dyDescent="0.3">
      <c r="B483" s="95"/>
      <c r="C483" s="96"/>
      <c r="D483" s="96"/>
      <c r="E483" s="96"/>
      <c r="F483" s="565" t="s">
        <v>76</v>
      </c>
      <c r="G483" s="565"/>
      <c r="H483" s="565"/>
      <c r="I483" s="566"/>
      <c r="J483" s="119" t="e">
        <f>SUM(J477:J482)</f>
        <v>#REF!</v>
      </c>
      <c r="K483" s="120" t="s">
        <v>51</v>
      </c>
      <c r="L483" s="121" t="e">
        <f>J483</f>
        <v>#REF!</v>
      </c>
      <c r="M483" s="101"/>
    </row>
    <row r="484" spans="2:13" ht="30" customHeight="1" thickBot="1" x14ac:dyDescent="0.35">
      <c r="B484" s="95"/>
      <c r="C484" s="96"/>
      <c r="D484" s="96"/>
      <c r="E484" s="96"/>
      <c r="F484" s="96"/>
      <c r="G484" s="96"/>
      <c r="H484" s="96"/>
      <c r="I484" s="96"/>
      <c r="J484" s="96"/>
      <c r="K484" s="96"/>
      <c r="L484" s="122" t="e">
        <f>L474+L483</f>
        <v>#REF!</v>
      </c>
      <c r="M484" s="101"/>
    </row>
    <row r="485" spans="2:13" ht="30" customHeight="1" x14ac:dyDescent="0.3">
      <c r="B485" s="95"/>
      <c r="C485" s="96"/>
      <c r="D485" s="96"/>
      <c r="E485" s="96"/>
      <c r="F485" s="96"/>
      <c r="G485" s="96"/>
      <c r="H485" s="96"/>
      <c r="I485" s="96"/>
      <c r="J485" s="96"/>
      <c r="K485" s="96"/>
      <c r="L485" s="123"/>
      <c r="M485" s="101"/>
    </row>
    <row r="486" spans="2:13" ht="30" customHeight="1" x14ac:dyDescent="0.3">
      <c r="B486" s="95"/>
      <c r="C486" s="96"/>
      <c r="D486" s="96"/>
      <c r="E486" s="96"/>
      <c r="F486" s="96"/>
      <c r="G486" s="96"/>
      <c r="H486" s="96"/>
      <c r="I486" s="96"/>
      <c r="J486" s="96"/>
      <c r="K486" s="96"/>
      <c r="L486" s="123"/>
      <c r="M486" s="101"/>
    </row>
    <row r="487" spans="2:13" ht="30" customHeight="1" x14ac:dyDescent="0.3">
      <c r="B487" s="557" t="s">
        <v>77</v>
      </c>
      <c r="C487" s="558"/>
      <c r="D487" s="558"/>
      <c r="E487" s="558"/>
      <c r="F487" s="558"/>
      <c r="G487" s="558"/>
      <c r="H487" s="558"/>
      <c r="I487" s="559"/>
      <c r="J487" s="124"/>
      <c r="K487" s="96"/>
      <c r="L487" s="123"/>
      <c r="M487" s="101"/>
    </row>
    <row r="488" spans="2:13" ht="30" customHeight="1" x14ac:dyDescent="0.3">
      <c r="B488" s="560" t="s">
        <v>78</v>
      </c>
      <c r="C488" s="561"/>
      <c r="D488" s="561"/>
      <c r="E488" s="561"/>
      <c r="F488" s="561"/>
      <c r="G488" s="561"/>
      <c r="H488" s="561"/>
      <c r="I488" s="561"/>
      <c r="J488" s="114" t="e">
        <f>'PB '!#REF!</f>
        <v>#REF!</v>
      </c>
      <c r="K488" s="96"/>
      <c r="L488" s="123"/>
      <c r="M488" s="101"/>
    </row>
    <row r="489" spans="2:13" ht="30" customHeight="1" x14ac:dyDescent="0.3">
      <c r="B489" s="560" t="s">
        <v>79</v>
      </c>
      <c r="C489" s="561"/>
      <c r="D489" s="561"/>
      <c r="E489" s="561"/>
      <c r="F489" s="561"/>
      <c r="G489" s="561"/>
      <c r="H489" s="561"/>
      <c r="I489" s="561"/>
      <c r="J489" s="114" t="e">
        <f>'PB '!#REF!</f>
        <v>#REF!</v>
      </c>
      <c r="K489" s="96"/>
      <c r="L489" s="123"/>
      <c r="M489" s="101"/>
    </row>
    <row r="490" spans="2:13" ht="30" customHeight="1" x14ac:dyDescent="0.3">
      <c r="B490" s="560" t="s">
        <v>80</v>
      </c>
      <c r="C490" s="561"/>
      <c r="D490" s="561"/>
      <c r="E490" s="561"/>
      <c r="F490" s="561"/>
      <c r="G490" s="561"/>
      <c r="H490" s="561"/>
      <c r="I490" s="561"/>
      <c r="J490" s="114" t="e">
        <f>'PB '!#REF!</f>
        <v>#REF!</v>
      </c>
      <c r="K490" s="96"/>
      <c r="L490" s="123"/>
      <c r="M490" s="101"/>
    </row>
    <row r="491" spans="2:13" ht="30" customHeight="1" x14ac:dyDescent="0.3">
      <c r="B491" s="560" t="s">
        <v>81</v>
      </c>
      <c r="C491" s="561"/>
      <c r="D491" s="561"/>
      <c r="E491" s="561"/>
      <c r="F491" s="561"/>
      <c r="G491" s="561"/>
      <c r="H491" s="561"/>
      <c r="I491" s="561"/>
      <c r="J491" s="114">
        <v>0</v>
      </c>
      <c r="K491" s="96"/>
      <c r="L491" s="123"/>
      <c r="M491" s="101"/>
    </row>
    <row r="492" spans="2:13" ht="30" customHeight="1" x14ac:dyDescent="0.3">
      <c r="B492" s="557" t="s">
        <v>105</v>
      </c>
      <c r="C492" s="558"/>
      <c r="D492" s="558"/>
      <c r="E492" s="558"/>
      <c r="F492" s="558"/>
      <c r="G492" s="558"/>
      <c r="H492" s="558"/>
      <c r="I492" s="559"/>
      <c r="J492" s="114" t="e">
        <f>'PB '!#REF!</f>
        <v>#REF!</v>
      </c>
      <c r="K492" s="96"/>
      <c r="L492" s="123"/>
      <c r="M492" s="101"/>
    </row>
    <row r="493" spans="2:13" ht="30" customHeight="1" thickBot="1" x14ac:dyDescent="0.35">
      <c r="B493" s="560"/>
      <c r="C493" s="561"/>
      <c r="D493" s="561"/>
      <c r="E493" s="561"/>
      <c r="F493" s="561"/>
      <c r="G493" s="561"/>
      <c r="H493" s="561"/>
      <c r="I493" s="561"/>
      <c r="J493" s="114"/>
      <c r="K493" s="96"/>
      <c r="L493" s="123"/>
      <c r="M493" s="101"/>
    </row>
    <row r="494" spans="2:13" ht="30" customHeight="1" thickBot="1" x14ac:dyDescent="0.35">
      <c r="B494" s="95"/>
      <c r="C494" s="96"/>
      <c r="D494" s="96"/>
      <c r="E494" s="96"/>
      <c r="F494" s="573" t="s">
        <v>83</v>
      </c>
      <c r="G494" s="574"/>
      <c r="H494" s="574"/>
      <c r="I494" s="575"/>
      <c r="J494" s="114" t="e">
        <f>SUM(J488:J492)</f>
        <v>#REF!</v>
      </c>
      <c r="K494" s="96" t="s">
        <v>51</v>
      </c>
      <c r="L494" s="125" t="e">
        <f>J494</f>
        <v>#REF!</v>
      </c>
      <c r="M494" s="101"/>
    </row>
    <row r="495" spans="2:13" ht="30" customHeight="1" x14ac:dyDescent="0.3">
      <c r="B495" s="95"/>
      <c r="C495" s="96"/>
      <c r="D495" s="96"/>
      <c r="E495" s="96"/>
      <c r="F495" s="96"/>
      <c r="G495" s="96"/>
      <c r="H495" s="96"/>
      <c r="I495" s="96"/>
      <c r="J495" s="96"/>
      <c r="K495" s="96"/>
      <c r="L495" s="123"/>
      <c r="M495" s="101"/>
    </row>
    <row r="496" spans="2:13" ht="30" customHeight="1" x14ac:dyDescent="0.3">
      <c r="B496" s="95"/>
      <c r="C496" s="96"/>
      <c r="D496" s="96"/>
      <c r="E496" s="96"/>
      <c r="F496" s="96"/>
      <c r="G496" s="96"/>
      <c r="H496" s="96"/>
      <c r="I496" s="96"/>
      <c r="J496" s="96"/>
      <c r="K496" s="96"/>
      <c r="L496" s="123"/>
      <c r="M496" s="101"/>
    </row>
    <row r="497" spans="2:13" ht="30" customHeight="1" thickBot="1" x14ac:dyDescent="0.35">
      <c r="B497" s="95"/>
      <c r="C497" s="96"/>
      <c r="D497" s="96"/>
      <c r="E497" s="96"/>
      <c r="F497" s="112" t="s">
        <v>84</v>
      </c>
      <c r="G497" s="112"/>
      <c r="H497" s="112"/>
      <c r="I497" s="112"/>
      <c r="J497" s="112"/>
      <c r="K497" s="96" t="s">
        <v>51</v>
      </c>
      <c r="L497" s="126" t="e">
        <f>L484-L494</f>
        <v>#REF!</v>
      </c>
      <c r="M497" s="101"/>
    </row>
    <row r="498" spans="2:13" ht="30" customHeight="1" x14ac:dyDescent="0.3">
      <c r="B498" s="127"/>
      <c r="C498" s="96"/>
      <c r="D498" s="96"/>
      <c r="E498" s="96"/>
      <c r="F498" s="96"/>
      <c r="G498" s="96"/>
      <c r="H498" s="96"/>
      <c r="I498" s="96" t="s">
        <v>44</v>
      </c>
      <c r="J498" s="96" t="s">
        <v>44</v>
      </c>
      <c r="K498" s="96" t="s">
        <v>44</v>
      </c>
      <c r="L498" s="123" t="s">
        <v>44</v>
      </c>
      <c r="M498" s="101"/>
    </row>
    <row r="499" spans="2:13" ht="30" customHeight="1" x14ac:dyDescent="0.3">
      <c r="B499" s="127"/>
      <c r="C499" s="96"/>
      <c r="D499" s="96"/>
      <c r="E499" s="96"/>
      <c r="F499" s="96"/>
      <c r="G499" s="96"/>
      <c r="H499" s="96"/>
      <c r="I499" s="96"/>
      <c r="J499" s="96"/>
      <c r="K499" s="96"/>
      <c r="L499" s="123"/>
      <c r="M499" s="101"/>
    </row>
    <row r="500" spans="2:13" ht="30" customHeight="1" x14ac:dyDescent="0.3">
      <c r="B500" s="127"/>
      <c r="C500" s="96"/>
      <c r="D500" s="96"/>
      <c r="E500" s="96"/>
      <c r="F500" s="96"/>
      <c r="G500" s="96"/>
      <c r="H500" s="96"/>
      <c r="I500" s="96"/>
      <c r="J500" s="96"/>
      <c r="K500" s="96"/>
      <c r="L500" s="123"/>
      <c r="M500" s="101"/>
    </row>
    <row r="501" spans="2:13" ht="30" customHeight="1" x14ac:dyDescent="0.25">
      <c r="B501" s="576" t="s">
        <v>85</v>
      </c>
      <c r="C501" s="577"/>
      <c r="D501" s="577"/>
      <c r="E501" s="577"/>
      <c r="F501" s="577"/>
      <c r="G501" s="577"/>
      <c r="H501" s="577"/>
      <c r="I501" s="577"/>
      <c r="J501" s="577"/>
      <c r="K501" s="577"/>
      <c r="L501" s="577"/>
      <c r="M501" s="578"/>
    </row>
    <row r="502" spans="2:13" ht="30" customHeight="1" x14ac:dyDescent="0.25">
      <c r="B502" s="576" t="s">
        <v>86</v>
      </c>
      <c r="C502" s="577"/>
      <c r="D502" s="577"/>
      <c r="E502" s="577"/>
      <c r="F502" s="577"/>
      <c r="G502" s="577"/>
      <c r="H502" s="577"/>
      <c r="I502" s="577"/>
      <c r="J502" s="577"/>
      <c r="K502" s="577"/>
      <c r="L502" s="577"/>
      <c r="M502" s="578"/>
    </row>
    <row r="503" spans="2:13" ht="30" customHeight="1" x14ac:dyDescent="0.3">
      <c r="B503" s="95"/>
      <c r="C503" s="96"/>
      <c r="D503" s="96"/>
      <c r="E503" s="96"/>
      <c r="F503" s="96"/>
      <c r="G503" s="96"/>
      <c r="H503" s="96"/>
      <c r="I503" s="96"/>
      <c r="J503" s="96"/>
      <c r="K503" s="96"/>
      <c r="L503" s="96"/>
      <c r="M503" s="101"/>
    </row>
    <row r="504" spans="2:13" ht="30" customHeight="1" x14ac:dyDescent="0.3">
      <c r="B504" s="95"/>
      <c r="C504" s="96"/>
      <c r="D504" s="96"/>
      <c r="E504" s="96"/>
      <c r="F504" s="96"/>
      <c r="G504" s="96"/>
      <c r="H504" s="96"/>
      <c r="I504" s="96"/>
      <c r="J504" s="96"/>
      <c r="K504" s="96"/>
      <c r="L504" s="96"/>
      <c r="M504" s="101"/>
    </row>
    <row r="505" spans="2:13" ht="30" customHeight="1" x14ac:dyDescent="0.3">
      <c r="B505" s="567"/>
      <c r="C505" s="568"/>
      <c r="D505" s="568"/>
      <c r="E505" s="96"/>
      <c r="F505" s="96"/>
      <c r="G505" s="96"/>
      <c r="H505" s="96"/>
      <c r="I505" s="96"/>
      <c r="J505" s="568"/>
      <c r="K505" s="568"/>
      <c r="L505" s="568"/>
      <c r="M505" s="101"/>
    </row>
    <row r="506" spans="2:13" ht="30" customHeight="1" x14ac:dyDescent="0.3">
      <c r="B506" s="569" t="s">
        <v>87</v>
      </c>
      <c r="C506" s="570"/>
      <c r="D506" s="570"/>
      <c r="E506" s="96"/>
      <c r="F506" s="96"/>
      <c r="G506" s="96"/>
      <c r="H506" s="96"/>
      <c r="I506" s="128" t="s">
        <v>88</v>
      </c>
      <c r="J506" s="128"/>
      <c r="K506" s="128"/>
      <c r="L506" s="102"/>
      <c r="M506" s="101"/>
    </row>
    <row r="507" spans="2:13" ht="30" customHeight="1" x14ac:dyDescent="0.3">
      <c r="B507" s="95" t="s">
        <v>44</v>
      </c>
      <c r="C507" s="96"/>
      <c r="D507" s="96"/>
      <c r="E507" s="96"/>
      <c r="F507" s="96"/>
      <c r="G507" s="96"/>
      <c r="H507" s="96"/>
      <c r="I507" s="96"/>
      <c r="J507" s="570"/>
      <c r="K507" s="570"/>
      <c r="L507" s="570"/>
      <c r="M507" s="101"/>
    </row>
    <row r="508" spans="2:13" ht="30" customHeight="1" x14ac:dyDescent="0.3">
      <c r="B508" s="95" t="s">
        <v>64</v>
      </c>
      <c r="C508" s="570" t="e">
        <f>C471</f>
        <v>#REF!</v>
      </c>
      <c r="D508" s="570"/>
      <c r="E508" s="570"/>
      <c r="F508" s="96"/>
      <c r="G508" s="96"/>
      <c r="H508" s="96"/>
      <c r="I508" s="99" t="s">
        <v>104</v>
      </c>
      <c r="J508" s="571">
        <f>+'PB '!C7</f>
        <v>0</v>
      </c>
      <c r="K508" s="571"/>
      <c r="L508" s="571"/>
      <c r="M508" s="572"/>
    </row>
    <row r="509" spans="2:13" ht="30" customHeight="1" thickBot="1" x14ac:dyDescent="0.35">
      <c r="B509" s="129"/>
      <c r="C509" s="130"/>
      <c r="D509" s="130"/>
      <c r="E509" s="130"/>
      <c r="F509" s="130"/>
      <c r="G509" s="130"/>
      <c r="H509" s="130"/>
      <c r="I509" s="130"/>
      <c r="J509" s="131"/>
      <c r="K509" s="132"/>
      <c r="L509" s="132"/>
      <c r="M509" s="133"/>
    </row>
    <row r="510" spans="2:13" ht="30" customHeight="1" x14ac:dyDescent="0.35">
      <c r="B510" s="135"/>
      <c r="C510" s="135"/>
      <c r="D510" s="135"/>
      <c r="E510" s="135"/>
      <c r="F510" s="135"/>
      <c r="G510" s="135"/>
      <c r="H510" s="135"/>
      <c r="I510" s="135"/>
      <c r="J510" s="135"/>
      <c r="K510" s="135"/>
      <c r="L510" s="135"/>
      <c r="M510" s="135"/>
    </row>
    <row r="511" spans="2:13" ht="30" customHeight="1" x14ac:dyDescent="0.35">
      <c r="B511" s="135"/>
      <c r="C511" s="135"/>
      <c r="D511" s="135"/>
      <c r="E511" s="135"/>
      <c r="F511" s="135"/>
      <c r="G511" s="135"/>
      <c r="H511" s="135"/>
      <c r="I511" s="135"/>
      <c r="J511" s="135"/>
      <c r="K511" s="135"/>
      <c r="L511" s="135"/>
      <c r="M511" s="135"/>
    </row>
    <row r="512" spans="2:13" ht="30" customHeight="1" thickBot="1" x14ac:dyDescent="0.4">
      <c r="B512" s="135"/>
      <c r="C512" s="135"/>
      <c r="D512" s="135"/>
      <c r="E512" s="135"/>
      <c r="F512" s="135"/>
      <c r="G512" s="135"/>
      <c r="H512" s="135"/>
      <c r="I512" s="135"/>
      <c r="J512" s="135"/>
      <c r="K512" s="135"/>
      <c r="L512" s="135"/>
      <c r="M512" s="135"/>
    </row>
    <row r="513" spans="2:15" ht="30" customHeight="1" x14ac:dyDescent="0.3">
      <c r="B513" s="584"/>
      <c r="C513" s="585"/>
      <c r="D513" s="585"/>
      <c r="E513" s="585"/>
      <c r="F513" s="585"/>
      <c r="G513" s="585"/>
      <c r="H513" s="585"/>
      <c r="I513" s="585"/>
      <c r="J513" s="585"/>
      <c r="K513" s="585"/>
      <c r="L513" s="585"/>
      <c r="M513" s="586"/>
    </row>
    <row r="514" spans="2:15" ht="30" customHeight="1" x14ac:dyDescent="0.3">
      <c r="B514" s="587" t="s">
        <v>62</v>
      </c>
      <c r="C514" s="588"/>
      <c r="D514" s="588"/>
      <c r="E514" s="588"/>
      <c r="F514" s="588"/>
      <c r="G514" s="588"/>
      <c r="H514" s="588"/>
      <c r="I514" s="588"/>
      <c r="J514" s="588"/>
      <c r="K514" s="588"/>
      <c r="L514" s="588"/>
      <c r="M514" s="589"/>
      <c r="O514">
        <v>14</v>
      </c>
    </row>
    <row r="515" spans="2:15" ht="30" customHeight="1" x14ac:dyDescent="0.3">
      <c r="B515" s="95" t="s">
        <v>63</v>
      </c>
      <c r="C515" s="570" t="str">
        <f>C469</f>
        <v>Vessel name</v>
      </c>
      <c r="D515" s="570"/>
      <c r="E515" s="570"/>
      <c r="F515" s="96"/>
      <c r="G515" s="570"/>
      <c r="H515" s="570"/>
      <c r="I515" s="570"/>
      <c r="J515" s="96" t="s">
        <v>44</v>
      </c>
      <c r="K515" s="97"/>
      <c r="L515" s="582"/>
      <c r="M515" s="583"/>
    </row>
    <row r="516" spans="2:15" ht="30" customHeight="1" x14ac:dyDescent="0.3">
      <c r="B516" s="98"/>
      <c r="C516" s="96"/>
      <c r="D516" s="96"/>
      <c r="E516" s="99"/>
      <c r="F516" s="100"/>
      <c r="G516" s="100"/>
      <c r="H516" s="100"/>
      <c r="I516" s="96"/>
      <c r="J516" s="96"/>
      <c r="K516" s="97"/>
      <c r="L516" s="97"/>
      <c r="M516" s="101"/>
    </row>
    <row r="517" spans="2:15" ht="30" customHeight="1" x14ac:dyDescent="0.3">
      <c r="B517" s="95" t="s">
        <v>64</v>
      </c>
      <c r="C517" s="570" t="e">
        <f>'PB '!#REF!</f>
        <v>#REF!</v>
      </c>
      <c r="D517" s="570"/>
      <c r="E517" s="570"/>
      <c r="F517" s="570"/>
      <c r="G517" s="102"/>
      <c r="H517" s="96" t="s">
        <v>21</v>
      </c>
      <c r="I517" s="103" t="e">
        <f>'PB '!#REF!</f>
        <v>#REF!</v>
      </c>
      <c r="J517" s="136"/>
      <c r="K517" s="96"/>
      <c r="L517" s="582"/>
      <c r="M517" s="583"/>
    </row>
    <row r="518" spans="2:15" ht="30" customHeight="1" x14ac:dyDescent="0.3">
      <c r="B518" s="95"/>
      <c r="C518" s="96"/>
      <c r="D518" s="96"/>
      <c r="E518" s="96"/>
      <c r="F518" s="96"/>
      <c r="G518" s="96" t="s">
        <v>65</v>
      </c>
      <c r="H518" s="96"/>
      <c r="I518" s="96"/>
      <c r="J518" s="96"/>
      <c r="K518" s="96"/>
      <c r="L518" s="96"/>
      <c r="M518" s="101"/>
    </row>
    <row r="519" spans="2:15" ht="30" customHeight="1" x14ac:dyDescent="0.3">
      <c r="B519" s="95"/>
      <c r="C519" s="96"/>
      <c r="D519" s="96"/>
      <c r="E519" s="96"/>
      <c r="F519" s="96"/>
      <c r="G519" s="96" t="s">
        <v>44</v>
      </c>
      <c r="H519" s="96"/>
      <c r="I519" s="96"/>
      <c r="J519" s="96"/>
      <c r="K519" s="96"/>
      <c r="L519" s="96"/>
      <c r="M519" s="101"/>
    </row>
    <row r="520" spans="2:15" ht="30" customHeight="1" x14ac:dyDescent="0.3">
      <c r="B520" s="95"/>
      <c r="C520" s="96"/>
      <c r="D520" s="96"/>
      <c r="E520" s="96"/>
      <c r="F520" s="96"/>
      <c r="G520" s="103" t="s">
        <v>66</v>
      </c>
      <c r="H520" s="104"/>
      <c r="I520" s="103"/>
      <c r="J520" s="103"/>
      <c r="K520" s="96" t="s">
        <v>51</v>
      </c>
      <c r="L520" s="105">
        <f>'PB '!V17</f>
        <v>0</v>
      </c>
      <c r="M520" s="101"/>
    </row>
    <row r="521" spans="2:15" ht="30" customHeight="1" x14ac:dyDescent="0.3">
      <c r="B521" s="95"/>
      <c r="C521" s="96"/>
      <c r="D521" s="96"/>
      <c r="E521" s="96"/>
      <c r="F521" s="96"/>
      <c r="G521" s="96"/>
      <c r="H521" s="96"/>
      <c r="I521" s="96"/>
      <c r="J521" s="96"/>
      <c r="K521" s="96"/>
      <c r="L521" s="96"/>
      <c r="M521" s="101"/>
    </row>
    <row r="522" spans="2:15" ht="30" customHeight="1" x14ac:dyDescent="0.3">
      <c r="B522" s="590" t="s">
        <v>67</v>
      </c>
      <c r="C522" s="591"/>
      <c r="D522" s="592" t="s">
        <v>60</v>
      </c>
      <c r="E522" s="593"/>
      <c r="F522" s="579" t="s">
        <v>61</v>
      </c>
      <c r="G522" s="580"/>
      <c r="H522" s="106" t="s">
        <v>68</v>
      </c>
      <c r="I522" s="107" t="s">
        <v>69</v>
      </c>
      <c r="J522" s="106" t="s">
        <v>51</v>
      </c>
      <c r="K522" s="108"/>
      <c r="L522" s="108"/>
      <c r="M522" s="109"/>
    </row>
    <row r="523" spans="2:15" ht="30" customHeight="1" x14ac:dyDescent="0.3">
      <c r="B523" s="560" t="s">
        <v>70</v>
      </c>
      <c r="C523" s="581"/>
      <c r="D523" s="110" t="e">
        <f>'PB '!#REF!</f>
        <v>#REF!</v>
      </c>
      <c r="E523" s="111">
        <f>'PB '!C1</f>
        <v>0</v>
      </c>
      <c r="F523" s="112" t="e">
        <f>'PB '!#REF!</f>
        <v>#REF!</v>
      </c>
      <c r="G523" s="111">
        <f>'PB '!C1</f>
        <v>0</v>
      </c>
      <c r="H523" s="113" t="e">
        <f>'PB '!#REF!</f>
        <v>#REF!</v>
      </c>
      <c r="I523" s="114">
        <v>285</v>
      </c>
      <c r="J523" s="115" t="e">
        <f>I523*H523/30</f>
        <v>#REF!</v>
      </c>
      <c r="K523" s="96"/>
      <c r="L523" s="96"/>
      <c r="M523" s="101"/>
    </row>
    <row r="524" spans="2:15" ht="30" customHeight="1" x14ac:dyDescent="0.3">
      <c r="B524" s="560" t="s">
        <v>71</v>
      </c>
      <c r="C524" s="581"/>
      <c r="D524" s="110" t="e">
        <f>D523</f>
        <v>#REF!</v>
      </c>
      <c r="E524" s="111">
        <f>'PB '!C1</f>
        <v>0</v>
      </c>
      <c r="F524" s="112" t="e">
        <f>F523</f>
        <v>#REF!</v>
      </c>
      <c r="G524" s="111">
        <f>'PB '!C1</f>
        <v>0</v>
      </c>
      <c r="H524" s="113" t="e">
        <f>H523</f>
        <v>#REF!</v>
      </c>
      <c r="I524" s="114">
        <v>178</v>
      </c>
      <c r="J524" s="115" t="e">
        <f t="shared" ref="J524:J526" si="11">I524*H524/30</f>
        <v>#REF!</v>
      </c>
      <c r="K524" s="96"/>
      <c r="L524" s="96"/>
      <c r="M524" s="101"/>
    </row>
    <row r="525" spans="2:15" ht="30" customHeight="1" x14ac:dyDescent="0.3">
      <c r="B525" s="557" t="s">
        <v>72</v>
      </c>
      <c r="C525" s="558"/>
      <c r="D525" s="110" t="e">
        <f>D523</f>
        <v>#REF!</v>
      </c>
      <c r="E525" s="111">
        <f>'PB '!C1</f>
        <v>0</v>
      </c>
      <c r="F525" s="112" t="e">
        <f>F523</f>
        <v>#REF!</v>
      </c>
      <c r="G525" s="111">
        <f>'PB '!C1</f>
        <v>0</v>
      </c>
      <c r="H525" s="113" t="e">
        <f>H523</f>
        <v>#REF!</v>
      </c>
      <c r="I525" s="114">
        <v>24</v>
      </c>
      <c r="J525" s="115" t="e">
        <f t="shared" si="11"/>
        <v>#REF!</v>
      </c>
      <c r="K525" s="96"/>
      <c r="L525" s="96"/>
      <c r="M525" s="101"/>
    </row>
    <row r="526" spans="2:15" ht="30" customHeight="1" x14ac:dyDescent="0.3">
      <c r="B526" s="557" t="s">
        <v>73</v>
      </c>
      <c r="C526" s="558"/>
      <c r="D526" s="110" t="e">
        <f>D523</f>
        <v>#REF!</v>
      </c>
      <c r="E526" s="111">
        <f>'PB '!C1</f>
        <v>0</v>
      </c>
      <c r="F526" s="112" t="e">
        <f>F523</f>
        <v>#REF!</v>
      </c>
      <c r="G526" s="111">
        <f>'PB '!C1</f>
        <v>0</v>
      </c>
      <c r="H526" s="113" t="e">
        <f>H523</f>
        <v>#REF!</v>
      </c>
      <c r="I526" s="114">
        <v>14</v>
      </c>
      <c r="J526" s="115" t="e">
        <f t="shared" si="11"/>
        <v>#REF!</v>
      </c>
      <c r="K526" s="96"/>
      <c r="L526" s="96"/>
      <c r="M526" s="101"/>
    </row>
    <row r="527" spans="2:15" ht="30" customHeight="1" x14ac:dyDescent="0.3">
      <c r="B527" s="562" t="s">
        <v>74</v>
      </c>
      <c r="C527" s="563"/>
      <c r="D527" s="110"/>
      <c r="E527" s="111"/>
      <c r="F527" s="112"/>
      <c r="G527" s="111"/>
      <c r="H527" s="113"/>
      <c r="I527" s="114"/>
      <c r="J527" s="115" t="e">
        <f>'PB '!#REF!</f>
        <v>#REF!</v>
      </c>
      <c r="K527" s="96"/>
      <c r="L527" s="96"/>
      <c r="M527" s="101"/>
    </row>
    <row r="528" spans="2:15" ht="30" customHeight="1" x14ac:dyDescent="0.3">
      <c r="B528" s="564" t="s">
        <v>176</v>
      </c>
      <c r="C528" s="561"/>
      <c r="D528" s="117"/>
      <c r="E528" s="111"/>
      <c r="F528" s="117"/>
      <c r="G528" s="111"/>
      <c r="H528" s="118"/>
      <c r="I528" s="114"/>
      <c r="J528" s="115" t="e">
        <f>'PB '!#REF!</f>
        <v>#REF!</v>
      </c>
      <c r="K528" s="96"/>
      <c r="L528" s="96"/>
      <c r="M528" s="101"/>
    </row>
    <row r="529" spans="2:13" ht="30" customHeight="1" x14ac:dyDescent="0.3">
      <c r="B529" s="95"/>
      <c r="C529" s="96"/>
      <c r="D529" s="96"/>
      <c r="E529" s="96"/>
      <c r="F529" s="565" t="s">
        <v>76</v>
      </c>
      <c r="G529" s="565"/>
      <c r="H529" s="565"/>
      <c r="I529" s="566"/>
      <c r="J529" s="119" t="e">
        <f>SUM(J523:J528)</f>
        <v>#REF!</v>
      </c>
      <c r="K529" s="120" t="s">
        <v>51</v>
      </c>
      <c r="L529" s="121" t="e">
        <f>J529</f>
        <v>#REF!</v>
      </c>
      <c r="M529" s="101"/>
    </row>
    <row r="530" spans="2:13" ht="30" customHeight="1" thickBot="1" x14ac:dyDescent="0.35">
      <c r="B530" s="95"/>
      <c r="C530" s="96"/>
      <c r="D530" s="96"/>
      <c r="E530" s="96"/>
      <c r="F530" s="96"/>
      <c r="G530" s="96"/>
      <c r="H530" s="96"/>
      <c r="I530" s="96"/>
      <c r="J530" s="96"/>
      <c r="K530" s="96"/>
      <c r="L530" s="122" t="e">
        <f>L520+L529</f>
        <v>#REF!</v>
      </c>
      <c r="M530" s="101"/>
    </row>
    <row r="531" spans="2:13" ht="30" customHeight="1" x14ac:dyDescent="0.3">
      <c r="B531" s="95"/>
      <c r="C531" s="96"/>
      <c r="D531" s="96"/>
      <c r="E531" s="96"/>
      <c r="F531" s="96"/>
      <c r="G531" s="96"/>
      <c r="H531" s="96"/>
      <c r="I531" s="96"/>
      <c r="J531" s="96"/>
      <c r="K531" s="96"/>
      <c r="L531" s="123"/>
      <c r="M531" s="101"/>
    </row>
    <row r="532" spans="2:13" ht="30" customHeight="1" x14ac:dyDescent="0.3">
      <c r="B532" s="95"/>
      <c r="C532" s="96"/>
      <c r="D532" s="96"/>
      <c r="E532" s="96"/>
      <c r="F532" s="96"/>
      <c r="G532" s="96"/>
      <c r="H532" s="96"/>
      <c r="I532" s="96"/>
      <c r="J532" s="96"/>
      <c r="K532" s="96"/>
      <c r="L532" s="123"/>
      <c r="M532" s="101"/>
    </row>
    <row r="533" spans="2:13" ht="30" customHeight="1" x14ac:dyDescent="0.3">
      <c r="B533" s="557" t="s">
        <v>77</v>
      </c>
      <c r="C533" s="558"/>
      <c r="D533" s="558"/>
      <c r="E533" s="558"/>
      <c r="F533" s="558"/>
      <c r="G533" s="558"/>
      <c r="H533" s="558"/>
      <c r="I533" s="559"/>
      <c r="J533" s="124"/>
      <c r="K533" s="96"/>
      <c r="L533" s="123"/>
      <c r="M533" s="101"/>
    </row>
    <row r="534" spans="2:13" ht="30" customHeight="1" x14ac:dyDescent="0.3">
      <c r="B534" s="560" t="s">
        <v>78</v>
      </c>
      <c r="C534" s="561"/>
      <c r="D534" s="561"/>
      <c r="E534" s="561"/>
      <c r="F534" s="561"/>
      <c r="G534" s="561"/>
      <c r="H534" s="561"/>
      <c r="I534" s="561"/>
      <c r="J534" s="114" t="e">
        <f>'PB '!#REF!</f>
        <v>#REF!</v>
      </c>
      <c r="K534" s="96"/>
      <c r="L534" s="123"/>
      <c r="M534" s="101"/>
    </row>
    <row r="535" spans="2:13" ht="30" customHeight="1" x14ac:dyDescent="0.3">
      <c r="B535" s="560" t="s">
        <v>79</v>
      </c>
      <c r="C535" s="561"/>
      <c r="D535" s="561"/>
      <c r="E535" s="561"/>
      <c r="F535" s="561"/>
      <c r="G535" s="561"/>
      <c r="H535" s="561"/>
      <c r="I535" s="561"/>
      <c r="J535" s="114" t="e">
        <f>'PB '!#REF!</f>
        <v>#REF!</v>
      </c>
      <c r="K535" s="96"/>
      <c r="L535" s="123"/>
      <c r="M535" s="101"/>
    </row>
    <row r="536" spans="2:13" ht="30" customHeight="1" x14ac:dyDescent="0.3">
      <c r="B536" s="560" t="s">
        <v>80</v>
      </c>
      <c r="C536" s="561"/>
      <c r="D536" s="561"/>
      <c r="E536" s="561"/>
      <c r="F536" s="561"/>
      <c r="G536" s="561"/>
      <c r="H536" s="561"/>
      <c r="I536" s="561"/>
      <c r="J536" s="114" t="e">
        <f>'PB '!#REF!</f>
        <v>#REF!</v>
      </c>
      <c r="K536" s="96"/>
      <c r="L536" s="123"/>
      <c r="M536" s="101"/>
    </row>
    <row r="537" spans="2:13" ht="30" customHeight="1" x14ac:dyDescent="0.3">
      <c r="B537" s="560" t="s">
        <v>81</v>
      </c>
      <c r="C537" s="561"/>
      <c r="D537" s="561"/>
      <c r="E537" s="561"/>
      <c r="F537" s="561"/>
      <c r="G537" s="561"/>
      <c r="H537" s="561"/>
      <c r="I537" s="561"/>
      <c r="J537" s="114">
        <v>0</v>
      </c>
      <c r="K537" s="96"/>
      <c r="L537" s="123"/>
      <c r="M537" s="101"/>
    </row>
    <row r="538" spans="2:13" ht="30" customHeight="1" x14ac:dyDescent="0.3">
      <c r="B538" s="557" t="s">
        <v>105</v>
      </c>
      <c r="C538" s="558"/>
      <c r="D538" s="558"/>
      <c r="E538" s="558"/>
      <c r="F538" s="558"/>
      <c r="G538" s="558"/>
      <c r="H538" s="558"/>
      <c r="I538" s="559"/>
      <c r="J538" s="114" t="e">
        <f>'PB '!#REF!</f>
        <v>#REF!</v>
      </c>
      <c r="K538" s="96"/>
      <c r="L538" s="123"/>
      <c r="M538" s="101"/>
    </row>
    <row r="539" spans="2:13" ht="30" customHeight="1" thickBot="1" x14ac:dyDescent="0.35">
      <c r="B539" s="560"/>
      <c r="C539" s="561"/>
      <c r="D539" s="561"/>
      <c r="E539" s="561"/>
      <c r="F539" s="561"/>
      <c r="G539" s="561"/>
      <c r="H539" s="561"/>
      <c r="I539" s="561"/>
      <c r="J539" s="114"/>
      <c r="K539" s="96"/>
      <c r="L539" s="123"/>
      <c r="M539" s="101"/>
    </row>
    <row r="540" spans="2:13" ht="30" customHeight="1" thickBot="1" x14ac:dyDescent="0.35">
      <c r="B540" s="95"/>
      <c r="C540" s="96"/>
      <c r="D540" s="96"/>
      <c r="E540" s="96"/>
      <c r="F540" s="573" t="s">
        <v>83</v>
      </c>
      <c r="G540" s="574"/>
      <c r="H540" s="574"/>
      <c r="I540" s="575"/>
      <c r="J540" s="114" t="e">
        <f>SUM(J534:J538)</f>
        <v>#REF!</v>
      </c>
      <c r="K540" s="96" t="s">
        <v>51</v>
      </c>
      <c r="L540" s="125" t="e">
        <f>J540</f>
        <v>#REF!</v>
      </c>
      <c r="M540" s="101"/>
    </row>
    <row r="541" spans="2:13" ht="30" customHeight="1" x14ac:dyDescent="0.3">
      <c r="B541" s="95"/>
      <c r="C541" s="96"/>
      <c r="D541" s="96"/>
      <c r="E541" s="96"/>
      <c r="F541" s="96"/>
      <c r="G541" s="96"/>
      <c r="H541" s="96"/>
      <c r="I541" s="96"/>
      <c r="J541" s="96"/>
      <c r="K541" s="96"/>
      <c r="L541" s="123"/>
      <c r="M541" s="101"/>
    </row>
    <row r="542" spans="2:13" ht="30" customHeight="1" x14ac:dyDescent="0.3">
      <c r="B542" s="95"/>
      <c r="C542" s="96"/>
      <c r="D542" s="96"/>
      <c r="E542" s="96"/>
      <c r="F542" s="96"/>
      <c r="G542" s="96"/>
      <c r="H542" s="96"/>
      <c r="I542" s="96"/>
      <c r="J542" s="96"/>
      <c r="K542" s="96"/>
      <c r="L542" s="123"/>
      <c r="M542" s="101"/>
    </row>
    <row r="543" spans="2:13" ht="30" customHeight="1" thickBot="1" x14ac:dyDescent="0.35">
      <c r="B543" s="95"/>
      <c r="C543" s="96"/>
      <c r="D543" s="96"/>
      <c r="E543" s="96"/>
      <c r="F543" s="112" t="s">
        <v>84</v>
      </c>
      <c r="G543" s="112"/>
      <c r="H543" s="112"/>
      <c r="I543" s="112"/>
      <c r="J543" s="112"/>
      <c r="K543" s="96" t="s">
        <v>51</v>
      </c>
      <c r="L543" s="126" t="e">
        <f>L530-L540</f>
        <v>#REF!</v>
      </c>
      <c r="M543" s="101"/>
    </row>
    <row r="544" spans="2:13" ht="30" customHeight="1" x14ac:dyDescent="0.3">
      <c r="B544" s="127"/>
      <c r="C544" s="96"/>
      <c r="D544" s="96"/>
      <c r="E544" s="96"/>
      <c r="F544" s="96"/>
      <c r="G544" s="96"/>
      <c r="H544" s="96"/>
      <c r="I544" s="96" t="s">
        <v>44</v>
      </c>
      <c r="J544" s="96" t="s">
        <v>44</v>
      </c>
      <c r="K544" s="96" t="s">
        <v>44</v>
      </c>
      <c r="L544" s="123" t="s">
        <v>44</v>
      </c>
      <c r="M544" s="101"/>
    </row>
    <row r="545" spans="2:13" ht="30" customHeight="1" x14ac:dyDescent="0.3">
      <c r="B545" s="127"/>
      <c r="C545" s="96"/>
      <c r="D545" s="96"/>
      <c r="E545" s="96"/>
      <c r="F545" s="96"/>
      <c r="G545" s="96"/>
      <c r="H545" s="96"/>
      <c r="I545" s="96"/>
      <c r="J545" s="96"/>
      <c r="K545" s="96"/>
      <c r="L545" s="123"/>
      <c r="M545" s="101"/>
    </row>
    <row r="546" spans="2:13" ht="30" customHeight="1" x14ac:dyDescent="0.3">
      <c r="B546" s="127"/>
      <c r="C546" s="96"/>
      <c r="D546" s="96"/>
      <c r="E546" s="96"/>
      <c r="F546" s="96"/>
      <c r="G546" s="96"/>
      <c r="H546" s="96"/>
      <c r="I546" s="96"/>
      <c r="J546" s="96"/>
      <c r="K546" s="96"/>
      <c r="L546" s="123"/>
      <c r="M546" s="101"/>
    </row>
    <row r="547" spans="2:13" ht="30" customHeight="1" x14ac:dyDescent="0.25">
      <c r="B547" s="576" t="s">
        <v>85</v>
      </c>
      <c r="C547" s="577"/>
      <c r="D547" s="577"/>
      <c r="E547" s="577"/>
      <c r="F547" s="577"/>
      <c r="G547" s="577"/>
      <c r="H547" s="577"/>
      <c r="I547" s="577"/>
      <c r="J547" s="577"/>
      <c r="K547" s="577"/>
      <c r="L547" s="577"/>
      <c r="M547" s="578"/>
    </row>
    <row r="548" spans="2:13" ht="30" customHeight="1" x14ac:dyDescent="0.25">
      <c r="B548" s="576" t="s">
        <v>86</v>
      </c>
      <c r="C548" s="577"/>
      <c r="D548" s="577"/>
      <c r="E548" s="577"/>
      <c r="F548" s="577"/>
      <c r="G548" s="577"/>
      <c r="H548" s="577"/>
      <c r="I548" s="577"/>
      <c r="J548" s="577"/>
      <c r="K548" s="577"/>
      <c r="L548" s="577"/>
      <c r="M548" s="578"/>
    </row>
    <row r="549" spans="2:13" ht="30" customHeight="1" x14ac:dyDescent="0.3">
      <c r="B549" s="95"/>
      <c r="C549" s="96"/>
      <c r="D549" s="96"/>
      <c r="E549" s="96"/>
      <c r="F549" s="96"/>
      <c r="G549" s="96"/>
      <c r="H549" s="96"/>
      <c r="I549" s="96"/>
      <c r="J549" s="96"/>
      <c r="K549" s="96"/>
      <c r="L549" s="96"/>
      <c r="M549" s="101"/>
    </row>
    <row r="550" spans="2:13" ht="30" customHeight="1" x14ac:dyDescent="0.3">
      <c r="B550" s="95"/>
      <c r="C550" s="96"/>
      <c r="D550" s="96"/>
      <c r="E550" s="96"/>
      <c r="F550" s="96"/>
      <c r="G550" s="96"/>
      <c r="H550" s="96"/>
      <c r="I550" s="96"/>
      <c r="J550" s="96"/>
      <c r="K550" s="96"/>
      <c r="L550" s="96"/>
      <c r="M550" s="101"/>
    </row>
    <row r="551" spans="2:13" ht="30" customHeight="1" x14ac:dyDescent="0.3">
      <c r="B551" s="567"/>
      <c r="C551" s="568"/>
      <c r="D551" s="568"/>
      <c r="E551" s="96"/>
      <c r="F551" s="96"/>
      <c r="G551" s="96"/>
      <c r="H551" s="96"/>
      <c r="I551" s="96"/>
      <c r="J551" s="568"/>
      <c r="K551" s="568"/>
      <c r="L551" s="568"/>
      <c r="M551" s="101"/>
    </row>
    <row r="552" spans="2:13" ht="30" customHeight="1" x14ac:dyDescent="0.3">
      <c r="B552" s="569" t="s">
        <v>87</v>
      </c>
      <c r="C552" s="570"/>
      <c r="D552" s="570"/>
      <c r="E552" s="96"/>
      <c r="F552" s="96"/>
      <c r="G552" s="96"/>
      <c r="H552" s="96"/>
      <c r="I552" s="128" t="s">
        <v>88</v>
      </c>
      <c r="J552" s="128"/>
      <c r="K552" s="128"/>
      <c r="L552" s="102"/>
      <c r="M552" s="101"/>
    </row>
    <row r="553" spans="2:13" ht="30" customHeight="1" x14ac:dyDescent="0.3">
      <c r="B553" s="95" t="s">
        <v>44</v>
      </c>
      <c r="C553" s="96"/>
      <c r="D553" s="96"/>
      <c r="E553" s="96"/>
      <c r="F553" s="96"/>
      <c r="G553" s="96"/>
      <c r="H553" s="96"/>
      <c r="I553" s="96"/>
      <c r="J553" s="570"/>
      <c r="K553" s="570"/>
      <c r="L553" s="570"/>
      <c r="M553" s="101"/>
    </row>
    <row r="554" spans="2:13" ht="30" customHeight="1" x14ac:dyDescent="0.3">
      <c r="B554" s="95" t="s">
        <v>64</v>
      </c>
      <c r="C554" s="570" t="e">
        <f>C517</f>
        <v>#REF!</v>
      </c>
      <c r="D554" s="570"/>
      <c r="E554" s="570"/>
      <c r="F554" s="96"/>
      <c r="G554" s="96"/>
      <c r="H554" s="96"/>
      <c r="I554" s="99" t="s">
        <v>104</v>
      </c>
      <c r="J554" s="571">
        <f>+'PB '!C7</f>
        <v>0</v>
      </c>
      <c r="K554" s="571"/>
      <c r="L554" s="571"/>
      <c r="M554" s="572"/>
    </row>
    <row r="555" spans="2:13" ht="30" customHeight="1" thickBot="1" x14ac:dyDescent="0.35">
      <c r="B555" s="129"/>
      <c r="C555" s="130"/>
      <c r="D555" s="130"/>
      <c r="E555" s="130"/>
      <c r="F555" s="130"/>
      <c r="G555" s="130"/>
      <c r="H555" s="130"/>
      <c r="I555" s="130"/>
      <c r="J555" s="131"/>
      <c r="K555" s="132"/>
      <c r="L555" s="132"/>
      <c r="M555" s="133"/>
    </row>
    <row r="556" spans="2:13" ht="30" customHeight="1" x14ac:dyDescent="0.35">
      <c r="B556" s="135"/>
      <c r="C556" s="135"/>
      <c r="D556" s="135"/>
      <c r="E556" s="135"/>
      <c r="F556" s="135"/>
      <c r="G556" s="135"/>
      <c r="H556" s="135"/>
      <c r="I556" s="135"/>
      <c r="J556" s="135"/>
      <c r="K556" s="135"/>
      <c r="L556" s="135"/>
      <c r="M556" s="135"/>
    </row>
    <row r="557" spans="2:13" ht="30" customHeight="1" x14ac:dyDescent="0.35">
      <c r="B557" s="135"/>
      <c r="C557" s="135"/>
      <c r="D557" s="135"/>
      <c r="E557" s="135"/>
      <c r="F557" s="135"/>
      <c r="G557" s="135"/>
      <c r="H557" s="135"/>
      <c r="I557" s="135"/>
      <c r="J557" s="135"/>
      <c r="K557" s="135"/>
      <c r="L557" s="135"/>
      <c r="M557" s="135"/>
    </row>
    <row r="558" spans="2:13" ht="30" customHeight="1" x14ac:dyDescent="0.35">
      <c r="B558" s="135"/>
      <c r="C558" s="135"/>
      <c r="D558" s="135"/>
      <c r="E558" s="135"/>
      <c r="F558" s="135"/>
      <c r="G558" s="135"/>
      <c r="H558" s="135"/>
      <c r="I558" s="135"/>
      <c r="J558" s="135"/>
      <c r="K558" s="135"/>
      <c r="L558" s="135"/>
      <c r="M558" s="135"/>
    </row>
    <row r="559" spans="2:13" ht="30" customHeight="1" thickBot="1" x14ac:dyDescent="0.4">
      <c r="B559" s="135"/>
      <c r="C559" s="135"/>
      <c r="D559" s="135"/>
      <c r="E559" s="135"/>
      <c r="F559" s="135"/>
      <c r="G559" s="135"/>
      <c r="H559" s="135"/>
      <c r="I559" s="135"/>
      <c r="J559" s="135"/>
      <c r="K559" s="135"/>
      <c r="L559" s="135"/>
      <c r="M559" s="135"/>
    </row>
    <row r="560" spans="2:13" ht="30" customHeight="1" x14ac:dyDescent="0.3">
      <c r="B560" s="584"/>
      <c r="C560" s="585"/>
      <c r="D560" s="585"/>
      <c r="E560" s="585"/>
      <c r="F560" s="585"/>
      <c r="G560" s="585"/>
      <c r="H560" s="585"/>
      <c r="I560" s="585"/>
      <c r="J560" s="585"/>
      <c r="K560" s="585"/>
      <c r="L560" s="585"/>
      <c r="M560" s="586"/>
    </row>
    <row r="561" spans="2:13" ht="30" customHeight="1" x14ac:dyDescent="0.3">
      <c r="B561" s="587" t="s">
        <v>62</v>
      </c>
      <c r="C561" s="588"/>
      <c r="D561" s="588"/>
      <c r="E561" s="588"/>
      <c r="F561" s="588"/>
      <c r="G561" s="588"/>
      <c r="H561" s="588"/>
      <c r="I561" s="588"/>
      <c r="J561" s="588"/>
      <c r="K561" s="588"/>
      <c r="L561" s="588"/>
      <c r="M561" s="589"/>
    </row>
    <row r="562" spans="2:13" ht="30" customHeight="1" x14ac:dyDescent="0.3">
      <c r="B562" s="95" t="s">
        <v>63</v>
      </c>
      <c r="C562" s="570" t="str">
        <f>C515</f>
        <v>Vessel name</v>
      </c>
      <c r="D562" s="570"/>
      <c r="E562" s="570"/>
      <c r="F562" s="96"/>
      <c r="G562" s="570"/>
      <c r="H562" s="570"/>
      <c r="I562" s="570"/>
      <c r="J562" s="96" t="s">
        <v>44</v>
      </c>
      <c r="K562" s="97"/>
      <c r="L562" s="582"/>
      <c r="M562" s="583"/>
    </row>
    <row r="563" spans="2:13" ht="30" customHeight="1" x14ac:dyDescent="0.3">
      <c r="B563" s="98"/>
      <c r="C563" s="96"/>
      <c r="D563" s="96"/>
      <c r="E563" s="99"/>
      <c r="F563" s="100"/>
      <c r="G563" s="100"/>
      <c r="H563" s="100"/>
      <c r="I563" s="96"/>
      <c r="J563" s="96"/>
      <c r="K563" s="97"/>
      <c r="L563" s="97"/>
      <c r="M563" s="101"/>
    </row>
    <row r="564" spans="2:13" ht="39" customHeight="1" x14ac:dyDescent="0.3">
      <c r="B564" s="95" t="s">
        <v>64</v>
      </c>
      <c r="C564" s="570"/>
      <c r="D564" s="570"/>
      <c r="E564" s="570"/>
      <c r="F564" s="570"/>
      <c r="G564" s="102"/>
      <c r="H564" s="96" t="s">
        <v>21</v>
      </c>
      <c r="I564" s="103"/>
      <c r="J564" s="136"/>
      <c r="K564" s="96"/>
      <c r="L564" s="582"/>
      <c r="M564" s="583"/>
    </row>
    <row r="565" spans="2:13" ht="30" customHeight="1" x14ac:dyDescent="0.3">
      <c r="B565" s="95"/>
      <c r="C565" s="96"/>
      <c r="D565" s="96"/>
      <c r="E565" s="96"/>
      <c r="F565" s="96"/>
      <c r="G565" s="96" t="s">
        <v>65</v>
      </c>
      <c r="H565" s="96"/>
      <c r="I565" s="96"/>
      <c r="J565" s="96"/>
      <c r="K565" s="96"/>
      <c r="L565" s="96"/>
      <c r="M565" s="101"/>
    </row>
    <row r="566" spans="2:13" ht="30" customHeight="1" x14ac:dyDescent="0.3">
      <c r="B566" s="95"/>
      <c r="C566" s="96"/>
      <c r="D566" s="96"/>
      <c r="E566" s="96"/>
      <c r="F566" s="96"/>
      <c r="G566" s="96" t="s">
        <v>44</v>
      </c>
      <c r="H566" s="96"/>
      <c r="I566" s="96"/>
      <c r="J566" s="96"/>
      <c r="K566" s="96"/>
      <c r="L566" s="96"/>
      <c r="M566" s="101"/>
    </row>
    <row r="567" spans="2:13" ht="30" customHeight="1" x14ac:dyDescent="0.3">
      <c r="B567" s="95"/>
      <c r="C567" s="96"/>
      <c r="D567" s="96"/>
      <c r="E567" s="96"/>
      <c r="F567" s="96"/>
      <c r="G567" s="103" t="s">
        <v>66</v>
      </c>
      <c r="H567" s="104"/>
      <c r="I567" s="103"/>
      <c r="J567" s="103"/>
      <c r="K567" s="96" t="s">
        <v>51</v>
      </c>
      <c r="L567" s="105">
        <f>'PB '!V64</f>
        <v>0</v>
      </c>
      <c r="M567" s="101"/>
    </row>
    <row r="568" spans="2:13" ht="30" customHeight="1" x14ac:dyDescent="0.3">
      <c r="B568" s="95"/>
      <c r="C568" s="96"/>
      <c r="D568" s="96"/>
      <c r="E568" s="96"/>
      <c r="F568" s="96"/>
      <c r="G568" s="96"/>
      <c r="H568" s="96"/>
      <c r="I568" s="96"/>
      <c r="J568" s="96"/>
      <c r="K568" s="96"/>
      <c r="L568" s="96"/>
      <c r="M568" s="101"/>
    </row>
    <row r="569" spans="2:13" ht="30" customHeight="1" x14ac:dyDescent="0.3">
      <c r="B569" s="590" t="s">
        <v>67</v>
      </c>
      <c r="C569" s="591"/>
      <c r="D569" s="592" t="s">
        <v>60</v>
      </c>
      <c r="E569" s="593"/>
      <c r="F569" s="579" t="s">
        <v>61</v>
      </c>
      <c r="G569" s="580"/>
      <c r="H569" s="106" t="s">
        <v>68</v>
      </c>
      <c r="I569" s="107" t="s">
        <v>69</v>
      </c>
      <c r="J569" s="106" t="s">
        <v>51</v>
      </c>
      <c r="K569" s="108"/>
      <c r="L569" s="108"/>
      <c r="M569" s="109"/>
    </row>
    <row r="570" spans="2:13" ht="30" customHeight="1" x14ac:dyDescent="0.3">
      <c r="B570" s="560" t="s">
        <v>70</v>
      </c>
      <c r="C570" s="581"/>
      <c r="D570" s="110">
        <f>'PB '!E20</f>
        <v>1</v>
      </c>
      <c r="E570" s="111">
        <v>45627</v>
      </c>
      <c r="F570" s="112">
        <v>1</v>
      </c>
      <c r="G570" s="111">
        <f>E570</f>
        <v>45627</v>
      </c>
      <c r="H570" s="113">
        <f>'PB '!G20</f>
        <v>30</v>
      </c>
      <c r="I570" s="114"/>
      <c r="J570" s="115">
        <f>I570*H570/30</f>
        <v>0</v>
      </c>
      <c r="K570" s="96"/>
      <c r="L570" s="96"/>
      <c r="M570" s="101"/>
    </row>
    <row r="571" spans="2:13" ht="30" customHeight="1" x14ac:dyDescent="0.3">
      <c r="B571" s="560" t="s">
        <v>71</v>
      </c>
      <c r="C571" s="581"/>
      <c r="D571" s="110">
        <f>D570</f>
        <v>1</v>
      </c>
      <c r="E571" s="111">
        <f>E570</f>
        <v>45627</v>
      </c>
      <c r="F571" s="112">
        <v>1</v>
      </c>
      <c r="G571" s="111">
        <f>E570</f>
        <v>45627</v>
      </c>
      <c r="H571" s="113">
        <f>H570</f>
        <v>30</v>
      </c>
      <c r="I571" s="114"/>
      <c r="J571" s="115">
        <f>I571*H571/30</f>
        <v>0</v>
      </c>
      <c r="K571" s="96"/>
      <c r="L571" s="96"/>
      <c r="M571" s="101"/>
    </row>
    <row r="572" spans="2:13" ht="30" customHeight="1" x14ac:dyDescent="0.3">
      <c r="B572" s="557" t="s">
        <v>72</v>
      </c>
      <c r="C572" s="558"/>
      <c r="D572" s="110">
        <f>D570</f>
        <v>1</v>
      </c>
      <c r="E572" s="111">
        <f>E570</f>
        <v>45627</v>
      </c>
      <c r="F572" s="112">
        <v>1</v>
      </c>
      <c r="G572" s="111">
        <f>E570</f>
        <v>45627</v>
      </c>
      <c r="H572" s="113">
        <f>H571</f>
        <v>30</v>
      </c>
      <c r="I572" s="114"/>
      <c r="J572" s="115">
        <f>I572*H572/30</f>
        <v>0</v>
      </c>
      <c r="K572" s="96"/>
      <c r="L572" s="96"/>
      <c r="M572" s="101"/>
    </row>
    <row r="573" spans="2:13" ht="30" customHeight="1" x14ac:dyDescent="0.3">
      <c r="B573" s="557" t="s">
        <v>73</v>
      </c>
      <c r="C573" s="558"/>
      <c r="D573" s="110">
        <f>D570</f>
        <v>1</v>
      </c>
      <c r="E573" s="111">
        <f>E570</f>
        <v>45627</v>
      </c>
      <c r="F573" s="112">
        <v>1</v>
      </c>
      <c r="G573" s="111">
        <f>E570</f>
        <v>45627</v>
      </c>
      <c r="H573" s="113">
        <f>H572</f>
        <v>30</v>
      </c>
      <c r="I573" s="114"/>
      <c r="J573" s="115">
        <f>I573*H573/30</f>
        <v>0</v>
      </c>
      <c r="K573" s="96"/>
      <c r="L573" s="96"/>
      <c r="M573" s="101"/>
    </row>
    <row r="574" spans="2:13" ht="30" customHeight="1" x14ac:dyDescent="0.3">
      <c r="B574" s="562" t="s">
        <v>74</v>
      </c>
      <c r="C574" s="563"/>
      <c r="D574" s="110"/>
      <c r="E574" s="111"/>
      <c r="F574" s="112"/>
      <c r="G574" s="111"/>
      <c r="H574" s="113"/>
      <c r="I574" s="114"/>
      <c r="J574" s="115">
        <f>'PB '!L20</f>
        <v>0</v>
      </c>
      <c r="K574" s="96"/>
      <c r="L574" s="96"/>
      <c r="M574" s="101"/>
    </row>
    <row r="575" spans="2:13" ht="30" customHeight="1" x14ac:dyDescent="0.3">
      <c r="B575" s="564" t="str">
        <f>'PB '!M5</f>
        <v>HRA</v>
      </c>
      <c r="C575" s="561"/>
      <c r="D575" s="117"/>
      <c r="E575" s="111"/>
      <c r="F575" s="117"/>
      <c r="G575" s="111"/>
      <c r="H575" s="118"/>
      <c r="I575" s="114"/>
      <c r="J575" s="115">
        <f>'PB '!M20</f>
        <v>0</v>
      </c>
      <c r="K575" s="96"/>
      <c r="L575" s="96"/>
      <c r="M575" s="101"/>
    </row>
    <row r="576" spans="2:13" ht="30" customHeight="1" x14ac:dyDescent="0.3">
      <c r="B576" s="95"/>
      <c r="C576" s="96"/>
      <c r="D576" s="96"/>
      <c r="E576" s="96"/>
      <c r="F576" s="565" t="s">
        <v>76</v>
      </c>
      <c r="G576" s="565"/>
      <c r="H576" s="565"/>
      <c r="I576" s="566"/>
      <c r="J576" s="119">
        <f>SUM(J570:J575)</f>
        <v>0</v>
      </c>
      <c r="K576" s="120" t="s">
        <v>51</v>
      </c>
      <c r="L576" s="121">
        <f>J576</f>
        <v>0</v>
      </c>
      <c r="M576" s="101"/>
    </row>
    <row r="577" spans="2:13" ht="30" customHeight="1" thickBot="1" x14ac:dyDescent="0.35">
      <c r="B577" s="95"/>
      <c r="C577" s="96"/>
      <c r="D577" s="96"/>
      <c r="E577" s="96"/>
      <c r="F577" s="96"/>
      <c r="G577" s="96"/>
      <c r="H577" s="96"/>
      <c r="I577" s="96"/>
      <c r="J577" s="96"/>
      <c r="K577" s="96"/>
      <c r="L577" s="122">
        <f>L567+L576</f>
        <v>0</v>
      </c>
      <c r="M577" s="101"/>
    </row>
    <row r="578" spans="2:13" ht="30" customHeight="1" x14ac:dyDescent="0.3">
      <c r="B578" s="95"/>
      <c r="C578" s="96"/>
      <c r="D578" s="96"/>
      <c r="E578" s="96"/>
      <c r="F578" s="96"/>
      <c r="G578" s="96"/>
      <c r="H578" s="96"/>
      <c r="I578" s="96"/>
      <c r="J578" s="96"/>
      <c r="K578" s="96"/>
      <c r="L578" s="123"/>
      <c r="M578" s="101"/>
    </row>
    <row r="579" spans="2:13" ht="30" customHeight="1" x14ac:dyDescent="0.3">
      <c r="B579" s="95"/>
      <c r="C579" s="96"/>
      <c r="D579" s="96"/>
      <c r="E579" s="96"/>
      <c r="F579" s="96"/>
      <c r="G579" s="96"/>
      <c r="H579" s="96"/>
      <c r="I579" s="96"/>
      <c r="J579" s="96"/>
      <c r="K579" s="96"/>
      <c r="L579" s="123"/>
      <c r="M579" s="101"/>
    </row>
    <row r="580" spans="2:13" ht="30" customHeight="1" x14ac:dyDescent="0.3">
      <c r="B580" s="557" t="s">
        <v>77</v>
      </c>
      <c r="C580" s="558"/>
      <c r="D580" s="558"/>
      <c r="E580" s="558"/>
      <c r="F580" s="558"/>
      <c r="G580" s="558"/>
      <c r="H580" s="558"/>
      <c r="I580" s="559"/>
      <c r="J580" s="124"/>
      <c r="K580" s="96"/>
      <c r="L580" s="123"/>
      <c r="M580" s="101"/>
    </row>
    <row r="581" spans="2:13" ht="30" customHeight="1" x14ac:dyDescent="0.3">
      <c r="B581" s="560" t="s">
        <v>78</v>
      </c>
      <c r="C581" s="561"/>
      <c r="D581" s="561"/>
      <c r="E581" s="561"/>
      <c r="F581" s="561"/>
      <c r="G581" s="561"/>
      <c r="H581" s="561"/>
      <c r="I581" s="561"/>
      <c r="J581" s="114">
        <f>'PB '!Q20</f>
        <v>0</v>
      </c>
      <c r="K581" s="96"/>
      <c r="L581" s="123"/>
      <c r="M581" s="101"/>
    </row>
    <row r="582" spans="2:13" ht="30" customHeight="1" x14ac:dyDescent="0.3">
      <c r="B582" s="560" t="s">
        <v>79</v>
      </c>
      <c r="C582" s="561"/>
      <c r="D582" s="561"/>
      <c r="E582" s="561"/>
      <c r="F582" s="561"/>
      <c r="G582" s="561"/>
      <c r="H582" s="561"/>
      <c r="I582" s="561"/>
      <c r="J582" s="114">
        <f>'PB '!R20</f>
        <v>2016.6</v>
      </c>
      <c r="K582" s="96"/>
      <c r="L582" s="123"/>
      <c r="M582" s="101"/>
    </row>
    <row r="583" spans="2:13" ht="30" customHeight="1" x14ac:dyDescent="0.3">
      <c r="B583" s="560" t="s">
        <v>80</v>
      </c>
      <c r="C583" s="561"/>
      <c r="D583" s="561"/>
      <c r="E583" s="561"/>
      <c r="F583" s="561"/>
      <c r="G583" s="561"/>
      <c r="H583" s="561"/>
      <c r="I583" s="561"/>
      <c r="J583" s="114">
        <f>'PB '!S20</f>
        <v>0</v>
      </c>
      <c r="K583" s="96"/>
      <c r="L583" s="123"/>
      <c r="M583" s="101"/>
    </row>
    <row r="584" spans="2:13" ht="30" customHeight="1" x14ac:dyDescent="0.3">
      <c r="B584" s="560" t="s">
        <v>81</v>
      </c>
      <c r="C584" s="561"/>
      <c r="D584" s="561"/>
      <c r="E584" s="561"/>
      <c r="F584" s="561"/>
      <c r="G584" s="561"/>
      <c r="H584" s="561"/>
      <c r="I584" s="561"/>
      <c r="J584" s="114">
        <v>0</v>
      </c>
      <c r="K584" s="96"/>
      <c r="L584" s="123"/>
      <c r="M584" s="101"/>
    </row>
    <row r="585" spans="2:13" ht="30" customHeight="1" x14ac:dyDescent="0.3">
      <c r="B585" s="557" t="s">
        <v>82</v>
      </c>
      <c r="C585" s="558"/>
      <c r="D585" s="558"/>
      <c r="E585" s="558"/>
      <c r="F585" s="558"/>
      <c r="G585" s="558"/>
      <c r="H585" s="558"/>
      <c r="I585" s="559"/>
      <c r="J585" s="114">
        <f>'PB '!T20</f>
        <v>0</v>
      </c>
      <c r="K585" s="96"/>
      <c r="L585" s="123"/>
      <c r="M585" s="101"/>
    </row>
    <row r="586" spans="2:13" ht="30" customHeight="1" thickBot="1" x14ac:dyDescent="0.35">
      <c r="B586" s="560" t="s">
        <v>119</v>
      </c>
      <c r="C586" s="561"/>
      <c r="D586" s="561"/>
      <c r="E586" s="561"/>
      <c r="F586" s="561"/>
      <c r="G586" s="561"/>
      <c r="H586" s="561"/>
      <c r="I586" s="561"/>
      <c r="J586" s="114">
        <v>0</v>
      </c>
      <c r="K586" s="96"/>
      <c r="L586" s="123"/>
      <c r="M586" s="101"/>
    </row>
    <row r="587" spans="2:13" ht="30" customHeight="1" thickBot="1" x14ac:dyDescent="0.35">
      <c r="B587" s="95"/>
      <c r="C587" s="96"/>
      <c r="D587" s="96"/>
      <c r="E587" s="96"/>
      <c r="F587" s="573" t="s">
        <v>83</v>
      </c>
      <c r="G587" s="574"/>
      <c r="H587" s="574"/>
      <c r="I587" s="575"/>
      <c r="J587" s="114">
        <f>SUM(J581:J586)</f>
        <v>2016.6</v>
      </c>
      <c r="K587" s="96" t="s">
        <v>51</v>
      </c>
      <c r="L587" s="125">
        <f>J587</f>
        <v>2016.6</v>
      </c>
      <c r="M587" s="101"/>
    </row>
    <row r="588" spans="2:13" ht="30" customHeight="1" x14ac:dyDescent="0.3">
      <c r="B588" s="95"/>
      <c r="C588" s="96"/>
      <c r="D588" s="96"/>
      <c r="E588" s="96"/>
      <c r="F588" s="96"/>
      <c r="G588" s="96"/>
      <c r="H588" s="96"/>
      <c r="I588" s="96"/>
      <c r="J588" s="96"/>
      <c r="K588" s="96"/>
      <c r="L588" s="123"/>
      <c r="M588" s="101"/>
    </row>
    <row r="589" spans="2:13" ht="30" customHeight="1" x14ac:dyDescent="0.3">
      <c r="B589" s="95"/>
      <c r="C589" s="96"/>
      <c r="D589" s="96"/>
      <c r="E589" s="96"/>
      <c r="F589" s="96"/>
      <c r="G589" s="96"/>
      <c r="H589" s="96"/>
      <c r="I589" s="96"/>
      <c r="J589" s="96"/>
      <c r="K589" s="96"/>
      <c r="L589" s="123"/>
      <c r="M589" s="101"/>
    </row>
    <row r="590" spans="2:13" ht="30" customHeight="1" thickBot="1" x14ac:dyDescent="0.35">
      <c r="B590" s="95"/>
      <c r="C590" s="96"/>
      <c r="D590" s="96"/>
      <c r="E590" s="96"/>
      <c r="F590" s="112" t="s">
        <v>84</v>
      </c>
      <c r="G590" s="112"/>
      <c r="H590" s="112"/>
      <c r="I590" s="112"/>
      <c r="J590" s="112"/>
      <c r="K590" s="96" t="s">
        <v>51</v>
      </c>
      <c r="L590" s="126">
        <f>L577-L587</f>
        <v>-2016.6</v>
      </c>
      <c r="M590" s="101"/>
    </row>
    <row r="591" spans="2:13" ht="30" customHeight="1" x14ac:dyDescent="0.3">
      <c r="B591" s="127"/>
      <c r="C591" s="96"/>
      <c r="D591" s="96"/>
      <c r="E591" s="96"/>
      <c r="F591" s="96"/>
      <c r="G591" s="96"/>
      <c r="H591" s="96"/>
      <c r="I591" s="96" t="s">
        <v>44</v>
      </c>
      <c r="J591" s="96" t="s">
        <v>44</v>
      </c>
      <c r="K591" s="96" t="s">
        <v>44</v>
      </c>
      <c r="L591" s="123" t="s">
        <v>44</v>
      </c>
      <c r="M591" s="101"/>
    </row>
    <row r="592" spans="2:13" ht="30" customHeight="1" x14ac:dyDescent="0.3">
      <c r="B592" s="127"/>
      <c r="C592" s="96"/>
      <c r="D592" s="96"/>
      <c r="E592" s="96"/>
      <c r="F592" s="96"/>
      <c r="G592" s="96"/>
      <c r="H592" s="96"/>
      <c r="I592" s="96"/>
      <c r="J592" s="96"/>
      <c r="K592" s="96"/>
      <c r="L592" s="123"/>
      <c r="M592" s="101"/>
    </row>
    <row r="593" spans="2:15" ht="30" customHeight="1" x14ac:dyDescent="0.3">
      <c r="B593" s="127"/>
      <c r="C593" s="96"/>
      <c r="D593" s="96"/>
      <c r="E593" s="96"/>
      <c r="F593" s="96"/>
      <c r="G593" s="96"/>
      <c r="H593" s="96"/>
      <c r="I593" s="96"/>
      <c r="J593" s="96"/>
      <c r="K593" s="96"/>
      <c r="L593" s="123"/>
      <c r="M593" s="101"/>
    </row>
    <row r="594" spans="2:15" ht="30" customHeight="1" x14ac:dyDescent="0.25">
      <c r="B594" s="576" t="s">
        <v>85</v>
      </c>
      <c r="C594" s="577"/>
      <c r="D594" s="577"/>
      <c r="E594" s="577"/>
      <c r="F594" s="577"/>
      <c r="G594" s="577"/>
      <c r="H594" s="577"/>
      <c r="I594" s="577"/>
      <c r="J594" s="577"/>
      <c r="K594" s="577"/>
      <c r="L594" s="577"/>
      <c r="M594" s="578"/>
    </row>
    <row r="595" spans="2:15" ht="30" customHeight="1" x14ac:dyDescent="0.25">
      <c r="B595" s="576" t="s">
        <v>86</v>
      </c>
      <c r="C595" s="577"/>
      <c r="D595" s="577"/>
      <c r="E595" s="577"/>
      <c r="F595" s="577"/>
      <c r="G595" s="577"/>
      <c r="H595" s="577"/>
      <c r="I595" s="577"/>
      <c r="J595" s="577"/>
      <c r="K595" s="577"/>
      <c r="L595" s="577"/>
      <c r="M595" s="578"/>
    </row>
    <row r="596" spans="2:15" ht="30" customHeight="1" x14ac:dyDescent="0.3">
      <c r="B596" s="95"/>
      <c r="C596" s="96"/>
      <c r="D596" s="96"/>
      <c r="E596" s="96"/>
      <c r="F596" s="96"/>
      <c r="G596" s="96"/>
      <c r="H596" s="96"/>
      <c r="I596" s="96"/>
      <c r="J596" s="96"/>
      <c r="K596" s="96"/>
      <c r="L596" s="96"/>
      <c r="M596" s="101"/>
    </row>
    <row r="597" spans="2:15" ht="30" customHeight="1" x14ac:dyDescent="0.3">
      <c r="B597" s="95"/>
      <c r="C597" s="96"/>
      <c r="D597" s="96"/>
      <c r="E597" s="96"/>
      <c r="F597" s="96"/>
      <c r="G597" s="96"/>
      <c r="H597" s="96"/>
      <c r="I597" s="96"/>
      <c r="J597" s="96"/>
      <c r="K597" s="96"/>
      <c r="L597" s="96"/>
      <c r="M597" s="101"/>
    </row>
    <row r="598" spans="2:15" ht="30" customHeight="1" x14ac:dyDescent="0.3">
      <c r="B598" s="567"/>
      <c r="C598" s="568"/>
      <c r="D598" s="568"/>
      <c r="E598" s="96"/>
      <c r="F598" s="96"/>
      <c r="G598" s="96"/>
      <c r="H598" s="96"/>
      <c r="I598" s="96"/>
      <c r="J598" s="568"/>
      <c r="K598" s="568"/>
      <c r="L598" s="568"/>
      <c r="M598" s="101"/>
    </row>
    <row r="599" spans="2:15" ht="30" customHeight="1" x14ac:dyDescent="0.3">
      <c r="B599" s="569" t="s">
        <v>87</v>
      </c>
      <c r="C599" s="570"/>
      <c r="D599" s="570"/>
      <c r="E599" s="96"/>
      <c r="F599" s="96"/>
      <c r="G599" s="96"/>
      <c r="H599" s="96"/>
      <c r="I599" s="128" t="s">
        <v>88</v>
      </c>
      <c r="J599" s="128"/>
      <c r="K599" s="128"/>
      <c r="L599" s="102"/>
      <c r="M599" s="101"/>
    </row>
    <row r="600" spans="2:15" ht="12" customHeight="1" x14ac:dyDescent="0.3">
      <c r="B600" s="95" t="s">
        <v>44</v>
      </c>
      <c r="C600" s="96"/>
      <c r="D600" s="96"/>
      <c r="E600" s="96"/>
      <c r="F600" s="96"/>
      <c r="G600" s="96"/>
      <c r="H600" s="96"/>
      <c r="I600" s="96"/>
      <c r="J600" s="570"/>
      <c r="K600" s="570"/>
      <c r="L600" s="570"/>
      <c r="M600" s="101"/>
    </row>
    <row r="601" spans="2:15" ht="46.5" customHeight="1" x14ac:dyDescent="0.3">
      <c r="B601" s="95" t="s">
        <v>64</v>
      </c>
      <c r="C601" s="570">
        <f>C564</f>
        <v>0</v>
      </c>
      <c r="D601" s="570"/>
      <c r="E601" s="570"/>
      <c r="F601" s="96"/>
      <c r="G601" s="96"/>
      <c r="H601" s="96"/>
      <c r="I601" s="99" t="s">
        <v>104</v>
      </c>
      <c r="J601" s="571">
        <f>+'PB '!C7</f>
        <v>0</v>
      </c>
      <c r="K601" s="571"/>
      <c r="L601" s="571"/>
      <c r="M601" s="572"/>
    </row>
    <row r="602" spans="2:15" ht="30" customHeight="1" thickBot="1" x14ac:dyDescent="0.35">
      <c r="B602" s="129"/>
      <c r="C602" s="130"/>
      <c r="D602" s="130"/>
      <c r="E602" s="130"/>
      <c r="F602" s="130"/>
      <c r="G602" s="130"/>
      <c r="H602" s="130"/>
      <c r="I602" s="130"/>
      <c r="J602" s="131"/>
      <c r="K602" s="132"/>
      <c r="L602" s="132"/>
      <c r="M602" s="133"/>
    </row>
    <row r="603" spans="2:15" ht="30" customHeight="1" x14ac:dyDescent="0.35">
      <c r="B603" s="135"/>
      <c r="C603" s="135"/>
      <c r="D603" s="135"/>
      <c r="E603" s="135"/>
      <c r="F603" s="135"/>
      <c r="G603" s="135"/>
      <c r="H603" s="135"/>
      <c r="I603" s="135"/>
      <c r="J603" s="135"/>
      <c r="K603" s="135"/>
      <c r="L603" s="135"/>
      <c r="M603" s="135"/>
    </row>
    <row r="604" spans="2:15" ht="30" customHeight="1" x14ac:dyDescent="0.35">
      <c r="B604" s="135"/>
      <c r="C604" s="135"/>
      <c r="D604" s="135"/>
      <c r="E604" s="135"/>
      <c r="F604" s="135"/>
      <c r="G604" s="135"/>
      <c r="H604" s="135"/>
      <c r="I604" s="135"/>
      <c r="J604" s="135"/>
      <c r="K604" s="135"/>
      <c r="L604" s="135"/>
      <c r="M604" s="135"/>
    </row>
    <row r="605" spans="2:15" ht="30" customHeight="1" x14ac:dyDescent="0.35">
      <c r="B605" s="135"/>
      <c r="C605" s="135"/>
      <c r="D605" s="135"/>
      <c r="E605" s="135"/>
      <c r="F605" s="135"/>
      <c r="G605" s="135"/>
      <c r="H605" s="135"/>
      <c r="I605" s="135"/>
      <c r="J605" s="135"/>
      <c r="K605" s="135"/>
      <c r="L605" s="135"/>
      <c r="M605" s="135"/>
    </row>
    <row r="606" spans="2:15" ht="30" customHeight="1" thickBot="1" x14ac:dyDescent="0.4">
      <c r="B606" s="135"/>
      <c r="C606" s="135"/>
      <c r="D606" s="135"/>
      <c r="E606" s="135"/>
      <c r="F606" s="135"/>
      <c r="G606" s="135"/>
      <c r="H606" s="135"/>
      <c r="I606" s="135"/>
      <c r="J606" s="135"/>
      <c r="K606" s="135"/>
      <c r="L606" s="135"/>
      <c r="M606" s="135"/>
    </row>
    <row r="607" spans="2:15" ht="30" customHeight="1" x14ac:dyDescent="0.3">
      <c r="B607" s="584"/>
      <c r="C607" s="585"/>
      <c r="D607" s="585"/>
      <c r="E607" s="585"/>
      <c r="F607" s="585"/>
      <c r="G607" s="585"/>
      <c r="H607" s="585"/>
      <c r="I607" s="585"/>
      <c r="J607" s="585"/>
      <c r="K607" s="585"/>
      <c r="L607" s="585"/>
      <c r="M607" s="586"/>
      <c r="O607">
        <v>16</v>
      </c>
    </row>
    <row r="608" spans="2:15" ht="30" customHeight="1" x14ac:dyDescent="0.3">
      <c r="B608" s="587" t="s">
        <v>62</v>
      </c>
      <c r="C608" s="588"/>
      <c r="D608" s="588"/>
      <c r="E608" s="588"/>
      <c r="F608" s="588"/>
      <c r="G608" s="588"/>
      <c r="H608" s="588"/>
      <c r="I608" s="588"/>
      <c r="J608" s="588"/>
      <c r="K608" s="588"/>
      <c r="L608" s="588"/>
      <c r="M608" s="589"/>
    </row>
    <row r="609" spans="2:13" ht="17.25" customHeight="1" x14ac:dyDescent="0.3">
      <c r="B609" s="95" t="s">
        <v>63</v>
      </c>
      <c r="C609" s="570" t="str">
        <f>C562</f>
        <v>Vessel name</v>
      </c>
      <c r="D609" s="570"/>
      <c r="E609" s="570"/>
      <c r="F609" s="96"/>
      <c r="G609" s="570"/>
      <c r="H609" s="570"/>
      <c r="I609" s="570"/>
      <c r="J609" s="96" t="s">
        <v>44</v>
      </c>
      <c r="K609" s="97"/>
      <c r="L609" s="582"/>
      <c r="M609" s="583"/>
    </row>
    <row r="610" spans="2:13" ht="36" customHeight="1" x14ac:dyDescent="0.3">
      <c r="B610" s="98"/>
      <c r="C610" s="96"/>
      <c r="D610" s="96"/>
      <c r="E610" s="99"/>
      <c r="F610" s="100"/>
      <c r="G610" s="100"/>
      <c r="H610" s="100"/>
      <c r="I610" s="96"/>
      <c r="J610" s="96"/>
      <c r="K610" s="97"/>
      <c r="L610" s="97"/>
      <c r="M610" s="101"/>
    </row>
    <row r="611" spans="2:13" ht="30" customHeight="1" x14ac:dyDescent="0.3">
      <c r="B611" s="95" t="s">
        <v>64</v>
      </c>
      <c r="C611" s="570"/>
      <c r="D611" s="570"/>
      <c r="E611" s="570"/>
      <c r="F611" s="570"/>
      <c r="G611" s="102"/>
      <c r="H611" s="96" t="s">
        <v>21</v>
      </c>
      <c r="I611" s="150"/>
      <c r="J611" s="136"/>
      <c r="K611" s="96"/>
      <c r="L611" s="582"/>
      <c r="M611" s="583"/>
    </row>
    <row r="612" spans="2:13" ht="30" customHeight="1" x14ac:dyDescent="0.3">
      <c r="B612" s="95"/>
      <c r="C612" s="96"/>
      <c r="D612" s="96"/>
      <c r="E612" s="96"/>
      <c r="F612" s="96"/>
      <c r="G612" s="96" t="s">
        <v>65</v>
      </c>
      <c r="H612" s="96"/>
      <c r="I612" s="96"/>
      <c r="J612" s="96"/>
      <c r="K612" s="96"/>
      <c r="L612" s="96"/>
      <c r="M612" s="101"/>
    </row>
    <row r="613" spans="2:13" ht="30" customHeight="1" x14ac:dyDescent="0.3">
      <c r="B613" s="95"/>
      <c r="C613" s="96"/>
      <c r="D613" s="96"/>
      <c r="E613" s="96"/>
      <c r="F613" s="96"/>
      <c r="G613" s="96" t="s">
        <v>44</v>
      </c>
      <c r="H613" s="96"/>
      <c r="I613" s="96"/>
      <c r="J613" s="96"/>
      <c r="K613" s="96"/>
      <c r="L613" s="96"/>
      <c r="M613" s="101"/>
    </row>
    <row r="614" spans="2:13" ht="30" customHeight="1" x14ac:dyDescent="0.3">
      <c r="B614" s="95"/>
      <c r="C614" s="96"/>
      <c r="D614" s="96"/>
      <c r="E614" s="96"/>
      <c r="F614" s="96"/>
      <c r="G614" s="103" t="s">
        <v>66</v>
      </c>
      <c r="H614" s="104"/>
      <c r="I614" s="103"/>
      <c r="J614" s="103"/>
      <c r="K614" s="96" t="s">
        <v>51</v>
      </c>
      <c r="L614" s="105">
        <f>'PB '!V21</f>
        <v>0</v>
      </c>
      <c r="M614" s="101"/>
    </row>
    <row r="615" spans="2:13" ht="30" customHeight="1" x14ac:dyDescent="0.3">
      <c r="B615" s="95"/>
      <c r="C615" s="96"/>
      <c r="D615" s="96"/>
      <c r="E615" s="96"/>
      <c r="F615" s="96"/>
      <c r="G615" s="96"/>
      <c r="H615" s="96"/>
      <c r="I615" s="96"/>
      <c r="J615" s="96"/>
      <c r="K615" s="96"/>
      <c r="L615" s="96"/>
      <c r="M615" s="101"/>
    </row>
    <row r="616" spans="2:13" ht="30" customHeight="1" x14ac:dyDescent="0.3">
      <c r="B616" s="590" t="s">
        <v>67</v>
      </c>
      <c r="C616" s="591"/>
      <c r="D616" s="592" t="s">
        <v>60</v>
      </c>
      <c r="E616" s="593"/>
      <c r="F616" s="579" t="s">
        <v>61</v>
      </c>
      <c r="G616" s="580"/>
      <c r="H616" s="106" t="s">
        <v>68</v>
      </c>
      <c r="I616" s="107" t="s">
        <v>69</v>
      </c>
      <c r="J616" s="106" t="s">
        <v>51</v>
      </c>
      <c r="K616" s="108"/>
      <c r="L616" s="108"/>
      <c r="M616" s="109"/>
    </row>
    <row r="617" spans="2:13" ht="30" customHeight="1" x14ac:dyDescent="0.3">
      <c r="B617" s="560" t="s">
        <v>70</v>
      </c>
      <c r="C617" s="581"/>
      <c r="D617" s="110">
        <f>'PB '!E21</f>
        <v>1</v>
      </c>
      <c r="E617" s="111">
        <v>45627</v>
      </c>
      <c r="F617" s="112">
        <v>30</v>
      </c>
      <c r="G617" s="111">
        <f>E617</f>
        <v>45627</v>
      </c>
      <c r="H617" s="113">
        <f>+'PB '!G21</f>
        <v>30</v>
      </c>
      <c r="I617" s="114"/>
      <c r="J617" s="115">
        <f>I617*H617/30</f>
        <v>0</v>
      </c>
      <c r="K617" s="96"/>
      <c r="L617" s="96"/>
      <c r="M617" s="101"/>
    </row>
    <row r="618" spans="2:13" ht="30" customHeight="1" x14ac:dyDescent="0.3">
      <c r="B618" s="560" t="s">
        <v>71</v>
      </c>
      <c r="C618" s="581"/>
      <c r="D618" s="110">
        <f>D617</f>
        <v>1</v>
      </c>
      <c r="E618" s="111">
        <f>E617</f>
        <v>45627</v>
      </c>
      <c r="F618" s="112">
        <v>30</v>
      </c>
      <c r="G618" s="111">
        <f>E617</f>
        <v>45627</v>
      </c>
      <c r="H618" s="113">
        <f>H617</f>
        <v>30</v>
      </c>
      <c r="I618" s="114"/>
      <c r="J618" s="115">
        <f>I618*H618/30</f>
        <v>0</v>
      </c>
      <c r="K618" s="96"/>
      <c r="L618" s="96"/>
      <c r="M618" s="101"/>
    </row>
    <row r="619" spans="2:13" ht="30" customHeight="1" x14ac:dyDescent="0.3">
      <c r="B619" s="557" t="s">
        <v>72</v>
      </c>
      <c r="C619" s="558"/>
      <c r="D619" s="110">
        <f>D617</f>
        <v>1</v>
      </c>
      <c r="E619" s="111">
        <f>E617</f>
        <v>45627</v>
      </c>
      <c r="F619" s="112">
        <v>30</v>
      </c>
      <c r="G619" s="111">
        <f>E617</f>
        <v>45627</v>
      </c>
      <c r="H619" s="113">
        <f>H617</f>
        <v>30</v>
      </c>
      <c r="I619" s="114"/>
      <c r="J619" s="115">
        <f>I619*H619/30</f>
        <v>0</v>
      </c>
      <c r="K619" s="96"/>
      <c r="L619" s="96"/>
      <c r="M619" s="101"/>
    </row>
    <row r="620" spans="2:13" ht="30" customHeight="1" x14ac:dyDescent="0.3">
      <c r="B620" s="557" t="s">
        <v>73</v>
      </c>
      <c r="C620" s="558"/>
      <c r="D620" s="110">
        <f>D617</f>
        <v>1</v>
      </c>
      <c r="E620" s="111">
        <f>E617</f>
        <v>45627</v>
      </c>
      <c r="F620" s="112">
        <v>30</v>
      </c>
      <c r="G620" s="111">
        <f>E617</f>
        <v>45627</v>
      </c>
      <c r="H620" s="113">
        <f>H617</f>
        <v>30</v>
      </c>
      <c r="I620" s="114"/>
      <c r="J620" s="115">
        <f>I620*H620/30</f>
        <v>0</v>
      </c>
      <c r="K620" s="96"/>
      <c r="L620" s="96"/>
      <c r="M620" s="101"/>
    </row>
    <row r="621" spans="2:13" ht="30" customHeight="1" x14ac:dyDescent="0.3">
      <c r="B621" s="562" t="s">
        <v>74</v>
      </c>
      <c r="C621" s="563"/>
      <c r="D621" s="110"/>
      <c r="E621" s="111"/>
      <c r="F621" s="112"/>
      <c r="G621" s="111"/>
      <c r="H621" s="118"/>
      <c r="I621" s="114"/>
      <c r="J621" s="115">
        <f>'PB '!L21</f>
        <v>0</v>
      </c>
      <c r="K621" s="96"/>
      <c r="L621" s="96"/>
      <c r="M621" s="101"/>
    </row>
    <row r="622" spans="2:13" ht="30" customHeight="1" x14ac:dyDescent="0.3">
      <c r="B622" s="564" t="str">
        <f>'PB '!M5</f>
        <v>HRA</v>
      </c>
      <c r="C622" s="561"/>
      <c r="D622" s="117"/>
      <c r="E622" s="111"/>
      <c r="F622" s="117"/>
      <c r="G622" s="111"/>
      <c r="H622" s="118"/>
      <c r="I622" s="114"/>
      <c r="J622" s="114">
        <f>'PB '!M21</f>
        <v>0</v>
      </c>
      <c r="K622" s="96"/>
      <c r="L622" s="96"/>
      <c r="M622" s="101"/>
    </row>
    <row r="623" spans="2:13" ht="30" customHeight="1" x14ac:dyDescent="0.3">
      <c r="B623" s="95"/>
      <c r="C623" s="96"/>
      <c r="D623" s="96"/>
      <c r="E623" s="96"/>
      <c r="F623" s="565" t="s">
        <v>76</v>
      </c>
      <c r="G623" s="565"/>
      <c r="H623" s="565"/>
      <c r="I623" s="566"/>
      <c r="J623" s="119">
        <f>SUM(J617:J622)</f>
        <v>0</v>
      </c>
      <c r="K623" s="120" t="s">
        <v>51</v>
      </c>
      <c r="L623" s="121">
        <f>J623</f>
        <v>0</v>
      </c>
      <c r="M623" s="101"/>
    </row>
    <row r="624" spans="2:13" ht="30" customHeight="1" thickBot="1" x14ac:dyDescent="0.35">
      <c r="B624" s="95"/>
      <c r="C624" s="96"/>
      <c r="D624" s="96"/>
      <c r="E624" s="96"/>
      <c r="F624" s="96"/>
      <c r="G624" s="96"/>
      <c r="H624" s="96"/>
      <c r="I624" s="96"/>
      <c r="J624" s="96"/>
      <c r="K624" s="96"/>
      <c r="L624" s="122">
        <f>L614+L623</f>
        <v>0</v>
      </c>
      <c r="M624" s="101"/>
    </row>
    <row r="625" spans="2:13" ht="30" customHeight="1" x14ac:dyDescent="0.3">
      <c r="B625" s="95"/>
      <c r="C625" s="96"/>
      <c r="D625" s="96"/>
      <c r="E625" s="96"/>
      <c r="F625" s="96"/>
      <c r="G625" s="96"/>
      <c r="H625" s="96"/>
      <c r="I625" s="96"/>
      <c r="J625" s="96"/>
      <c r="K625" s="96"/>
      <c r="L625" s="123"/>
      <c r="M625" s="101"/>
    </row>
    <row r="626" spans="2:13" ht="30" customHeight="1" x14ac:dyDescent="0.3">
      <c r="B626" s="95"/>
      <c r="C626" s="96"/>
      <c r="D626" s="96"/>
      <c r="E626" s="96"/>
      <c r="F626" s="96"/>
      <c r="G626" s="96"/>
      <c r="H626" s="96"/>
      <c r="I626" s="96"/>
      <c r="J626" s="96"/>
      <c r="K626" s="96"/>
      <c r="L626" s="123"/>
      <c r="M626" s="101"/>
    </row>
    <row r="627" spans="2:13" ht="30" customHeight="1" x14ac:dyDescent="0.3">
      <c r="B627" s="557" t="s">
        <v>77</v>
      </c>
      <c r="C627" s="558"/>
      <c r="D627" s="558"/>
      <c r="E627" s="558"/>
      <c r="F627" s="558"/>
      <c r="G627" s="558"/>
      <c r="H627" s="558"/>
      <c r="I627" s="559"/>
      <c r="J627" s="124"/>
      <c r="K627" s="96"/>
      <c r="L627" s="123"/>
      <c r="M627" s="101"/>
    </row>
    <row r="628" spans="2:13" ht="30" customHeight="1" x14ac:dyDescent="0.3">
      <c r="B628" s="560" t="s">
        <v>78</v>
      </c>
      <c r="C628" s="561"/>
      <c r="D628" s="561"/>
      <c r="E628" s="561"/>
      <c r="F628" s="561"/>
      <c r="G628" s="561"/>
      <c r="H628" s="561"/>
      <c r="I628" s="561"/>
      <c r="J628" s="114">
        <f>'PB '!Q21</f>
        <v>0</v>
      </c>
      <c r="K628" s="96"/>
      <c r="L628" s="123"/>
      <c r="M628" s="101"/>
    </row>
    <row r="629" spans="2:13" ht="30" customHeight="1" x14ac:dyDescent="0.3">
      <c r="B629" s="560" t="s">
        <v>79</v>
      </c>
      <c r="C629" s="561"/>
      <c r="D629" s="561"/>
      <c r="E629" s="561"/>
      <c r="F629" s="561"/>
      <c r="G629" s="561"/>
      <c r="H629" s="561"/>
      <c r="I629" s="561"/>
      <c r="J629" s="114">
        <f>'PB '!R21</f>
        <v>1566.6</v>
      </c>
      <c r="K629" s="96"/>
      <c r="L629" s="123"/>
      <c r="M629" s="101"/>
    </row>
    <row r="630" spans="2:13" ht="30" customHeight="1" x14ac:dyDescent="0.3">
      <c r="B630" s="560" t="s">
        <v>80</v>
      </c>
      <c r="C630" s="561"/>
      <c r="D630" s="561"/>
      <c r="E630" s="561"/>
      <c r="F630" s="561"/>
      <c r="G630" s="561"/>
      <c r="H630" s="561"/>
      <c r="I630" s="561"/>
      <c r="J630" s="114">
        <f>'PB '!S21</f>
        <v>0</v>
      </c>
      <c r="K630" s="96"/>
      <c r="L630" s="123"/>
      <c r="M630" s="101"/>
    </row>
    <row r="631" spans="2:13" ht="30" customHeight="1" x14ac:dyDescent="0.3">
      <c r="B631" s="560" t="s">
        <v>81</v>
      </c>
      <c r="C631" s="561"/>
      <c r="D631" s="561"/>
      <c r="E631" s="561"/>
      <c r="F631" s="561"/>
      <c r="G631" s="561"/>
      <c r="H631" s="561"/>
      <c r="I631" s="561"/>
      <c r="J631" s="114">
        <v>0</v>
      </c>
      <c r="K631" s="96"/>
      <c r="L631" s="123"/>
      <c r="M631" s="101"/>
    </row>
    <row r="632" spans="2:13" ht="30" customHeight="1" x14ac:dyDescent="0.3">
      <c r="B632" s="557" t="s">
        <v>82</v>
      </c>
      <c r="C632" s="558"/>
      <c r="D632" s="558"/>
      <c r="E632" s="558"/>
      <c r="F632" s="558"/>
      <c r="G632" s="558"/>
      <c r="H632" s="558"/>
      <c r="I632" s="559"/>
      <c r="J632" s="114">
        <f>'PB '!T21</f>
        <v>0</v>
      </c>
      <c r="K632" s="96"/>
      <c r="L632" s="123"/>
      <c r="M632" s="101"/>
    </row>
    <row r="633" spans="2:13" ht="30" customHeight="1" thickBot="1" x14ac:dyDescent="0.35">
      <c r="B633" s="560" t="s">
        <v>119</v>
      </c>
      <c r="C633" s="561"/>
      <c r="D633" s="561"/>
      <c r="E633" s="561"/>
      <c r="F633" s="561"/>
      <c r="G633" s="561"/>
      <c r="H633" s="561"/>
      <c r="I633" s="561"/>
      <c r="J633" s="114">
        <v>0</v>
      </c>
      <c r="K633" s="96"/>
      <c r="L633" s="123"/>
      <c r="M633" s="101"/>
    </row>
    <row r="634" spans="2:13" ht="30" customHeight="1" thickBot="1" x14ac:dyDescent="0.35">
      <c r="B634" s="95"/>
      <c r="C634" s="96"/>
      <c r="D634" s="96"/>
      <c r="E634" s="96"/>
      <c r="F634" s="573" t="s">
        <v>83</v>
      </c>
      <c r="G634" s="574"/>
      <c r="H634" s="574"/>
      <c r="I634" s="575"/>
      <c r="J634" s="114">
        <f>SUM(J628:J633)</f>
        <v>1566.6</v>
      </c>
      <c r="K634" s="96" t="s">
        <v>51</v>
      </c>
      <c r="L634" s="125">
        <f>J634</f>
        <v>1566.6</v>
      </c>
      <c r="M634" s="101"/>
    </row>
    <row r="635" spans="2:13" ht="30" customHeight="1" x14ac:dyDescent="0.3">
      <c r="B635" s="95"/>
      <c r="C635" s="96"/>
      <c r="D635" s="96"/>
      <c r="E635" s="96"/>
      <c r="F635" s="96"/>
      <c r="G635" s="96"/>
      <c r="H635" s="96"/>
      <c r="I635" s="96"/>
      <c r="J635" s="96"/>
      <c r="K635" s="96"/>
      <c r="L635" s="123"/>
      <c r="M635" s="101"/>
    </row>
    <row r="636" spans="2:13" ht="30" customHeight="1" x14ac:dyDescent="0.3">
      <c r="B636" s="95"/>
      <c r="C636" s="96"/>
      <c r="D636" s="96"/>
      <c r="E636" s="96"/>
      <c r="F636" s="96"/>
      <c r="G636" s="96"/>
      <c r="H636" s="96"/>
      <c r="I636" s="96"/>
      <c r="J636" s="96"/>
      <c r="K636" s="96"/>
      <c r="L636" s="123"/>
      <c r="M636" s="101"/>
    </row>
    <row r="637" spans="2:13" ht="30" customHeight="1" thickBot="1" x14ac:dyDescent="0.35">
      <c r="B637" s="95"/>
      <c r="C637" s="96"/>
      <c r="D637" s="96"/>
      <c r="E637" s="96"/>
      <c r="F637" s="112" t="s">
        <v>84</v>
      </c>
      <c r="G637" s="112"/>
      <c r="H637" s="112"/>
      <c r="I637" s="112"/>
      <c r="J637" s="112"/>
      <c r="K637" s="96" t="s">
        <v>51</v>
      </c>
      <c r="L637" s="126">
        <f>L624-L634</f>
        <v>-1566.6</v>
      </c>
      <c r="M637" s="101"/>
    </row>
    <row r="638" spans="2:13" ht="30" customHeight="1" x14ac:dyDescent="0.3">
      <c r="B638" s="127"/>
      <c r="C638" s="96"/>
      <c r="D638" s="96"/>
      <c r="E638" s="96"/>
      <c r="F638" s="96"/>
      <c r="G638" s="96"/>
      <c r="H638" s="96"/>
      <c r="I638" s="96" t="s">
        <v>44</v>
      </c>
      <c r="J638" s="96" t="s">
        <v>44</v>
      </c>
      <c r="K638" s="96" t="s">
        <v>44</v>
      </c>
      <c r="L638" s="123" t="s">
        <v>44</v>
      </c>
      <c r="M638" s="101"/>
    </row>
    <row r="639" spans="2:13" ht="30" customHeight="1" x14ac:dyDescent="0.3">
      <c r="B639" s="127"/>
      <c r="C639" s="96"/>
      <c r="D639" s="96"/>
      <c r="E639" s="96"/>
      <c r="F639" s="96"/>
      <c r="G639" s="96"/>
      <c r="H639" s="96"/>
      <c r="I639" s="96"/>
      <c r="J639" s="96"/>
      <c r="K639" s="96"/>
      <c r="L639" s="123"/>
      <c r="M639" s="101"/>
    </row>
    <row r="640" spans="2:13" ht="30" customHeight="1" x14ac:dyDescent="0.3">
      <c r="B640" s="127"/>
      <c r="C640" s="96"/>
      <c r="D640" s="96"/>
      <c r="E640" s="96"/>
      <c r="F640" s="96"/>
      <c r="G640" s="96"/>
      <c r="H640" s="96"/>
      <c r="I640" s="96"/>
      <c r="J640" s="96"/>
      <c r="K640" s="96"/>
      <c r="L640" s="123"/>
      <c r="M640" s="101"/>
    </row>
    <row r="641" spans="2:15" ht="30" customHeight="1" x14ac:dyDescent="0.25">
      <c r="B641" s="576" t="s">
        <v>85</v>
      </c>
      <c r="C641" s="577"/>
      <c r="D641" s="577"/>
      <c r="E641" s="577"/>
      <c r="F641" s="577"/>
      <c r="G641" s="577"/>
      <c r="H641" s="577"/>
      <c r="I641" s="577"/>
      <c r="J641" s="577"/>
      <c r="K641" s="577"/>
      <c r="L641" s="577"/>
      <c r="M641" s="578"/>
    </row>
    <row r="642" spans="2:15" ht="30" customHeight="1" x14ac:dyDescent="0.25">
      <c r="B642" s="576" t="s">
        <v>86</v>
      </c>
      <c r="C642" s="577"/>
      <c r="D642" s="577"/>
      <c r="E642" s="577"/>
      <c r="F642" s="577"/>
      <c r="G642" s="577"/>
      <c r="H642" s="577"/>
      <c r="I642" s="577"/>
      <c r="J642" s="577"/>
      <c r="K642" s="577"/>
      <c r="L642" s="577"/>
      <c r="M642" s="578"/>
    </row>
    <row r="643" spans="2:15" ht="30" customHeight="1" x14ac:dyDescent="0.3">
      <c r="B643" s="95"/>
      <c r="C643" s="96"/>
      <c r="D643" s="96"/>
      <c r="E643" s="96"/>
      <c r="F643" s="96"/>
      <c r="G643" s="96"/>
      <c r="H643" s="96"/>
      <c r="I643" s="96"/>
      <c r="J643" s="96"/>
      <c r="K643" s="96"/>
      <c r="L643" s="96"/>
      <c r="M643" s="101"/>
    </row>
    <row r="644" spans="2:15" ht="30" customHeight="1" x14ac:dyDescent="0.3">
      <c r="B644" s="95"/>
      <c r="C644" s="96"/>
      <c r="D644" s="96"/>
      <c r="E644" s="96"/>
      <c r="F644" s="96"/>
      <c r="G644" s="96"/>
      <c r="H644" s="96"/>
      <c r="I644" s="96"/>
      <c r="J644" s="96"/>
      <c r="K644" s="96"/>
      <c r="L644" s="96"/>
      <c r="M644" s="101"/>
    </row>
    <row r="645" spans="2:15" ht="30" customHeight="1" x14ac:dyDescent="0.3">
      <c r="B645" s="567"/>
      <c r="C645" s="568"/>
      <c r="D645" s="568"/>
      <c r="E645" s="96"/>
      <c r="F645" s="96"/>
      <c r="G645" s="96"/>
      <c r="H645" s="96"/>
      <c r="I645" s="96"/>
      <c r="J645" s="568"/>
      <c r="K645" s="568"/>
      <c r="L645" s="568"/>
      <c r="M645" s="101"/>
    </row>
    <row r="646" spans="2:15" ht="30" customHeight="1" x14ac:dyDescent="0.3">
      <c r="B646" s="569" t="s">
        <v>87</v>
      </c>
      <c r="C646" s="570"/>
      <c r="D646" s="570"/>
      <c r="E646" s="96"/>
      <c r="F646" s="96"/>
      <c r="G646" s="96"/>
      <c r="H646" s="96"/>
      <c r="I646" s="128" t="s">
        <v>88</v>
      </c>
      <c r="J646" s="128"/>
      <c r="K646" s="128"/>
      <c r="L646" s="102"/>
      <c r="M646" s="101"/>
    </row>
    <row r="647" spans="2:15" ht="39.75" customHeight="1" x14ac:dyDescent="0.3">
      <c r="B647" s="95" t="s">
        <v>44</v>
      </c>
      <c r="C647" s="96"/>
      <c r="D647" s="96"/>
      <c r="E647" s="96"/>
      <c r="F647" s="96"/>
      <c r="G647" s="96"/>
      <c r="H647" s="96"/>
      <c r="I647" s="96"/>
      <c r="J647" s="570"/>
      <c r="K647" s="570"/>
      <c r="L647" s="570"/>
      <c r="M647" s="101"/>
    </row>
    <row r="648" spans="2:15" ht="30" customHeight="1" x14ac:dyDescent="0.3">
      <c r="B648" s="95" t="s">
        <v>64</v>
      </c>
      <c r="C648" s="570">
        <f>C611</f>
        <v>0</v>
      </c>
      <c r="D648" s="570"/>
      <c r="E648" s="570"/>
      <c r="F648" s="96"/>
      <c r="G648" s="96"/>
      <c r="H648" s="96"/>
      <c r="I648" s="99" t="s">
        <v>104</v>
      </c>
      <c r="J648" s="571">
        <f>+'PB '!C7</f>
        <v>0</v>
      </c>
      <c r="K648" s="571"/>
      <c r="L648" s="571"/>
      <c r="M648" s="572"/>
    </row>
    <row r="649" spans="2:15" ht="30" customHeight="1" thickBot="1" x14ac:dyDescent="0.35">
      <c r="B649" s="129"/>
      <c r="C649" s="130"/>
      <c r="D649" s="130"/>
      <c r="E649" s="130"/>
      <c r="F649" s="130"/>
      <c r="G649" s="130"/>
      <c r="H649" s="130"/>
      <c r="I649" s="130"/>
      <c r="J649" s="131"/>
      <c r="K649" s="132"/>
      <c r="L649" s="132"/>
      <c r="M649" s="133"/>
    </row>
    <row r="650" spans="2:15" ht="30" customHeight="1" x14ac:dyDescent="0.35">
      <c r="B650" s="135"/>
      <c r="C650" s="135"/>
      <c r="D650" s="135"/>
      <c r="E650" s="135"/>
      <c r="F650" s="135"/>
      <c r="G650" s="135"/>
      <c r="H650" s="135"/>
      <c r="I650" s="135"/>
      <c r="J650" s="135"/>
      <c r="K650" s="135"/>
      <c r="L650" s="135"/>
      <c r="M650" s="135"/>
    </row>
    <row r="651" spans="2:15" ht="30" customHeight="1" x14ac:dyDescent="0.35">
      <c r="B651" s="135"/>
      <c r="C651" s="135"/>
      <c r="D651" s="135"/>
      <c r="E651" s="135"/>
      <c r="F651" s="135"/>
      <c r="G651" s="135"/>
      <c r="H651" s="135"/>
      <c r="I651" s="135"/>
      <c r="J651" s="135"/>
      <c r="K651" s="135"/>
      <c r="L651" s="135"/>
      <c r="M651" s="135"/>
    </row>
    <row r="652" spans="2:15" ht="30" customHeight="1" thickBot="1" x14ac:dyDescent="0.4">
      <c r="B652" s="135"/>
      <c r="C652" s="135"/>
      <c r="D652" s="135"/>
      <c r="E652" s="135"/>
      <c r="F652" s="135"/>
      <c r="G652" s="135"/>
      <c r="H652" s="135"/>
      <c r="I652" s="135"/>
      <c r="J652" s="135"/>
      <c r="K652" s="135"/>
      <c r="L652" s="135"/>
      <c r="M652" s="135"/>
    </row>
    <row r="653" spans="2:15" ht="30" customHeight="1" x14ac:dyDescent="0.3">
      <c r="B653" s="584"/>
      <c r="C653" s="585"/>
      <c r="D653" s="585"/>
      <c r="E653" s="585"/>
      <c r="F653" s="585"/>
      <c r="G653" s="585"/>
      <c r="H653" s="585"/>
      <c r="I653" s="585"/>
      <c r="J653" s="585"/>
      <c r="K653" s="585"/>
      <c r="L653" s="585"/>
      <c r="M653" s="586"/>
    </row>
    <row r="654" spans="2:15" ht="30" customHeight="1" x14ac:dyDescent="0.3">
      <c r="B654" s="587" t="s">
        <v>62</v>
      </c>
      <c r="C654" s="588"/>
      <c r="D654" s="588"/>
      <c r="E654" s="588"/>
      <c r="F654" s="588"/>
      <c r="G654" s="588"/>
      <c r="H654" s="588"/>
      <c r="I654" s="588"/>
      <c r="J654" s="588"/>
      <c r="K654" s="588"/>
      <c r="L654" s="588"/>
      <c r="M654" s="589"/>
      <c r="O654">
        <v>17</v>
      </c>
    </row>
    <row r="655" spans="2:15" ht="30" customHeight="1" x14ac:dyDescent="0.3">
      <c r="B655" s="95" t="s">
        <v>63</v>
      </c>
      <c r="C655" s="570" t="str">
        <f>C609</f>
        <v>Vessel name</v>
      </c>
      <c r="D655" s="570"/>
      <c r="E655" s="570"/>
      <c r="F655" s="96"/>
      <c r="G655" s="570"/>
      <c r="H655" s="570"/>
      <c r="I655" s="570"/>
      <c r="J655" s="96" t="s">
        <v>44</v>
      </c>
      <c r="K655" s="97"/>
      <c r="L655" s="582"/>
      <c r="M655" s="583"/>
    </row>
    <row r="656" spans="2:15" ht="30" customHeight="1" x14ac:dyDescent="0.3">
      <c r="B656" s="98"/>
      <c r="C656" s="96"/>
      <c r="D656" s="96"/>
      <c r="E656" s="99"/>
      <c r="F656" s="100"/>
      <c r="G656" s="100"/>
      <c r="H656" s="100"/>
      <c r="I656" s="96"/>
      <c r="J656" s="96"/>
      <c r="K656" s="97"/>
      <c r="L656" s="97"/>
      <c r="M656" s="101"/>
    </row>
    <row r="657" spans="2:13" ht="42.75" customHeight="1" x14ac:dyDescent="0.3">
      <c r="B657" s="95" t="s">
        <v>64</v>
      </c>
      <c r="C657" s="602"/>
      <c r="D657" s="602"/>
      <c r="E657" s="602"/>
      <c r="F657" s="602"/>
      <c r="G657" s="102"/>
      <c r="H657" s="96" t="s">
        <v>21</v>
      </c>
      <c r="I657" s="150"/>
      <c r="J657" s="136"/>
      <c r="K657" s="96"/>
      <c r="L657" s="582"/>
      <c r="M657" s="583"/>
    </row>
    <row r="658" spans="2:13" ht="30" customHeight="1" x14ac:dyDescent="0.3">
      <c r="B658" s="95"/>
      <c r="C658" s="96"/>
      <c r="D658" s="96"/>
      <c r="E658" s="96"/>
      <c r="F658" s="96"/>
      <c r="G658" s="96" t="s">
        <v>65</v>
      </c>
      <c r="H658" s="96"/>
      <c r="I658" s="96"/>
      <c r="J658" s="96"/>
      <c r="K658" s="96"/>
      <c r="L658" s="96"/>
      <c r="M658" s="101"/>
    </row>
    <row r="659" spans="2:13" ht="30" customHeight="1" x14ac:dyDescent="0.3">
      <c r="B659" s="95"/>
      <c r="C659" s="96"/>
      <c r="D659" s="96"/>
      <c r="E659" s="96"/>
      <c r="F659" s="96"/>
      <c r="G659" s="96" t="s">
        <v>44</v>
      </c>
      <c r="H659" s="96"/>
      <c r="I659" s="96"/>
      <c r="J659" s="96"/>
      <c r="K659" s="96"/>
      <c r="L659" s="96"/>
      <c r="M659" s="101"/>
    </row>
    <row r="660" spans="2:13" ht="30" customHeight="1" x14ac:dyDescent="0.3">
      <c r="B660" s="95"/>
      <c r="C660" s="96"/>
      <c r="D660" s="96"/>
      <c r="E660" s="96"/>
      <c r="F660" s="96"/>
      <c r="G660" s="103" t="s">
        <v>66</v>
      </c>
      <c r="H660" s="104"/>
      <c r="I660" s="103"/>
      <c r="J660" s="103"/>
      <c r="K660" s="96" t="s">
        <v>51</v>
      </c>
      <c r="L660" s="105">
        <f>'PB '!V22</f>
        <v>0</v>
      </c>
      <c r="M660" s="101"/>
    </row>
    <row r="661" spans="2:13" ht="30" customHeight="1" x14ac:dyDescent="0.3">
      <c r="B661" s="95"/>
      <c r="C661" s="96"/>
      <c r="D661" s="96"/>
      <c r="E661" s="96"/>
      <c r="F661" s="96"/>
      <c r="G661" s="96"/>
      <c r="H661" s="96"/>
      <c r="I661" s="96"/>
      <c r="J661" s="96"/>
      <c r="K661" s="96"/>
      <c r="L661" s="96"/>
      <c r="M661" s="101"/>
    </row>
    <row r="662" spans="2:13" ht="30" customHeight="1" x14ac:dyDescent="0.3">
      <c r="B662" s="590" t="s">
        <v>67</v>
      </c>
      <c r="C662" s="591"/>
      <c r="D662" s="592" t="s">
        <v>60</v>
      </c>
      <c r="E662" s="593"/>
      <c r="F662" s="579" t="s">
        <v>61</v>
      </c>
      <c r="G662" s="580"/>
      <c r="H662" s="106" t="s">
        <v>68</v>
      </c>
      <c r="I662" s="107" t="s">
        <v>69</v>
      </c>
      <c r="J662" s="106" t="s">
        <v>51</v>
      </c>
      <c r="K662" s="108"/>
      <c r="L662" s="108"/>
      <c r="M662" s="109"/>
    </row>
    <row r="663" spans="2:13" ht="30" customHeight="1" x14ac:dyDescent="0.3">
      <c r="B663" s="560" t="s">
        <v>70</v>
      </c>
      <c r="C663" s="581"/>
      <c r="D663" s="110">
        <f>'PB '!E22</f>
        <v>1</v>
      </c>
      <c r="E663" s="111">
        <v>45627</v>
      </c>
      <c r="F663" s="112">
        <v>30</v>
      </c>
      <c r="G663" s="111">
        <f>E663</f>
        <v>45627</v>
      </c>
      <c r="H663" s="113">
        <f>+'PB '!G22</f>
        <v>30</v>
      </c>
      <c r="I663" s="114"/>
      <c r="J663" s="115">
        <f>I663*H663/30</f>
        <v>0</v>
      </c>
      <c r="K663" s="96"/>
      <c r="L663" s="96"/>
      <c r="M663" s="101"/>
    </row>
    <row r="664" spans="2:13" ht="30" customHeight="1" x14ac:dyDescent="0.3">
      <c r="B664" s="560" t="s">
        <v>71</v>
      </c>
      <c r="C664" s="581"/>
      <c r="D664" s="110">
        <f>D663</f>
        <v>1</v>
      </c>
      <c r="E664" s="111">
        <f>E663</f>
        <v>45627</v>
      </c>
      <c r="F664" s="112">
        <v>30</v>
      </c>
      <c r="G664" s="111">
        <f>E663</f>
        <v>45627</v>
      </c>
      <c r="H664" s="113">
        <f>H663</f>
        <v>30</v>
      </c>
      <c r="I664" s="114"/>
      <c r="J664" s="115">
        <f>I664*H664/30</f>
        <v>0</v>
      </c>
      <c r="K664" s="96"/>
      <c r="L664" s="96"/>
      <c r="M664" s="101"/>
    </row>
    <row r="665" spans="2:13" ht="30" customHeight="1" x14ac:dyDescent="0.3">
      <c r="B665" s="557" t="s">
        <v>72</v>
      </c>
      <c r="C665" s="558"/>
      <c r="D665" s="110">
        <f>D663</f>
        <v>1</v>
      </c>
      <c r="E665" s="111">
        <f>E663</f>
        <v>45627</v>
      </c>
      <c r="F665" s="112">
        <v>30</v>
      </c>
      <c r="G665" s="111">
        <f>E663</f>
        <v>45627</v>
      </c>
      <c r="H665" s="113">
        <f>H663</f>
        <v>30</v>
      </c>
      <c r="I665" s="114"/>
      <c r="J665" s="115">
        <f>I665*H665/30</f>
        <v>0</v>
      </c>
      <c r="K665" s="96"/>
      <c r="L665" s="96"/>
      <c r="M665" s="101"/>
    </row>
    <row r="666" spans="2:13" ht="30" customHeight="1" x14ac:dyDescent="0.3">
      <c r="B666" s="557" t="s">
        <v>73</v>
      </c>
      <c r="C666" s="558"/>
      <c r="D666" s="110">
        <f>D663</f>
        <v>1</v>
      </c>
      <c r="E666" s="111">
        <f>E663</f>
        <v>45627</v>
      </c>
      <c r="F666" s="112">
        <v>30</v>
      </c>
      <c r="G666" s="111">
        <f>E663</f>
        <v>45627</v>
      </c>
      <c r="H666" s="113">
        <f>H663</f>
        <v>30</v>
      </c>
      <c r="I666" s="114"/>
      <c r="J666" s="115">
        <f>I666*H666/30</f>
        <v>0</v>
      </c>
      <c r="K666" s="96"/>
      <c r="L666" s="96"/>
      <c r="M666" s="101"/>
    </row>
    <row r="667" spans="2:13" ht="30" customHeight="1" x14ac:dyDescent="0.3">
      <c r="B667" s="562" t="s">
        <v>74</v>
      </c>
      <c r="C667" s="563"/>
      <c r="D667" s="110"/>
      <c r="E667" s="111"/>
      <c r="F667" s="112"/>
      <c r="G667" s="111"/>
      <c r="H667" s="118"/>
      <c r="I667" s="114"/>
      <c r="J667" s="115">
        <f>'PB '!L22</f>
        <v>0</v>
      </c>
      <c r="K667" s="96"/>
      <c r="L667" s="96"/>
      <c r="M667" s="101"/>
    </row>
    <row r="668" spans="2:13" ht="30" customHeight="1" x14ac:dyDescent="0.3">
      <c r="B668" s="564" t="str">
        <f>'PB '!M5</f>
        <v>HRA</v>
      </c>
      <c r="C668" s="561"/>
      <c r="D668" s="117"/>
      <c r="E668" s="111"/>
      <c r="F668" s="117"/>
      <c r="G668" s="111"/>
      <c r="H668" s="118"/>
      <c r="I668" s="114">
        <v>0</v>
      </c>
      <c r="J668" s="115">
        <f>'PB '!M22</f>
        <v>0</v>
      </c>
      <c r="K668" s="96"/>
      <c r="L668" s="96"/>
      <c r="M668" s="101"/>
    </row>
    <row r="669" spans="2:13" ht="30" customHeight="1" x14ac:dyDescent="0.3">
      <c r="B669" s="95"/>
      <c r="C669" s="96"/>
      <c r="D669" s="96"/>
      <c r="E669" s="96"/>
      <c r="F669" s="565" t="s">
        <v>76</v>
      </c>
      <c r="G669" s="565"/>
      <c r="H669" s="565"/>
      <c r="I669" s="566"/>
      <c r="J669" s="119">
        <f>SUM(J663:J668)</f>
        <v>0</v>
      </c>
      <c r="K669" s="120" t="s">
        <v>51</v>
      </c>
      <c r="L669" s="121">
        <f>J669</f>
        <v>0</v>
      </c>
      <c r="M669" s="101"/>
    </row>
    <row r="670" spans="2:13" ht="30" customHeight="1" thickBot="1" x14ac:dyDescent="0.35">
      <c r="B670" s="95"/>
      <c r="C670" s="96"/>
      <c r="D670" s="96"/>
      <c r="E670" s="96"/>
      <c r="F670" s="96"/>
      <c r="G670" s="96"/>
      <c r="H670" s="96"/>
      <c r="I670" s="96"/>
      <c r="J670" s="96"/>
      <c r="K670" s="96"/>
      <c r="L670" s="122">
        <f>L660+L669</f>
        <v>0</v>
      </c>
      <c r="M670" s="101"/>
    </row>
    <row r="671" spans="2:13" ht="30" customHeight="1" x14ac:dyDescent="0.3">
      <c r="B671" s="95"/>
      <c r="C671" s="96"/>
      <c r="D671" s="96"/>
      <c r="E671" s="96"/>
      <c r="F671" s="96"/>
      <c r="G671" s="96"/>
      <c r="H671" s="96"/>
      <c r="I671" s="96"/>
      <c r="J671" s="96"/>
      <c r="K671" s="96"/>
      <c r="L671" s="123"/>
      <c r="M671" s="101"/>
    </row>
    <row r="672" spans="2:13" ht="30" customHeight="1" x14ac:dyDescent="0.3">
      <c r="B672" s="95"/>
      <c r="C672" s="96"/>
      <c r="D672" s="96"/>
      <c r="E672" s="96"/>
      <c r="F672" s="96"/>
      <c r="G672" s="96"/>
      <c r="H672" s="96"/>
      <c r="I672" s="96"/>
      <c r="J672" s="96"/>
      <c r="K672" s="96"/>
      <c r="L672" s="123"/>
      <c r="M672" s="101"/>
    </row>
    <row r="673" spans="2:13" ht="30" customHeight="1" x14ac:dyDescent="0.3">
      <c r="B673" s="557" t="s">
        <v>77</v>
      </c>
      <c r="C673" s="558"/>
      <c r="D673" s="558"/>
      <c r="E673" s="558"/>
      <c r="F673" s="558"/>
      <c r="G673" s="558"/>
      <c r="H673" s="558"/>
      <c r="I673" s="559"/>
      <c r="J673" s="124"/>
      <c r="K673" s="96"/>
      <c r="L673" s="123"/>
      <c r="M673" s="101"/>
    </row>
    <row r="674" spans="2:13" ht="30" customHeight="1" x14ac:dyDescent="0.3">
      <c r="B674" s="560" t="s">
        <v>78</v>
      </c>
      <c r="C674" s="561"/>
      <c r="D674" s="561"/>
      <c r="E674" s="561"/>
      <c r="F674" s="561"/>
      <c r="G674" s="561"/>
      <c r="H674" s="561"/>
      <c r="I674" s="561"/>
      <c r="J674" s="114">
        <f>'PB '!Q22</f>
        <v>0</v>
      </c>
      <c r="K674" s="96"/>
      <c r="L674" s="123"/>
      <c r="M674" s="101"/>
    </row>
    <row r="675" spans="2:13" ht="30" customHeight="1" x14ac:dyDescent="0.3">
      <c r="B675" s="560" t="s">
        <v>79</v>
      </c>
      <c r="C675" s="561"/>
      <c r="D675" s="561"/>
      <c r="E675" s="561"/>
      <c r="F675" s="561"/>
      <c r="G675" s="561"/>
      <c r="H675" s="561"/>
      <c r="I675" s="561"/>
      <c r="J675" s="114">
        <f>'PB '!R22</f>
        <v>1466.6</v>
      </c>
      <c r="K675" s="96"/>
      <c r="L675" s="123"/>
      <c r="M675" s="101"/>
    </row>
    <row r="676" spans="2:13" ht="30" customHeight="1" x14ac:dyDescent="0.3">
      <c r="B676" s="560" t="s">
        <v>80</v>
      </c>
      <c r="C676" s="561"/>
      <c r="D676" s="561"/>
      <c r="E676" s="561"/>
      <c r="F676" s="561"/>
      <c r="G676" s="561"/>
      <c r="H676" s="561"/>
      <c r="I676" s="561"/>
      <c r="J676" s="114">
        <f>'PB '!S22</f>
        <v>0</v>
      </c>
      <c r="K676" s="96"/>
      <c r="L676" s="123"/>
      <c r="M676" s="101"/>
    </row>
    <row r="677" spans="2:13" ht="30" customHeight="1" x14ac:dyDescent="0.3">
      <c r="B677" s="560" t="s">
        <v>81</v>
      </c>
      <c r="C677" s="561"/>
      <c r="D677" s="561"/>
      <c r="E677" s="561"/>
      <c r="F677" s="561"/>
      <c r="G677" s="561"/>
      <c r="H677" s="561"/>
      <c r="I677" s="561"/>
      <c r="J677" s="114">
        <v>0</v>
      </c>
      <c r="K677" s="96"/>
      <c r="L677" s="123"/>
      <c r="M677" s="101"/>
    </row>
    <row r="678" spans="2:13" ht="30" customHeight="1" x14ac:dyDescent="0.3">
      <c r="B678" s="557" t="s">
        <v>107</v>
      </c>
      <c r="C678" s="558"/>
      <c r="D678" s="558"/>
      <c r="E678" s="558"/>
      <c r="F678" s="558"/>
      <c r="G678" s="558"/>
      <c r="H678" s="558"/>
      <c r="I678" s="559"/>
      <c r="J678" s="114">
        <f>'PB '!T22</f>
        <v>0</v>
      </c>
      <c r="K678" s="96"/>
      <c r="L678" s="123"/>
      <c r="M678" s="101"/>
    </row>
    <row r="679" spans="2:13" ht="30" customHeight="1" thickBot="1" x14ac:dyDescent="0.35">
      <c r="B679" s="560" t="s">
        <v>119</v>
      </c>
      <c r="C679" s="561"/>
      <c r="D679" s="561"/>
      <c r="E679" s="561"/>
      <c r="F679" s="561"/>
      <c r="G679" s="561"/>
      <c r="H679" s="561"/>
      <c r="I679" s="561"/>
      <c r="J679" s="114">
        <v>0</v>
      </c>
      <c r="K679" s="96"/>
      <c r="L679" s="123"/>
      <c r="M679" s="101"/>
    </row>
    <row r="680" spans="2:13" ht="30" customHeight="1" thickBot="1" x14ac:dyDescent="0.35">
      <c r="B680" s="95"/>
      <c r="C680" s="96"/>
      <c r="D680" s="96"/>
      <c r="E680" s="96"/>
      <c r="F680" s="573" t="s">
        <v>83</v>
      </c>
      <c r="G680" s="574"/>
      <c r="H680" s="574"/>
      <c r="I680" s="575"/>
      <c r="J680" s="114">
        <f>SUM(J674:J679)</f>
        <v>1466.6</v>
      </c>
      <c r="K680" s="96" t="s">
        <v>51</v>
      </c>
      <c r="L680" s="125">
        <f>J680</f>
        <v>1466.6</v>
      </c>
      <c r="M680" s="101"/>
    </row>
    <row r="681" spans="2:13" ht="30" customHeight="1" x14ac:dyDescent="0.3">
      <c r="B681" s="95"/>
      <c r="C681" s="96"/>
      <c r="D681" s="96"/>
      <c r="E681" s="96"/>
      <c r="F681" s="96"/>
      <c r="G681" s="96"/>
      <c r="H681" s="96"/>
      <c r="I681" s="96"/>
      <c r="J681" s="96"/>
      <c r="K681" s="96"/>
      <c r="L681" s="123"/>
      <c r="M681" s="101"/>
    </row>
    <row r="682" spans="2:13" ht="30" customHeight="1" x14ac:dyDescent="0.3">
      <c r="B682" s="95"/>
      <c r="C682" s="96"/>
      <c r="D682" s="96"/>
      <c r="E682" s="96"/>
      <c r="F682" s="96"/>
      <c r="G682" s="96"/>
      <c r="H682" s="96"/>
      <c r="I682" s="96"/>
      <c r="J682" s="96"/>
      <c r="K682" s="96"/>
      <c r="L682" s="123"/>
      <c r="M682" s="101"/>
    </row>
    <row r="683" spans="2:13" ht="30" customHeight="1" thickBot="1" x14ac:dyDescent="0.35">
      <c r="B683" s="95"/>
      <c r="C683" s="96"/>
      <c r="D683" s="96"/>
      <c r="E683" s="96"/>
      <c r="F683" s="112" t="s">
        <v>84</v>
      </c>
      <c r="G683" s="112"/>
      <c r="H683" s="112"/>
      <c r="I683" s="112"/>
      <c r="J683" s="112"/>
      <c r="K683" s="96" t="s">
        <v>51</v>
      </c>
      <c r="L683" s="126">
        <f>L670-L680</f>
        <v>-1466.6</v>
      </c>
      <c r="M683" s="101"/>
    </row>
    <row r="684" spans="2:13" ht="30" customHeight="1" x14ac:dyDescent="0.3">
      <c r="B684" s="127"/>
      <c r="C684" s="96"/>
      <c r="D684" s="96"/>
      <c r="E684" s="96"/>
      <c r="F684" s="96"/>
      <c r="G684" s="96"/>
      <c r="H684" s="96"/>
      <c r="I684" s="96" t="s">
        <v>44</v>
      </c>
      <c r="J684" s="96" t="s">
        <v>44</v>
      </c>
      <c r="K684" s="96" t="s">
        <v>44</v>
      </c>
      <c r="L684" s="123" t="s">
        <v>44</v>
      </c>
      <c r="M684" s="101"/>
    </row>
    <row r="685" spans="2:13" ht="30" customHeight="1" x14ac:dyDescent="0.3">
      <c r="B685" s="127"/>
      <c r="C685" s="96"/>
      <c r="D685" s="96"/>
      <c r="E685" s="96"/>
      <c r="F685" s="96"/>
      <c r="G685" s="96"/>
      <c r="H685" s="96"/>
      <c r="I685" s="96"/>
      <c r="J685" s="96"/>
      <c r="K685" s="96"/>
      <c r="L685" s="123"/>
      <c r="M685" s="101"/>
    </row>
    <row r="686" spans="2:13" ht="30" customHeight="1" x14ac:dyDescent="0.3">
      <c r="B686" s="127"/>
      <c r="C686" s="96"/>
      <c r="D686" s="96"/>
      <c r="E686" s="96"/>
      <c r="F686" s="96"/>
      <c r="G686" s="96"/>
      <c r="H686" s="96"/>
      <c r="I686" s="96"/>
      <c r="J686" s="96"/>
      <c r="K686" s="96"/>
      <c r="L686" s="123"/>
      <c r="M686" s="101"/>
    </row>
    <row r="687" spans="2:13" ht="30" customHeight="1" x14ac:dyDescent="0.25">
      <c r="B687" s="576" t="s">
        <v>85</v>
      </c>
      <c r="C687" s="577"/>
      <c r="D687" s="577"/>
      <c r="E687" s="577"/>
      <c r="F687" s="577"/>
      <c r="G687" s="577"/>
      <c r="H687" s="577"/>
      <c r="I687" s="577"/>
      <c r="J687" s="577"/>
      <c r="K687" s="577"/>
      <c r="L687" s="577"/>
      <c r="M687" s="578"/>
    </row>
    <row r="688" spans="2:13" ht="30" customHeight="1" x14ac:dyDescent="0.25">
      <c r="B688" s="576" t="s">
        <v>86</v>
      </c>
      <c r="C688" s="577"/>
      <c r="D688" s="577"/>
      <c r="E688" s="577"/>
      <c r="F688" s="577"/>
      <c r="G688" s="577"/>
      <c r="H688" s="577"/>
      <c r="I688" s="577"/>
      <c r="J688" s="577"/>
      <c r="K688" s="577"/>
      <c r="L688" s="577"/>
      <c r="M688" s="578"/>
    </row>
    <row r="689" spans="2:13" ht="30" customHeight="1" x14ac:dyDescent="0.3">
      <c r="B689" s="95"/>
      <c r="C689" s="96"/>
      <c r="D689" s="96"/>
      <c r="E689" s="96"/>
      <c r="F689" s="96"/>
      <c r="G689" s="96"/>
      <c r="H689" s="96"/>
      <c r="I689" s="96"/>
      <c r="J689" s="96"/>
      <c r="K689" s="96"/>
      <c r="L689" s="96"/>
      <c r="M689" s="101"/>
    </row>
    <row r="690" spans="2:13" ht="30" customHeight="1" x14ac:dyDescent="0.3">
      <c r="B690" s="95"/>
      <c r="C690" s="96"/>
      <c r="D690" s="96"/>
      <c r="E690" s="96"/>
      <c r="F690" s="96"/>
      <c r="G690" s="96"/>
      <c r="H690" s="96"/>
      <c r="I690" s="96"/>
      <c r="J690" s="96"/>
      <c r="K690" s="96"/>
      <c r="L690" s="96"/>
      <c r="M690" s="101"/>
    </row>
    <row r="691" spans="2:13" ht="30" customHeight="1" x14ac:dyDescent="0.3">
      <c r="B691" s="567"/>
      <c r="C691" s="568"/>
      <c r="D691" s="568"/>
      <c r="E691" s="96"/>
      <c r="F691" s="96"/>
      <c r="G691" s="96"/>
      <c r="H691" s="96"/>
      <c r="I691" s="96"/>
      <c r="J691" s="568"/>
      <c r="K691" s="568"/>
      <c r="L691" s="568"/>
      <c r="M691" s="101"/>
    </row>
    <row r="692" spans="2:13" ht="30" customHeight="1" x14ac:dyDescent="0.3">
      <c r="B692" s="569" t="s">
        <v>87</v>
      </c>
      <c r="C692" s="570"/>
      <c r="D692" s="570"/>
      <c r="E692" s="96"/>
      <c r="F692" s="96"/>
      <c r="G692" s="96"/>
      <c r="H692" s="96"/>
      <c r="I692" s="128" t="s">
        <v>88</v>
      </c>
      <c r="J692" s="128"/>
      <c r="K692" s="128"/>
      <c r="L692" s="102"/>
      <c r="M692" s="101"/>
    </row>
    <row r="693" spans="2:13" ht="30" customHeight="1" x14ac:dyDescent="0.3">
      <c r="B693" s="95" t="s">
        <v>44</v>
      </c>
      <c r="C693" s="96"/>
      <c r="D693" s="96"/>
      <c r="E693" s="96"/>
      <c r="F693" s="96"/>
      <c r="G693" s="96"/>
      <c r="H693" s="96"/>
      <c r="I693" s="96"/>
      <c r="J693" s="570"/>
      <c r="K693" s="570"/>
      <c r="L693" s="570"/>
      <c r="M693" s="101"/>
    </row>
    <row r="694" spans="2:13" ht="37.5" customHeight="1" x14ac:dyDescent="0.3">
      <c r="B694" s="95" t="s">
        <v>64</v>
      </c>
      <c r="C694" s="602">
        <f>C657</f>
        <v>0</v>
      </c>
      <c r="D694" s="602"/>
      <c r="E694" s="602"/>
      <c r="F694" s="602"/>
      <c r="G694" s="96"/>
      <c r="H694" s="96"/>
      <c r="I694" s="99" t="s">
        <v>104</v>
      </c>
      <c r="J694" s="571">
        <f>+'PB '!C7</f>
        <v>0</v>
      </c>
      <c r="K694" s="571"/>
      <c r="L694" s="571"/>
      <c r="M694" s="572"/>
    </row>
    <row r="695" spans="2:13" ht="30" customHeight="1" thickBot="1" x14ac:dyDescent="0.35">
      <c r="B695" s="129"/>
      <c r="C695" s="130"/>
      <c r="D695" s="130"/>
      <c r="E695" s="130"/>
      <c r="F695" s="130"/>
      <c r="G695" s="130"/>
      <c r="H695" s="130"/>
      <c r="I695" s="130"/>
      <c r="J695" s="131"/>
      <c r="K695" s="132"/>
      <c r="L695" s="132"/>
      <c r="M695" s="133"/>
    </row>
    <row r="696" spans="2:13" ht="30" customHeight="1" x14ac:dyDescent="0.35">
      <c r="B696" s="135"/>
      <c r="C696" s="135"/>
      <c r="D696" s="135"/>
      <c r="E696" s="135"/>
      <c r="F696" s="135"/>
      <c r="G696" s="135"/>
      <c r="H696" s="135"/>
      <c r="I696" s="135"/>
      <c r="J696" s="135"/>
      <c r="K696" s="135"/>
      <c r="L696" s="135"/>
      <c r="M696" s="135"/>
    </row>
    <row r="697" spans="2:13" ht="30" customHeight="1" x14ac:dyDescent="0.35">
      <c r="B697" s="135"/>
      <c r="C697" s="135"/>
      <c r="D697" s="135"/>
      <c r="E697" s="135"/>
      <c r="F697" s="135"/>
      <c r="G697" s="135"/>
      <c r="H697" s="135"/>
      <c r="I697" s="135"/>
      <c r="J697" s="135"/>
      <c r="K697" s="135"/>
      <c r="L697" s="135"/>
      <c r="M697" s="135"/>
    </row>
    <row r="698" spans="2:13" ht="30" customHeight="1" x14ac:dyDescent="0.35">
      <c r="B698" s="135"/>
      <c r="C698" s="135"/>
      <c r="D698" s="135"/>
      <c r="E698" s="135"/>
      <c r="F698" s="135"/>
      <c r="G698" s="135"/>
      <c r="H698" s="135"/>
      <c r="I698" s="135"/>
      <c r="J698" s="135"/>
      <c r="K698" s="135"/>
      <c r="L698" s="135"/>
      <c r="M698" s="135"/>
    </row>
    <row r="699" spans="2:13" ht="30" customHeight="1" x14ac:dyDescent="0.35">
      <c r="B699" s="135"/>
      <c r="C699" s="135"/>
      <c r="D699" s="135"/>
      <c r="E699" s="135"/>
      <c r="F699" s="135"/>
      <c r="G699" s="135"/>
      <c r="H699" s="135"/>
      <c r="I699" s="135"/>
      <c r="J699" s="135"/>
      <c r="K699" s="135"/>
      <c r="L699" s="135"/>
      <c r="M699" s="135"/>
    </row>
  </sheetData>
  <mergeCells count="508">
    <mergeCell ref="B663:C663"/>
    <mergeCell ref="B664:C664"/>
    <mergeCell ref="B665:C665"/>
    <mergeCell ref="B666:C666"/>
    <mergeCell ref="B667:C667"/>
    <mergeCell ref="B668:C668"/>
    <mergeCell ref="B692:D692"/>
    <mergeCell ref="J693:L693"/>
    <mergeCell ref="C694:F694"/>
    <mergeCell ref="J694:M694"/>
    <mergeCell ref="B678:I678"/>
    <mergeCell ref="B679:I679"/>
    <mergeCell ref="F680:I680"/>
    <mergeCell ref="B687:M687"/>
    <mergeCell ref="B688:M688"/>
    <mergeCell ref="B691:D691"/>
    <mergeCell ref="J691:L691"/>
    <mergeCell ref="F669:I669"/>
    <mergeCell ref="B673:I673"/>
    <mergeCell ref="B674:I674"/>
    <mergeCell ref="B675:I675"/>
    <mergeCell ref="B676:I676"/>
    <mergeCell ref="B677:I677"/>
    <mergeCell ref="C657:F657"/>
    <mergeCell ref="L657:M657"/>
    <mergeCell ref="B662:C662"/>
    <mergeCell ref="D662:E662"/>
    <mergeCell ref="F662:G662"/>
    <mergeCell ref="B646:D646"/>
    <mergeCell ref="J647:L647"/>
    <mergeCell ref="C648:E648"/>
    <mergeCell ref="J648:M648"/>
    <mergeCell ref="B653:M653"/>
    <mergeCell ref="B654:M654"/>
    <mergeCell ref="C655:E655"/>
    <mergeCell ref="G655:I655"/>
    <mergeCell ref="L655:M655"/>
    <mergeCell ref="B642:M642"/>
    <mergeCell ref="B645:D645"/>
    <mergeCell ref="J645:L645"/>
    <mergeCell ref="B617:C617"/>
    <mergeCell ref="B618:C618"/>
    <mergeCell ref="B619:C619"/>
    <mergeCell ref="B620:C620"/>
    <mergeCell ref="B621:C621"/>
    <mergeCell ref="B622:C622"/>
    <mergeCell ref="F623:I623"/>
    <mergeCell ref="B627:I627"/>
    <mergeCell ref="B628:I628"/>
    <mergeCell ref="B629:I629"/>
    <mergeCell ref="B630:I630"/>
    <mergeCell ref="B631:I631"/>
    <mergeCell ref="B632:I632"/>
    <mergeCell ref="B633:I633"/>
    <mergeCell ref="F634:I634"/>
    <mergeCell ref="B641:M641"/>
    <mergeCell ref="B616:C616"/>
    <mergeCell ref="D616:E616"/>
    <mergeCell ref="F616:G616"/>
    <mergeCell ref="B573:C573"/>
    <mergeCell ref="B574:C574"/>
    <mergeCell ref="B575:C575"/>
    <mergeCell ref="B607:M607"/>
    <mergeCell ref="B608:M608"/>
    <mergeCell ref="B585:I585"/>
    <mergeCell ref="B586:I586"/>
    <mergeCell ref="F587:I587"/>
    <mergeCell ref="B594:M594"/>
    <mergeCell ref="B595:M595"/>
    <mergeCell ref="B598:D598"/>
    <mergeCell ref="J598:L598"/>
    <mergeCell ref="B571:C571"/>
    <mergeCell ref="B572:C572"/>
    <mergeCell ref="D569:E569"/>
    <mergeCell ref="F569:G569"/>
    <mergeCell ref="C609:E609"/>
    <mergeCell ref="G609:I609"/>
    <mergeCell ref="L609:M609"/>
    <mergeCell ref="C611:F611"/>
    <mergeCell ref="L611:M611"/>
    <mergeCell ref="B599:D599"/>
    <mergeCell ref="J600:L600"/>
    <mergeCell ref="C601:E601"/>
    <mergeCell ref="J601:M601"/>
    <mergeCell ref="F576:I576"/>
    <mergeCell ref="B580:I580"/>
    <mergeCell ref="B581:I581"/>
    <mergeCell ref="B582:I582"/>
    <mergeCell ref="B583:I583"/>
    <mergeCell ref="B584:I584"/>
    <mergeCell ref="B570:C570"/>
    <mergeCell ref="B537:I537"/>
    <mergeCell ref="C554:E554"/>
    <mergeCell ref="B560:M560"/>
    <mergeCell ref="B561:M561"/>
    <mergeCell ref="B552:D552"/>
    <mergeCell ref="B538:I538"/>
    <mergeCell ref="B539:I539"/>
    <mergeCell ref="F540:I540"/>
    <mergeCell ref="B547:M547"/>
    <mergeCell ref="B548:M548"/>
    <mergeCell ref="B551:D551"/>
    <mergeCell ref="J551:L551"/>
    <mergeCell ref="C562:E562"/>
    <mergeCell ref="G562:I562"/>
    <mergeCell ref="L562:M562"/>
    <mergeCell ref="C564:F564"/>
    <mergeCell ref="L564:M564"/>
    <mergeCell ref="B569:C569"/>
    <mergeCell ref="J553:L553"/>
    <mergeCell ref="J554:M554"/>
    <mergeCell ref="C517:F517"/>
    <mergeCell ref="L517:M517"/>
    <mergeCell ref="B522:C522"/>
    <mergeCell ref="D522:E522"/>
    <mergeCell ref="F522:G522"/>
    <mergeCell ref="B523:C523"/>
    <mergeCell ref="B524:C524"/>
    <mergeCell ref="B525:C525"/>
    <mergeCell ref="B526:C526"/>
    <mergeCell ref="B527:C527"/>
    <mergeCell ref="B528:C528"/>
    <mergeCell ref="F529:I529"/>
    <mergeCell ref="B533:I533"/>
    <mergeCell ref="B534:I534"/>
    <mergeCell ref="B535:I535"/>
    <mergeCell ref="B536:I536"/>
    <mergeCell ref="B506:D506"/>
    <mergeCell ref="J507:L507"/>
    <mergeCell ref="C508:E508"/>
    <mergeCell ref="J508:M508"/>
    <mergeCell ref="B513:M513"/>
    <mergeCell ref="B514:M514"/>
    <mergeCell ref="C515:E515"/>
    <mergeCell ref="G515:I515"/>
    <mergeCell ref="L515:M515"/>
    <mergeCell ref="B501:M501"/>
    <mergeCell ref="B502:M502"/>
    <mergeCell ref="B505:D505"/>
    <mergeCell ref="J505:L505"/>
    <mergeCell ref="B482:C482"/>
    <mergeCell ref="F483:I483"/>
    <mergeCell ref="B467:M467"/>
    <mergeCell ref="B468:M468"/>
    <mergeCell ref="C469:E469"/>
    <mergeCell ref="G469:I469"/>
    <mergeCell ref="L469:M469"/>
    <mergeCell ref="B477:C477"/>
    <mergeCell ref="B487:I487"/>
    <mergeCell ref="B488:I488"/>
    <mergeCell ref="B489:I489"/>
    <mergeCell ref="B490:I490"/>
    <mergeCell ref="B491:I491"/>
    <mergeCell ref="B492:I492"/>
    <mergeCell ref="B478:C478"/>
    <mergeCell ref="B479:C479"/>
    <mergeCell ref="B480:C480"/>
    <mergeCell ref="C471:F471"/>
    <mergeCell ref="L471:M471"/>
    <mergeCell ref="B476:C476"/>
    <mergeCell ref="D476:E476"/>
    <mergeCell ref="F476:G476"/>
    <mergeCell ref="J461:L461"/>
    <mergeCell ref="J462:M462"/>
    <mergeCell ref="B493:I493"/>
    <mergeCell ref="F494:I494"/>
    <mergeCell ref="J416:M416"/>
    <mergeCell ref="B421:M421"/>
    <mergeCell ref="B422:M422"/>
    <mergeCell ref="C423:E423"/>
    <mergeCell ref="G423:I423"/>
    <mergeCell ref="L423:M423"/>
    <mergeCell ref="B481:C481"/>
    <mergeCell ref="C462:E462"/>
    <mergeCell ref="B442:I442"/>
    <mergeCell ref="B443:I443"/>
    <mergeCell ref="B444:I444"/>
    <mergeCell ref="B445:I445"/>
    <mergeCell ref="B446:I446"/>
    <mergeCell ref="B447:I447"/>
    <mergeCell ref="D430:E430"/>
    <mergeCell ref="F430:G430"/>
    <mergeCell ref="B431:C431"/>
    <mergeCell ref="B432:C432"/>
    <mergeCell ref="F448:I448"/>
    <mergeCell ref="B455:M455"/>
    <mergeCell ref="B456:M456"/>
    <mergeCell ref="B459:D459"/>
    <mergeCell ref="J459:L459"/>
    <mergeCell ref="B460:D460"/>
    <mergeCell ref="B433:C433"/>
    <mergeCell ref="B434:C434"/>
    <mergeCell ref="B435:C435"/>
    <mergeCell ref="B436:C436"/>
    <mergeCell ref="F437:I437"/>
    <mergeCell ref="B441:I441"/>
    <mergeCell ref="C425:F425"/>
    <mergeCell ref="B430:C430"/>
    <mergeCell ref="C416:E416"/>
    <mergeCell ref="B388:C388"/>
    <mergeCell ref="B389:C389"/>
    <mergeCell ref="B390:C390"/>
    <mergeCell ref="F391:I391"/>
    <mergeCell ref="B395:I395"/>
    <mergeCell ref="B396:I396"/>
    <mergeCell ref="B414:D414"/>
    <mergeCell ref="J415:L415"/>
    <mergeCell ref="B397:I397"/>
    <mergeCell ref="B398:I398"/>
    <mergeCell ref="B399:I399"/>
    <mergeCell ref="B400:I400"/>
    <mergeCell ref="B401:I401"/>
    <mergeCell ref="F402:I402"/>
    <mergeCell ref="B409:M409"/>
    <mergeCell ref="B410:M410"/>
    <mergeCell ref="B413:D413"/>
    <mergeCell ref="J413:L413"/>
    <mergeCell ref="C370:E370"/>
    <mergeCell ref="J370:M370"/>
    <mergeCell ref="B375:M375"/>
    <mergeCell ref="B376:M376"/>
    <mergeCell ref="B385:C385"/>
    <mergeCell ref="B386:C386"/>
    <mergeCell ref="B387:C387"/>
    <mergeCell ref="C377:E377"/>
    <mergeCell ref="G377:I377"/>
    <mergeCell ref="L377:M377"/>
    <mergeCell ref="C379:F379"/>
    <mergeCell ref="I379:J379"/>
    <mergeCell ref="L379:M379"/>
    <mergeCell ref="B339:C339"/>
    <mergeCell ref="B340:C340"/>
    <mergeCell ref="B341:C341"/>
    <mergeCell ref="B342:C342"/>
    <mergeCell ref="B343:C343"/>
    <mergeCell ref="B344:C344"/>
    <mergeCell ref="B384:C384"/>
    <mergeCell ref="D384:E384"/>
    <mergeCell ref="F384:G384"/>
    <mergeCell ref="B368:D368"/>
    <mergeCell ref="B354:I354"/>
    <mergeCell ref="B355:I355"/>
    <mergeCell ref="F356:I356"/>
    <mergeCell ref="B363:M363"/>
    <mergeCell ref="B364:M364"/>
    <mergeCell ref="B367:D367"/>
    <mergeCell ref="J367:L367"/>
    <mergeCell ref="F345:I345"/>
    <mergeCell ref="B349:I349"/>
    <mergeCell ref="B350:I350"/>
    <mergeCell ref="B351:I351"/>
    <mergeCell ref="B352:I352"/>
    <mergeCell ref="B353:I353"/>
    <mergeCell ref="J369:L369"/>
    <mergeCell ref="B338:C338"/>
    <mergeCell ref="D338:E338"/>
    <mergeCell ref="F338:G338"/>
    <mergeCell ref="C324:E324"/>
    <mergeCell ref="J324:M324"/>
    <mergeCell ref="B329:M329"/>
    <mergeCell ref="B330:M330"/>
    <mergeCell ref="C331:E331"/>
    <mergeCell ref="G331:I331"/>
    <mergeCell ref="L331:M331"/>
    <mergeCell ref="C333:F333"/>
    <mergeCell ref="I333:J333"/>
    <mergeCell ref="L333:M333"/>
    <mergeCell ref="B321:D321"/>
    <mergeCell ref="J321:L321"/>
    <mergeCell ref="B322:D322"/>
    <mergeCell ref="J323:L323"/>
    <mergeCell ref="B303:I303"/>
    <mergeCell ref="B304:I304"/>
    <mergeCell ref="C287:F287"/>
    <mergeCell ref="I287:J287"/>
    <mergeCell ref="L287:M287"/>
    <mergeCell ref="B293:C293"/>
    <mergeCell ref="B294:C294"/>
    <mergeCell ref="B295:C295"/>
    <mergeCell ref="B305:I305"/>
    <mergeCell ref="B306:I306"/>
    <mergeCell ref="B307:I307"/>
    <mergeCell ref="B308:I308"/>
    <mergeCell ref="B309:I309"/>
    <mergeCell ref="F310:I310"/>
    <mergeCell ref="B296:C296"/>
    <mergeCell ref="B297:C297"/>
    <mergeCell ref="B298:C298"/>
    <mergeCell ref="J277:M277"/>
    <mergeCell ref="B283:M283"/>
    <mergeCell ref="B284:M284"/>
    <mergeCell ref="B292:C292"/>
    <mergeCell ref="D292:E292"/>
    <mergeCell ref="F292:G292"/>
    <mergeCell ref="L285:M285"/>
    <mergeCell ref="B317:M317"/>
    <mergeCell ref="B318:M318"/>
    <mergeCell ref="F252:I252"/>
    <mergeCell ref="B256:I256"/>
    <mergeCell ref="B257:I257"/>
    <mergeCell ref="B258:I258"/>
    <mergeCell ref="B259:I259"/>
    <mergeCell ref="B260:I260"/>
    <mergeCell ref="B246:C246"/>
    <mergeCell ref="B247:C247"/>
    <mergeCell ref="F299:I299"/>
    <mergeCell ref="C285:E285"/>
    <mergeCell ref="G285:I285"/>
    <mergeCell ref="B261:I261"/>
    <mergeCell ref="B262:I262"/>
    <mergeCell ref="F263:I263"/>
    <mergeCell ref="B270:M270"/>
    <mergeCell ref="B271:M271"/>
    <mergeCell ref="B274:D274"/>
    <mergeCell ref="J274:L274"/>
    <mergeCell ref="B248:C248"/>
    <mergeCell ref="B249:C249"/>
    <mergeCell ref="B250:C250"/>
    <mergeCell ref="B251:C251"/>
    <mergeCell ref="B275:D275"/>
    <mergeCell ref="J276:L276"/>
    <mergeCell ref="C240:F240"/>
    <mergeCell ref="I240:J240"/>
    <mergeCell ref="L240:M240"/>
    <mergeCell ref="B245:C245"/>
    <mergeCell ref="D245:E245"/>
    <mergeCell ref="F245:G245"/>
    <mergeCell ref="B204:C204"/>
    <mergeCell ref="B205:C205"/>
    <mergeCell ref="B206:C206"/>
    <mergeCell ref="B212:I212"/>
    <mergeCell ref="B237:M237"/>
    <mergeCell ref="C238:E238"/>
    <mergeCell ref="G238:I238"/>
    <mergeCell ref="L238:M238"/>
    <mergeCell ref="B226:M226"/>
    <mergeCell ref="B230:D230"/>
    <mergeCell ref="J233:M233"/>
    <mergeCell ref="B236:M236"/>
    <mergeCell ref="B213:I213"/>
    <mergeCell ref="B214:I214"/>
    <mergeCell ref="B215:I215"/>
    <mergeCell ref="B216:I216"/>
    <mergeCell ref="B217:I217"/>
    <mergeCell ref="B231:D231"/>
    <mergeCell ref="D201:E201"/>
    <mergeCell ref="F201:G201"/>
    <mergeCell ref="B207:C207"/>
    <mergeCell ref="F208:I208"/>
    <mergeCell ref="B218:I218"/>
    <mergeCell ref="F219:I219"/>
    <mergeCell ref="B227:M227"/>
    <mergeCell ref="C228:L229"/>
    <mergeCell ref="J230:L230"/>
    <mergeCell ref="J232:L232"/>
    <mergeCell ref="C233:E233"/>
    <mergeCell ref="L149:M149"/>
    <mergeCell ref="B201:C201"/>
    <mergeCell ref="B202:C202"/>
    <mergeCell ref="B203:C203"/>
    <mergeCell ref="C186:E186"/>
    <mergeCell ref="J186:M186"/>
    <mergeCell ref="B192:M192"/>
    <mergeCell ref="B170:I170"/>
    <mergeCell ref="B171:I171"/>
    <mergeCell ref="F172:I172"/>
    <mergeCell ref="B179:M179"/>
    <mergeCell ref="B180:M180"/>
    <mergeCell ref="B183:D183"/>
    <mergeCell ref="J183:L183"/>
    <mergeCell ref="B184:D184"/>
    <mergeCell ref="J185:L185"/>
    <mergeCell ref="F161:I161"/>
    <mergeCell ref="I149:J149"/>
    <mergeCell ref="B165:I165"/>
    <mergeCell ref="B166:I166"/>
    <mergeCell ref="B167:I167"/>
    <mergeCell ref="B168:I168"/>
    <mergeCell ref="B169:I169"/>
    <mergeCell ref="B155:C155"/>
    <mergeCell ref="B156:C156"/>
    <mergeCell ref="B157:C157"/>
    <mergeCell ref="B158:C158"/>
    <mergeCell ref="B159:C159"/>
    <mergeCell ref="B160:C160"/>
    <mergeCell ref="B120:I120"/>
    <mergeCell ref="B121:I121"/>
    <mergeCell ref="B122:I122"/>
    <mergeCell ref="B123:I123"/>
    <mergeCell ref="B124:I124"/>
    <mergeCell ref="F125:I125"/>
    <mergeCell ref="B132:M132"/>
    <mergeCell ref="B133:M133"/>
    <mergeCell ref="B136:D136"/>
    <mergeCell ref="J136:L136"/>
    <mergeCell ref="B111:C111"/>
    <mergeCell ref="B112:C112"/>
    <mergeCell ref="B113:C113"/>
    <mergeCell ref="F114:I114"/>
    <mergeCell ref="B118:I118"/>
    <mergeCell ref="B119:I119"/>
    <mergeCell ref="B90:D90"/>
    <mergeCell ref="J91:L91"/>
    <mergeCell ref="C92:E92"/>
    <mergeCell ref="J92:M92"/>
    <mergeCell ref="B98:M98"/>
    <mergeCell ref="B99:M99"/>
    <mergeCell ref="B107:C107"/>
    <mergeCell ref="D107:E107"/>
    <mergeCell ref="F107:G107"/>
    <mergeCell ref="B108:C108"/>
    <mergeCell ref="B109:C109"/>
    <mergeCell ref="B110:C110"/>
    <mergeCell ref="C100:E100"/>
    <mergeCell ref="G100:I100"/>
    <mergeCell ref="L100:M100"/>
    <mergeCell ref="C102:F102"/>
    <mergeCell ref="I102:J102"/>
    <mergeCell ref="L102:M102"/>
    <mergeCell ref="B85:M85"/>
    <mergeCell ref="B86:M86"/>
    <mergeCell ref="B89:D89"/>
    <mergeCell ref="J89:L89"/>
    <mergeCell ref="F67:I67"/>
    <mergeCell ref="B71:I71"/>
    <mergeCell ref="B72:I72"/>
    <mergeCell ref="B73:I73"/>
    <mergeCell ref="B74:I74"/>
    <mergeCell ref="B75:I75"/>
    <mergeCell ref="B76:I76"/>
    <mergeCell ref="B77:I77"/>
    <mergeCell ref="F78:I78"/>
    <mergeCell ref="B62:C62"/>
    <mergeCell ref="B63:C63"/>
    <mergeCell ref="B64:C64"/>
    <mergeCell ref="B65:C65"/>
    <mergeCell ref="B66:C66"/>
    <mergeCell ref="B52:M52"/>
    <mergeCell ref="C53:E53"/>
    <mergeCell ref="G53:I53"/>
    <mergeCell ref="L53:M53"/>
    <mergeCell ref="C55:F55"/>
    <mergeCell ref="I55:J55"/>
    <mergeCell ref="L55:M55"/>
    <mergeCell ref="B60:C60"/>
    <mergeCell ref="D60:E60"/>
    <mergeCell ref="F60:G60"/>
    <mergeCell ref="B27:I27"/>
    <mergeCell ref="B28:I28"/>
    <mergeCell ref="B29:I29"/>
    <mergeCell ref="F30:I30"/>
    <mergeCell ref="B37:M37"/>
    <mergeCell ref="B38:M38"/>
    <mergeCell ref="B43:D43"/>
    <mergeCell ref="J43:L43"/>
    <mergeCell ref="B61:C61"/>
    <mergeCell ref="J45:L45"/>
    <mergeCell ref="C46:E46"/>
    <mergeCell ref="J46:M46"/>
    <mergeCell ref="B51:M51"/>
    <mergeCell ref="B44:D44"/>
    <mergeCell ref="B25:I25"/>
    <mergeCell ref="B26:I26"/>
    <mergeCell ref="B2:M2"/>
    <mergeCell ref="B3:M3"/>
    <mergeCell ref="C4:E4"/>
    <mergeCell ref="G4:I4"/>
    <mergeCell ref="L4:M4"/>
    <mergeCell ref="C6:F6"/>
    <mergeCell ref="I6:J6"/>
    <mergeCell ref="L6:M6"/>
    <mergeCell ref="B24:I24"/>
    <mergeCell ref="B11:C11"/>
    <mergeCell ref="D11:E11"/>
    <mergeCell ref="F11:G11"/>
    <mergeCell ref="B12:C12"/>
    <mergeCell ref="B13:C13"/>
    <mergeCell ref="B14:C14"/>
    <mergeCell ref="B15:C15"/>
    <mergeCell ref="B16:C16"/>
    <mergeCell ref="B17:C17"/>
    <mergeCell ref="B18:C18"/>
    <mergeCell ref="F19:I19"/>
    <mergeCell ref="B23:I23"/>
    <mergeCell ref="C272:L273"/>
    <mergeCell ref="C277:E277"/>
    <mergeCell ref="C134:L135"/>
    <mergeCell ref="C181:L182"/>
    <mergeCell ref="B193:M193"/>
    <mergeCell ref="C194:E194"/>
    <mergeCell ref="G194:I194"/>
    <mergeCell ref="L194:M194"/>
    <mergeCell ref="C196:F196"/>
    <mergeCell ref="I196:J196"/>
    <mergeCell ref="L196:M196"/>
    <mergeCell ref="B154:C154"/>
    <mergeCell ref="D154:E154"/>
    <mergeCell ref="F154:G154"/>
    <mergeCell ref="B137:D137"/>
    <mergeCell ref="J138:L138"/>
    <mergeCell ref="C139:E139"/>
    <mergeCell ref="J139:M139"/>
    <mergeCell ref="B145:M145"/>
    <mergeCell ref="B146:M146"/>
    <mergeCell ref="C147:E147"/>
    <mergeCell ref="G147:I147"/>
    <mergeCell ref="L147:M147"/>
    <mergeCell ref="C149:F149"/>
  </mergeCells>
  <printOptions horizontalCentered="1" verticalCentered="1"/>
  <pageMargins left="0.25" right="0.25" top="0.75" bottom="0.75" header="0.3" footer="0.3"/>
  <pageSetup paperSize="9" scale="52" fitToHeight="0" orientation="portrait" r:id="rId1"/>
  <rowBreaks count="14" manualBreakCount="14">
    <brk id="49" max="16383" man="1"/>
    <brk id="95" max="16383" man="1"/>
    <brk id="142" max="16383" man="1"/>
    <brk id="188" max="16383" man="1"/>
    <brk id="234" max="16383" man="1"/>
    <brk id="281" max="16383" man="1"/>
    <brk id="327" max="16383" man="1"/>
    <brk id="373" max="16383" man="1"/>
    <brk id="419" max="16383" man="1"/>
    <brk id="465" max="16383" man="1"/>
    <brk id="511" max="16383" man="1"/>
    <brk id="558" max="16383" man="1"/>
    <brk id="604" max="16383" man="1"/>
    <brk id="65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4.9989318521683403E-2"/>
  </sheetPr>
  <dimension ref="B1:H33"/>
  <sheetViews>
    <sheetView topLeftCell="A17" zoomScale="70" zoomScaleNormal="70" workbookViewId="0">
      <selection activeCell="E32" sqref="E32"/>
    </sheetView>
  </sheetViews>
  <sheetFormatPr defaultRowHeight="15" x14ac:dyDescent="0.25"/>
  <cols>
    <col min="1" max="1" width="4.42578125" style="6" customWidth="1"/>
    <col min="2" max="2" width="5.140625" style="6" customWidth="1"/>
    <col min="3" max="3" width="33" style="6" customWidth="1"/>
    <col min="4" max="4" width="14.42578125" style="6" customWidth="1"/>
    <col min="5" max="6" width="21.140625" style="6" customWidth="1"/>
    <col min="7" max="7" width="12.5703125" style="6" customWidth="1"/>
    <col min="8" max="8" width="10.5703125" style="6" customWidth="1"/>
    <col min="9" max="256" width="9.42578125" style="6"/>
    <col min="257" max="257" width="4.42578125" style="6" customWidth="1"/>
    <col min="258" max="258" width="9.42578125" style="6"/>
    <col min="259" max="259" width="31.42578125" style="6" customWidth="1"/>
    <col min="260" max="260" width="20.5703125" style="6" customWidth="1"/>
    <col min="261" max="261" width="23.5703125" style="6" customWidth="1"/>
    <col min="262" max="262" width="16.42578125" style="6" customWidth="1"/>
    <col min="263" max="263" width="19.42578125" style="6" customWidth="1"/>
    <col min="264" max="264" width="16.42578125" style="6" customWidth="1"/>
    <col min="265" max="512" width="9.42578125" style="6"/>
    <col min="513" max="513" width="4.42578125" style="6" customWidth="1"/>
    <col min="514" max="514" width="9.42578125" style="6"/>
    <col min="515" max="515" width="31.42578125" style="6" customWidth="1"/>
    <col min="516" max="516" width="20.5703125" style="6" customWidth="1"/>
    <col min="517" max="517" width="23.5703125" style="6" customWidth="1"/>
    <col min="518" max="518" width="16.42578125" style="6" customWidth="1"/>
    <col min="519" max="519" width="19.42578125" style="6" customWidth="1"/>
    <col min="520" max="520" width="16.42578125" style="6" customWidth="1"/>
    <col min="521" max="768" width="9.42578125" style="6"/>
    <col min="769" max="769" width="4.42578125" style="6" customWidth="1"/>
    <col min="770" max="770" width="9.42578125" style="6"/>
    <col min="771" max="771" width="31.42578125" style="6" customWidth="1"/>
    <col min="772" max="772" width="20.5703125" style="6" customWidth="1"/>
    <col min="773" max="773" width="23.5703125" style="6" customWidth="1"/>
    <col min="774" max="774" width="16.42578125" style="6" customWidth="1"/>
    <col min="775" max="775" width="19.42578125" style="6" customWidth="1"/>
    <col min="776" max="776" width="16.42578125" style="6" customWidth="1"/>
    <col min="777" max="1024" width="9.42578125" style="6"/>
    <col min="1025" max="1025" width="4.42578125" style="6" customWidth="1"/>
    <col min="1026" max="1026" width="9.42578125" style="6"/>
    <col min="1027" max="1027" width="31.42578125" style="6" customWidth="1"/>
    <col min="1028" max="1028" width="20.5703125" style="6" customWidth="1"/>
    <col min="1029" max="1029" width="23.5703125" style="6" customWidth="1"/>
    <col min="1030" max="1030" width="16.42578125" style="6" customWidth="1"/>
    <col min="1031" max="1031" width="19.42578125" style="6" customWidth="1"/>
    <col min="1032" max="1032" width="16.42578125" style="6" customWidth="1"/>
    <col min="1033" max="1280" width="9.42578125" style="6"/>
    <col min="1281" max="1281" width="4.42578125" style="6" customWidth="1"/>
    <col min="1282" max="1282" width="9.42578125" style="6"/>
    <col min="1283" max="1283" width="31.42578125" style="6" customWidth="1"/>
    <col min="1284" max="1284" width="20.5703125" style="6" customWidth="1"/>
    <col min="1285" max="1285" width="23.5703125" style="6" customWidth="1"/>
    <col min="1286" max="1286" width="16.42578125" style="6" customWidth="1"/>
    <col min="1287" max="1287" width="19.42578125" style="6" customWidth="1"/>
    <col min="1288" max="1288" width="16.42578125" style="6" customWidth="1"/>
    <col min="1289" max="1536" width="9.42578125" style="6"/>
    <col min="1537" max="1537" width="4.42578125" style="6" customWidth="1"/>
    <col min="1538" max="1538" width="9.42578125" style="6"/>
    <col min="1539" max="1539" width="31.42578125" style="6" customWidth="1"/>
    <col min="1540" max="1540" width="20.5703125" style="6" customWidth="1"/>
    <col min="1541" max="1541" width="23.5703125" style="6" customWidth="1"/>
    <col min="1542" max="1542" width="16.42578125" style="6" customWidth="1"/>
    <col min="1543" max="1543" width="19.42578125" style="6" customWidth="1"/>
    <col min="1544" max="1544" width="16.42578125" style="6" customWidth="1"/>
    <col min="1545" max="1792" width="9.42578125" style="6"/>
    <col min="1793" max="1793" width="4.42578125" style="6" customWidth="1"/>
    <col min="1794" max="1794" width="9.42578125" style="6"/>
    <col min="1795" max="1795" width="31.42578125" style="6" customWidth="1"/>
    <col min="1796" max="1796" width="20.5703125" style="6" customWidth="1"/>
    <col min="1797" max="1797" width="23.5703125" style="6" customWidth="1"/>
    <col min="1798" max="1798" width="16.42578125" style="6" customWidth="1"/>
    <col min="1799" max="1799" width="19.42578125" style="6" customWidth="1"/>
    <col min="1800" max="1800" width="16.42578125" style="6" customWidth="1"/>
    <col min="1801" max="2048" width="9.42578125" style="6"/>
    <col min="2049" max="2049" width="4.42578125" style="6" customWidth="1"/>
    <col min="2050" max="2050" width="9.42578125" style="6"/>
    <col min="2051" max="2051" width="31.42578125" style="6" customWidth="1"/>
    <col min="2052" max="2052" width="20.5703125" style="6" customWidth="1"/>
    <col min="2053" max="2053" width="23.5703125" style="6" customWidth="1"/>
    <col min="2054" max="2054" width="16.42578125" style="6" customWidth="1"/>
    <col min="2055" max="2055" width="19.42578125" style="6" customWidth="1"/>
    <col min="2056" max="2056" width="16.42578125" style="6" customWidth="1"/>
    <col min="2057" max="2304" width="9.42578125" style="6"/>
    <col min="2305" max="2305" width="4.42578125" style="6" customWidth="1"/>
    <col min="2306" max="2306" width="9.42578125" style="6"/>
    <col min="2307" max="2307" width="31.42578125" style="6" customWidth="1"/>
    <col min="2308" max="2308" width="20.5703125" style="6" customWidth="1"/>
    <col min="2309" max="2309" width="23.5703125" style="6" customWidth="1"/>
    <col min="2310" max="2310" width="16.42578125" style="6" customWidth="1"/>
    <col min="2311" max="2311" width="19.42578125" style="6" customWidth="1"/>
    <col min="2312" max="2312" width="16.42578125" style="6" customWidth="1"/>
    <col min="2313" max="2560" width="9.42578125" style="6"/>
    <col min="2561" max="2561" width="4.42578125" style="6" customWidth="1"/>
    <col min="2562" max="2562" width="9.42578125" style="6"/>
    <col min="2563" max="2563" width="31.42578125" style="6" customWidth="1"/>
    <col min="2564" max="2564" width="20.5703125" style="6" customWidth="1"/>
    <col min="2565" max="2565" width="23.5703125" style="6" customWidth="1"/>
    <col min="2566" max="2566" width="16.42578125" style="6" customWidth="1"/>
    <col min="2567" max="2567" width="19.42578125" style="6" customWidth="1"/>
    <col min="2568" max="2568" width="16.42578125" style="6" customWidth="1"/>
    <col min="2569" max="2816" width="9.42578125" style="6"/>
    <col min="2817" max="2817" width="4.42578125" style="6" customWidth="1"/>
    <col min="2818" max="2818" width="9.42578125" style="6"/>
    <col min="2819" max="2819" width="31.42578125" style="6" customWidth="1"/>
    <col min="2820" max="2820" width="20.5703125" style="6" customWidth="1"/>
    <col min="2821" max="2821" width="23.5703125" style="6" customWidth="1"/>
    <col min="2822" max="2822" width="16.42578125" style="6" customWidth="1"/>
    <col min="2823" max="2823" width="19.42578125" style="6" customWidth="1"/>
    <col min="2824" max="2824" width="16.42578125" style="6" customWidth="1"/>
    <col min="2825" max="3072" width="9.42578125" style="6"/>
    <col min="3073" max="3073" width="4.42578125" style="6" customWidth="1"/>
    <col min="3074" max="3074" width="9.42578125" style="6"/>
    <col min="3075" max="3075" width="31.42578125" style="6" customWidth="1"/>
    <col min="3076" max="3076" width="20.5703125" style="6" customWidth="1"/>
    <col min="3077" max="3077" width="23.5703125" style="6" customWidth="1"/>
    <col min="3078" max="3078" width="16.42578125" style="6" customWidth="1"/>
    <col min="3079" max="3079" width="19.42578125" style="6" customWidth="1"/>
    <col min="3080" max="3080" width="16.42578125" style="6" customWidth="1"/>
    <col min="3081" max="3328" width="9.42578125" style="6"/>
    <col min="3329" max="3329" width="4.42578125" style="6" customWidth="1"/>
    <col min="3330" max="3330" width="9.42578125" style="6"/>
    <col min="3331" max="3331" width="31.42578125" style="6" customWidth="1"/>
    <col min="3332" max="3332" width="20.5703125" style="6" customWidth="1"/>
    <col min="3333" max="3333" width="23.5703125" style="6" customWidth="1"/>
    <col min="3334" max="3334" width="16.42578125" style="6" customWidth="1"/>
    <col min="3335" max="3335" width="19.42578125" style="6" customWidth="1"/>
    <col min="3336" max="3336" width="16.42578125" style="6" customWidth="1"/>
    <col min="3337" max="3584" width="9.42578125" style="6"/>
    <col min="3585" max="3585" width="4.42578125" style="6" customWidth="1"/>
    <col min="3586" max="3586" width="9.42578125" style="6"/>
    <col min="3587" max="3587" width="31.42578125" style="6" customWidth="1"/>
    <col min="3588" max="3588" width="20.5703125" style="6" customWidth="1"/>
    <col min="3589" max="3589" width="23.5703125" style="6" customWidth="1"/>
    <col min="3590" max="3590" width="16.42578125" style="6" customWidth="1"/>
    <col min="3591" max="3591" width="19.42578125" style="6" customWidth="1"/>
    <col min="3592" max="3592" width="16.42578125" style="6" customWidth="1"/>
    <col min="3593" max="3840" width="9.42578125" style="6"/>
    <col min="3841" max="3841" width="4.42578125" style="6" customWidth="1"/>
    <col min="3842" max="3842" width="9.42578125" style="6"/>
    <col min="3843" max="3843" width="31.42578125" style="6" customWidth="1"/>
    <col min="3844" max="3844" width="20.5703125" style="6" customWidth="1"/>
    <col min="3845" max="3845" width="23.5703125" style="6" customWidth="1"/>
    <col min="3846" max="3846" width="16.42578125" style="6" customWidth="1"/>
    <col min="3847" max="3847" width="19.42578125" style="6" customWidth="1"/>
    <col min="3848" max="3848" width="16.42578125" style="6" customWidth="1"/>
    <col min="3849" max="4096" width="9.42578125" style="6"/>
    <col min="4097" max="4097" width="4.42578125" style="6" customWidth="1"/>
    <col min="4098" max="4098" width="9.42578125" style="6"/>
    <col min="4099" max="4099" width="31.42578125" style="6" customWidth="1"/>
    <col min="4100" max="4100" width="20.5703125" style="6" customWidth="1"/>
    <col min="4101" max="4101" width="23.5703125" style="6" customWidth="1"/>
    <col min="4102" max="4102" width="16.42578125" style="6" customWidth="1"/>
    <col min="4103" max="4103" width="19.42578125" style="6" customWidth="1"/>
    <col min="4104" max="4104" width="16.42578125" style="6" customWidth="1"/>
    <col min="4105" max="4352" width="9.42578125" style="6"/>
    <col min="4353" max="4353" width="4.42578125" style="6" customWidth="1"/>
    <col min="4354" max="4354" width="9.42578125" style="6"/>
    <col min="4355" max="4355" width="31.42578125" style="6" customWidth="1"/>
    <col min="4356" max="4356" width="20.5703125" style="6" customWidth="1"/>
    <col min="4357" max="4357" width="23.5703125" style="6" customWidth="1"/>
    <col min="4358" max="4358" width="16.42578125" style="6" customWidth="1"/>
    <col min="4359" max="4359" width="19.42578125" style="6" customWidth="1"/>
    <col min="4360" max="4360" width="16.42578125" style="6" customWidth="1"/>
    <col min="4361" max="4608" width="9.42578125" style="6"/>
    <col min="4609" max="4609" width="4.42578125" style="6" customWidth="1"/>
    <col min="4610" max="4610" width="9.42578125" style="6"/>
    <col min="4611" max="4611" width="31.42578125" style="6" customWidth="1"/>
    <col min="4612" max="4612" width="20.5703125" style="6" customWidth="1"/>
    <col min="4613" max="4613" width="23.5703125" style="6" customWidth="1"/>
    <col min="4614" max="4614" width="16.42578125" style="6" customWidth="1"/>
    <col min="4615" max="4615" width="19.42578125" style="6" customWidth="1"/>
    <col min="4616" max="4616" width="16.42578125" style="6" customWidth="1"/>
    <col min="4617" max="4864" width="9.42578125" style="6"/>
    <col min="4865" max="4865" width="4.42578125" style="6" customWidth="1"/>
    <col min="4866" max="4866" width="9.42578125" style="6"/>
    <col min="4867" max="4867" width="31.42578125" style="6" customWidth="1"/>
    <col min="4868" max="4868" width="20.5703125" style="6" customWidth="1"/>
    <col min="4869" max="4869" width="23.5703125" style="6" customWidth="1"/>
    <col min="4870" max="4870" width="16.42578125" style="6" customWidth="1"/>
    <col min="4871" max="4871" width="19.42578125" style="6" customWidth="1"/>
    <col min="4872" max="4872" width="16.42578125" style="6" customWidth="1"/>
    <col min="4873" max="5120" width="9.42578125" style="6"/>
    <col min="5121" max="5121" width="4.42578125" style="6" customWidth="1"/>
    <col min="5122" max="5122" width="9.42578125" style="6"/>
    <col min="5123" max="5123" width="31.42578125" style="6" customWidth="1"/>
    <col min="5124" max="5124" width="20.5703125" style="6" customWidth="1"/>
    <col min="5125" max="5125" width="23.5703125" style="6" customWidth="1"/>
    <col min="5126" max="5126" width="16.42578125" style="6" customWidth="1"/>
    <col min="5127" max="5127" width="19.42578125" style="6" customWidth="1"/>
    <col min="5128" max="5128" width="16.42578125" style="6" customWidth="1"/>
    <col min="5129" max="5376" width="9.42578125" style="6"/>
    <col min="5377" max="5377" width="4.42578125" style="6" customWidth="1"/>
    <col min="5378" max="5378" width="9.42578125" style="6"/>
    <col min="5379" max="5379" width="31.42578125" style="6" customWidth="1"/>
    <col min="5380" max="5380" width="20.5703125" style="6" customWidth="1"/>
    <col min="5381" max="5381" width="23.5703125" style="6" customWidth="1"/>
    <col min="5382" max="5382" width="16.42578125" style="6" customWidth="1"/>
    <col min="5383" max="5383" width="19.42578125" style="6" customWidth="1"/>
    <col min="5384" max="5384" width="16.42578125" style="6" customWidth="1"/>
    <col min="5385" max="5632" width="9.42578125" style="6"/>
    <col min="5633" max="5633" width="4.42578125" style="6" customWidth="1"/>
    <col min="5634" max="5634" width="9.42578125" style="6"/>
    <col min="5635" max="5635" width="31.42578125" style="6" customWidth="1"/>
    <col min="5636" max="5636" width="20.5703125" style="6" customWidth="1"/>
    <col min="5637" max="5637" width="23.5703125" style="6" customWidth="1"/>
    <col min="5638" max="5638" width="16.42578125" style="6" customWidth="1"/>
    <col min="5639" max="5639" width="19.42578125" style="6" customWidth="1"/>
    <col min="5640" max="5640" width="16.42578125" style="6" customWidth="1"/>
    <col min="5641" max="5888" width="9.42578125" style="6"/>
    <col min="5889" max="5889" width="4.42578125" style="6" customWidth="1"/>
    <col min="5890" max="5890" width="9.42578125" style="6"/>
    <col min="5891" max="5891" width="31.42578125" style="6" customWidth="1"/>
    <col min="5892" max="5892" width="20.5703125" style="6" customWidth="1"/>
    <col min="5893" max="5893" width="23.5703125" style="6" customWidth="1"/>
    <col min="5894" max="5894" width="16.42578125" style="6" customWidth="1"/>
    <col min="5895" max="5895" width="19.42578125" style="6" customWidth="1"/>
    <col min="5896" max="5896" width="16.42578125" style="6" customWidth="1"/>
    <col min="5897" max="6144" width="9.42578125" style="6"/>
    <col min="6145" max="6145" width="4.42578125" style="6" customWidth="1"/>
    <col min="6146" max="6146" width="9.42578125" style="6"/>
    <col min="6147" max="6147" width="31.42578125" style="6" customWidth="1"/>
    <col min="6148" max="6148" width="20.5703125" style="6" customWidth="1"/>
    <col min="6149" max="6149" width="23.5703125" style="6" customWidth="1"/>
    <col min="6150" max="6150" width="16.42578125" style="6" customWidth="1"/>
    <col min="6151" max="6151" width="19.42578125" style="6" customWidth="1"/>
    <col min="6152" max="6152" width="16.42578125" style="6" customWidth="1"/>
    <col min="6153" max="6400" width="9.42578125" style="6"/>
    <col min="6401" max="6401" width="4.42578125" style="6" customWidth="1"/>
    <col min="6402" max="6402" width="9.42578125" style="6"/>
    <col min="6403" max="6403" width="31.42578125" style="6" customWidth="1"/>
    <col min="6404" max="6404" width="20.5703125" style="6" customWidth="1"/>
    <col min="6405" max="6405" width="23.5703125" style="6" customWidth="1"/>
    <col min="6406" max="6406" width="16.42578125" style="6" customWidth="1"/>
    <col min="6407" max="6407" width="19.42578125" style="6" customWidth="1"/>
    <col min="6408" max="6408" width="16.42578125" style="6" customWidth="1"/>
    <col min="6409" max="6656" width="9.42578125" style="6"/>
    <col min="6657" max="6657" width="4.42578125" style="6" customWidth="1"/>
    <col min="6658" max="6658" width="9.42578125" style="6"/>
    <col min="6659" max="6659" width="31.42578125" style="6" customWidth="1"/>
    <col min="6660" max="6660" width="20.5703125" style="6" customWidth="1"/>
    <col min="6661" max="6661" width="23.5703125" style="6" customWidth="1"/>
    <col min="6662" max="6662" width="16.42578125" style="6" customWidth="1"/>
    <col min="6663" max="6663" width="19.42578125" style="6" customWidth="1"/>
    <col min="6664" max="6664" width="16.42578125" style="6" customWidth="1"/>
    <col min="6665" max="6912" width="9.42578125" style="6"/>
    <col min="6913" max="6913" width="4.42578125" style="6" customWidth="1"/>
    <col min="6914" max="6914" width="9.42578125" style="6"/>
    <col min="6915" max="6915" width="31.42578125" style="6" customWidth="1"/>
    <col min="6916" max="6916" width="20.5703125" style="6" customWidth="1"/>
    <col min="6917" max="6917" width="23.5703125" style="6" customWidth="1"/>
    <col min="6918" max="6918" width="16.42578125" style="6" customWidth="1"/>
    <col min="6919" max="6919" width="19.42578125" style="6" customWidth="1"/>
    <col min="6920" max="6920" width="16.42578125" style="6" customWidth="1"/>
    <col min="6921" max="7168" width="9.42578125" style="6"/>
    <col min="7169" max="7169" width="4.42578125" style="6" customWidth="1"/>
    <col min="7170" max="7170" width="9.42578125" style="6"/>
    <col min="7171" max="7171" width="31.42578125" style="6" customWidth="1"/>
    <col min="7172" max="7172" width="20.5703125" style="6" customWidth="1"/>
    <col min="7173" max="7173" width="23.5703125" style="6" customWidth="1"/>
    <col min="7174" max="7174" width="16.42578125" style="6" customWidth="1"/>
    <col min="7175" max="7175" width="19.42578125" style="6" customWidth="1"/>
    <col min="7176" max="7176" width="16.42578125" style="6" customWidth="1"/>
    <col min="7177" max="7424" width="9.42578125" style="6"/>
    <col min="7425" max="7425" width="4.42578125" style="6" customWidth="1"/>
    <col min="7426" max="7426" width="9.42578125" style="6"/>
    <col min="7427" max="7427" width="31.42578125" style="6" customWidth="1"/>
    <col min="7428" max="7428" width="20.5703125" style="6" customWidth="1"/>
    <col min="7429" max="7429" width="23.5703125" style="6" customWidth="1"/>
    <col min="7430" max="7430" width="16.42578125" style="6" customWidth="1"/>
    <col min="7431" max="7431" width="19.42578125" style="6" customWidth="1"/>
    <col min="7432" max="7432" width="16.42578125" style="6" customWidth="1"/>
    <col min="7433" max="7680" width="9.42578125" style="6"/>
    <col min="7681" max="7681" width="4.42578125" style="6" customWidth="1"/>
    <col min="7682" max="7682" width="9.42578125" style="6"/>
    <col min="7683" max="7683" width="31.42578125" style="6" customWidth="1"/>
    <col min="7684" max="7684" width="20.5703125" style="6" customWidth="1"/>
    <col min="7685" max="7685" width="23.5703125" style="6" customWidth="1"/>
    <col min="7686" max="7686" width="16.42578125" style="6" customWidth="1"/>
    <col min="7687" max="7687" width="19.42578125" style="6" customWidth="1"/>
    <col min="7688" max="7688" width="16.42578125" style="6" customWidth="1"/>
    <col min="7689" max="7936" width="9.42578125" style="6"/>
    <col min="7937" max="7937" width="4.42578125" style="6" customWidth="1"/>
    <col min="7938" max="7938" width="9.42578125" style="6"/>
    <col min="7939" max="7939" width="31.42578125" style="6" customWidth="1"/>
    <col min="7940" max="7940" width="20.5703125" style="6" customWidth="1"/>
    <col min="7941" max="7941" width="23.5703125" style="6" customWidth="1"/>
    <col min="7942" max="7942" width="16.42578125" style="6" customWidth="1"/>
    <col min="7943" max="7943" width="19.42578125" style="6" customWidth="1"/>
    <col min="7944" max="7944" width="16.42578125" style="6" customWidth="1"/>
    <col min="7945" max="8192" width="9.42578125" style="6"/>
    <col min="8193" max="8193" width="4.42578125" style="6" customWidth="1"/>
    <col min="8194" max="8194" width="9.42578125" style="6"/>
    <col min="8195" max="8195" width="31.42578125" style="6" customWidth="1"/>
    <col min="8196" max="8196" width="20.5703125" style="6" customWidth="1"/>
    <col min="8197" max="8197" width="23.5703125" style="6" customWidth="1"/>
    <col min="8198" max="8198" width="16.42578125" style="6" customWidth="1"/>
    <col min="8199" max="8199" width="19.42578125" style="6" customWidth="1"/>
    <col min="8200" max="8200" width="16.42578125" style="6" customWidth="1"/>
    <col min="8201" max="8448" width="9.42578125" style="6"/>
    <col min="8449" max="8449" width="4.42578125" style="6" customWidth="1"/>
    <col min="8450" max="8450" width="9.42578125" style="6"/>
    <col min="8451" max="8451" width="31.42578125" style="6" customWidth="1"/>
    <col min="8452" max="8452" width="20.5703125" style="6" customWidth="1"/>
    <col min="8453" max="8453" width="23.5703125" style="6" customWidth="1"/>
    <col min="8454" max="8454" width="16.42578125" style="6" customWidth="1"/>
    <col min="8455" max="8455" width="19.42578125" style="6" customWidth="1"/>
    <col min="8456" max="8456" width="16.42578125" style="6" customWidth="1"/>
    <col min="8457" max="8704" width="9.42578125" style="6"/>
    <col min="8705" max="8705" width="4.42578125" style="6" customWidth="1"/>
    <col min="8706" max="8706" width="9.42578125" style="6"/>
    <col min="8707" max="8707" width="31.42578125" style="6" customWidth="1"/>
    <col min="8708" max="8708" width="20.5703125" style="6" customWidth="1"/>
    <col min="8709" max="8709" width="23.5703125" style="6" customWidth="1"/>
    <col min="8710" max="8710" width="16.42578125" style="6" customWidth="1"/>
    <col min="8711" max="8711" width="19.42578125" style="6" customWidth="1"/>
    <col min="8712" max="8712" width="16.42578125" style="6" customWidth="1"/>
    <col min="8713" max="8960" width="9.42578125" style="6"/>
    <col min="8961" max="8961" width="4.42578125" style="6" customWidth="1"/>
    <col min="8962" max="8962" width="9.42578125" style="6"/>
    <col min="8963" max="8963" width="31.42578125" style="6" customWidth="1"/>
    <col min="8964" max="8964" width="20.5703125" style="6" customWidth="1"/>
    <col min="8965" max="8965" width="23.5703125" style="6" customWidth="1"/>
    <col min="8966" max="8966" width="16.42578125" style="6" customWidth="1"/>
    <col min="8967" max="8967" width="19.42578125" style="6" customWidth="1"/>
    <col min="8968" max="8968" width="16.42578125" style="6" customWidth="1"/>
    <col min="8969" max="9216" width="9.42578125" style="6"/>
    <col min="9217" max="9217" width="4.42578125" style="6" customWidth="1"/>
    <col min="9218" max="9218" width="9.42578125" style="6"/>
    <col min="9219" max="9219" width="31.42578125" style="6" customWidth="1"/>
    <col min="9220" max="9220" width="20.5703125" style="6" customWidth="1"/>
    <col min="9221" max="9221" width="23.5703125" style="6" customWidth="1"/>
    <col min="9222" max="9222" width="16.42578125" style="6" customWidth="1"/>
    <col min="9223" max="9223" width="19.42578125" style="6" customWidth="1"/>
    <col min="9224" max="9224" width="16.42578125" style="6" customWidth="1"/>
    <col min="9225" max="9472" width="9.42578125" style="6"/>
    <col min="9473" max="9473" width="4.42578125" style="6" customWidth="1"/>
    <col min="9474" max="9474" width="9.42578125" style="6"/>
    <col min="9475" max="9475" width="31.42578125" style="6" customWidth="1"/>
    <col min="9476" max="9476" width="20.5703125" style="6" customWidth="1"/>
    <col min="9477" max="9477" width="23.5703125" style="6" customWidth="1"/>
    <col min="9478" max="9478" width="16.42578125" style="6" customWidth="1"/>
    <col min="9479" max="9479" width="19.42578125" style="6" customWidth="1"/>
    <col min="9480" max="9480" width="16.42578125" style="6" customWidth="1"/>
    <col min="9481" max="9728" width="9.42578125" style="6"/>
    <col min="9729" max="9729" width="4.42578125" style="6" customWidth="1"/>
    <col min="9730" max="9730" width="9.42578125" style="6"/>
    <col min="9731" max="9731" width="31.42578125" style="6" customWidth="1"/>
    <col min="9732" max="9732" width="20.5703125" style="6" customWidth="1"/>
    <col min="9733" max="9733" width="23.5703125" style="6" customWidth="1"/>
    <col min="9734" max="9734" width="16.42578125" style="6" customWidth="1"/>
    <col min="9735" max="9735" width="19.42578125" style="6" customWidth="1"/>
    <col min="9736" max="9736" width="16.42578125" style="6" customWidth="1"/>
    <col min="9737" max="9984" width="9.42578125" style="6"/>
    <col min="9985" max="9985" width="4.42578125" style="6" customWidth="1"/>
    <col min="9986" max="9986" width="9.42578125" style="6"/>
    <col min="9987" max="9987" width="31.42578125" style="6" customWidth="1"/>
    <col min="9988" max="9988" width="20.5703125" style="6" customWidth="1"/>
    <col min="9989" max="9989" width="23.5703125" style="6" customWidth="1"/>
    <col min="9990" max="9990" width="16.42578125" style="6" customWidth="1"/>
    <col min="9991" max="9991" width="19.42578125" style="6" customWidth="1"/>
    <col min="9992" max="9992" width="16.42578125" style="6" customWidth="1"/>
    <col min="9993" max="10240" width="9.42578125" style="6"/>
    <col min="10241" max="10241" width="4.42578125" style="6" customWidth="1"/>
    <col min="10242" max="10242" width="9.42578125" style="6"/>
    <col min="10243" max="10243" width="31.42578125" style="6" customWidth="1"/>
    <col min="10244" max="10244" width="20.5703125" style="6" customWidth="1"/>
    <col min="10245" max="10245" width="23.5703125" style="6" customWidth="1"/>
    <col min="10246" max="10246" width="16.42578125" style="6" customWidth="1"/>
    <col min="10247" max="10247" width="19.42578125" style="6" customWidth="1"/>
    <col min="10248" max="10248" width="16.42578125" style="6" customWidth="1"/>
    <col min="10249" max="10496" width="9.42578125" style="6"/>
    <col min="10497" max="10497" width="4.42578125" style="6" customWidth="1"/>
    <col min="10498" max="10498" width="9.42578125" style="6"/>
    <col min="10499" max="10499" width="31.42578125" style="6" customWidth="1"/>
    <col min="10500" max="10500" width="20.5703125" style="6" customWidth="1"/>
    <col min="10501" max="10501" width="23.5703125" style="6" customWidth="1"/>
    <col min="10502" max="10502" width="16.42578125" style="6" customWidth="1"/>
    <col min="10503" max="10503" width="19.42578125" style="6" customWidth="1"/>
    <col min="10504" max="10504" width="16.42578125" style="6" customWidth="1"/>
    <col min="10505" max="10752" width="9.42578125" style="6"/>
    <col min="10753" max="10753" width="4.42578125" style="6" customWidth="1"/>
    <col min="10754" max="10754" width="9.42578125" style="6"/>
    <col min="10755" max="10755" width="31.42578125" style="6" customWidth="1"/>
    <col min="10756" max="10756" width="20.5703125" style="6" customWidth="1"/>
    <col min="10757" max="10757" width="23.5703125" style="6" customWidth="1"/>
    <col min="10758" max="10758" width="16.42578125" style="6" customWidth="1"/>
    <col min="10759" max="10759" width="19.42578125" style="6" customWidth="1"/>
    <col min="10760" max="10760" width="16.42578125" style="6" customWidth="1"/>
    <col min="10761" max="11008" width="9.42578125" style="6"/>
    <col min="11009" max="11009" width="4.42578125" style="6" customWidth="1"/>
    <col min="11010" max="11010" width="9.42578125" style="6"/>
    <col min="11011" max="11011" width="31.42578125" style="6" customWidth="1"/>
    <col min="11012" max="11012" width="20.5703125" style="6" customWidth="1"/>
    <col min="11013" max="11013" width="23.5703125" style="6" customWidth="1"/>
    <col min="11014" max="11014" width="16.42578125" style="6" customWidth="1"/>
    <col min="11015" max="11015" width="19.42578125" style="6" customWidth="1"/>
    <col min="11016" max="11016" width="16.42578125" style="6" customWidth="1"/>
    <col min="11017" max="11264" width="9.42578125" style="6"/>
    <col min="11265" max="11265" width="4.42578125" style="6" customWidth="1"/>
    <col min="11266" max="11266" width="9.42578125" style="6"/>
    <col min="11267" max="11267" width="31.42578125" style="6" customWidth="1"/>
    <col min="11268" max="11268" width="20.5703125" style="6" customWidth="1"/>
    <col min="11269" max="11269" width="23.5703125" style="6" customWidth="1"/>
    <col min="11270" max="11270" width="16.42578125" style="6" customWidth="1"/>
    <col min="11271" max="11271" width="19.42578125" style="6" customWidth="1"/>
    <col min="11272" max="11272" width="16.42578125" style="6" customWidth="1"/>
    <col min="11273" max="11520" width="9.42578125" style="6"/>
    <col min="11521" max="11521" width="4.42578125" style="6" customWidth="1"/>
    <col min="11522" max="11522" width="9.42578125" style="6"/>
    <col min="11523" max="11523" width="31.42578125" style="6" customWidth="1"/>
    <col min="11524" max="11524" width="20.5703125" style="6" customWidth="1"/>
    <col min="11525" max="11525" width="23.5703125" style="6" customWidth="1"/>
    <col min="11526" max="11526" width="16.42578125" style="6" customWidth="1"/>
    <col min="11527" max="11527" width="19.42578125" style="6" customWidth="1"/>
    <col min="11528" max="11528" width="16.42578125" style="6" customWidth="1"/>
    <col min="11529" max="11776" width="9.42578125" style="6"/>
    <col min="11777" max="11777" width="4.42578125" style="6" customWidth="1"/>
    <col min="11778" max="11778" width="9.42578125" style="6"/>
    <col min="11779" max="11779" width="31.42578125" style="6" customWidth="1"/>
    <col min="11780" max="11780" width="20.5703125" style="6" customWidth="1"/>
    <col min="11781" max="11781" width="23.5703125" style="6" customWidth="1"/>
    <col min="11782" max="11782" width="16.42578125" style="6" customWidth="1"/>
    <col min="11783" max="11783" width="19.42578125" style="6" customWidth="1"/>
    <col min="11784" max="11784" width="16.42578125" style="6" customWidth="1"/>
    <col min="11785" max="12032" width="9.42578125" style="6"/>
    <col min="12033" max="12033" width="4.42578125" style="6" customWidth="1"/>
    <col min="12034" max="12034" width="9.42578125" style="6"/>
    <col min="12035" max="12035" width="31.42578125" style="6" customWidth="1"/>
    <col min="12036" max="12036" width="20.5703125" style="6" customWidth="1"/>
    <col min="12037" max="12037" width="23.5703125" style="6" customWidth="1"/>
    <col min="12038" max="12038" width="16.42578125" style="6" customWidth="1"/>
    <col min="12039" max="12039" width="19.42578125" style="6" customWidth="1"/>
    <col min="12040" max="12040" width="16.42578125" style="6" customWidth="1"/>
    <col min="12041" max="12288" width="9.42578125" style="6"/>
    <col min="12289" max="12289" width="4.42578125" style="6" customWidth="1"/>
    <col min="12290" max="12290" width="9.42578125" style="6"/>
    <col min="12291" max="12291" width="31.42578125" style="6" customWidth="1"/>
    <col min="12292" max="12292" width="20.5703125" style="6" customWidth="1"/>
    <col min="12293" max="12293" width="23.5703125" style="6" customWidth="1"/>
    <col min="12294" max="12294" width="16.42578125" style="6" customWidth="1"/>
    <col min="12295" max="12295" width="19.42578125" style="6" customWidth="1"/>
    <col min="12296" max="12296" width="16.42578125" style="6" customWidth="1"/>
    <col min="12297" max="12544" width="9.42578125" style="6"/>
    <col min="12545" max="12545" width="4.42578125" style="6" customWidth="1"/>
    <col min="12546" max="12546" width="9.42578125" style="6"/>
    <col min="12547" max="12547" width="31.42578125" style="6" customWidth="1"/>
    <col min="12548" max="12548" width="20.5703125" style="6" customWidth="1"/>
    <col min="12549" max="12549" width="23.5703125" style="6" customWidth="1"/>
    <col min="12550" max="12550" width="16.42578125" style="6" customWidth="1"/>
    <col min="12551" max="12551" width="19.42578125" style="6" customWidth="1"/>
    <col min="12552" max="12552" width="16.42578125" style="6" customWidth="1"/>
    <col min="12553" max="12800" width="9.42578125" style="6"/>
    <col min="12801" max="12801" width="4.42578125" style="6" customWidth="1"/>
    <col min="12802" max="12802" width="9.42578125" style="6"/>
    <col min="12803" max="12803" width="31.42578125" style="6" customWidth="1"/>
    <col min="12804" max="12804" width="20.5703125" style="6" customWidth="1"/>
    <col min="12805" max="12805" width="23.5703125" style="6" customWidth="1"/>
    <col min="12806" max="12806" width="16.42578125" style="6" customWidth="1"/>
    <col min="12807" max="12807" width="19.42578125" style="6" customWidth="1"/>
    <col min="12808" max="12808" width="16.42578125" style="6" customWidth="1"/>
    <col min="12809" max="13056" width="9.42578125" style="6"/>
    <col min="13057" max="13057" width="4.42578125" style="6" customWidth="1"/>
    <col min="13058" max="13058" width="9.42578125" style="6"/>
    <col min="13059" max="13059" width="31.42578125" style="6" customWidth="1"/>
    <col min="13060" max="13060" width="20.5703125" style="6" customWidth="1"/>
    <col min="13061" max="13061" width="23.5703125" style="6" customWidth="1"/>
    <col min="13062" max="13062" width="16.42578125" style="6" customWidth="1"/>
    <col min="13063" max="13063" width="19.42578125" style="6" customWidth="1"/>
    <col min="13064" max="13064" width="16.42578125" style="6" customWidth="1"/>
    <col min="13065" max="13312" width="9.42578125" style="6"/>
    <col min="13313" max="13313" width="4.42578125" style="6" customWidth="1"/>
    <col min="13314" max="13314" width="9.42578125" style="6"/>
    <col min="13315" max="13315" width="31.42578125" style="6" customWidth="1"/>
    <col min="13316" max="13316" width="20.5703125" style="6" customWidth="1"/>
    <col min="13317" max="13317" width="23.5703125" style="6" customWidth="1"/>
    <col min="13318" max="13318" width="16.42578125" style="6" customWidth="1"/>
    <col min="13319" max="13319" width="19.42578125" style="6" customWidth="1"/>
    <col min="13320" max="13320" width="16.42578125" style="6" customWidth="1"/>
    <col min="13321" max="13568" width="9.42578125" style="6"/>
    <col min="13569" max="13569" width="4.42578125" style="6" customWidth="1"/>
    <col min="13570" max="13570" width="9.42578125" style="6"/>
    <col min="13571" max="13571" width="31.42578125" style="6" customWidth="1"/>
    <col min="13572" max="13572" width="20.5703125" style="6" customWidth="1"/>
    <col min="13573" max="13573" width="23.5703125" style="6" customWidth="1"/>
    <col min="13574" max="13574" width="16.42578125" style="6" customWidth="1"/>
    <col min="13575" max="13575" width="19.42578125" style="6" customWidth="1"/>
    <col min="13576" max="13576" width="16.42578125" style="6" customWidth="1"/>
    <col min="13577" max="13824" width="9.42578125" style="6"/>
    <col min="13825" max="13825" width="4.42578125" style="6" customWidth="1"/>
    <col min="13826" max="13826" width="9.42578125" style="6"/>
    <col min="13827" max="13827" width="31.42578125" style="6" customWidth="1"/>
    <col min="13828" max="13828" width="20.5703125" style="6" customWidth="1"/>
    <col min="13829" max="13829" width="23.5703125" style="6" customWidth="1"/>
    <col min="13830" max="13830" width="16.42578125" style="6" customWidth="1"/>
    <col min="13831" max="13831" width="19.42578125" style="6" customWidth="1"/>
    <col min="13832" max="13832" width="16.42578125" style="6" customWidth="1"/>
    <col min="13833" max="14080" width="9.42578125" style="6"/>
    <col min="14081" max="14081" width="4.42578125" style="6" customWidth="1"/>
    <col min="14082" max="14082" width="9.42578125" style="6"/>
    <col min="14083" max="14083" width="31.42578125" style="6" customWidth="1"/>
    <col min="14084" max="14084" width="20.5703125" style="6" customWidth="1"/>
    <col min="14085" max="14085" width="23.5703125" style="6" customWidth="1"/>
    <col min="14086" max="14086" width="16.42578125" style="6" customWidth="1"/>
    <col min="14087" max="14087" width="19.42578125" style="6" customWidth="1"/>
    <col min="14088" max="14088" width="16.42578125" style="6" customWidth="1"/>
    <col min="14089" max="14336" width="9.42578125" style="6"/>
    <col min="14337" max="14337" width="4.42578125" style="6" customWidth="1"/>
    <col min="14338" max="14338" width="9.42578125" style="6"/>
    <col min="14339" max="14339" width="31.42578125" style="6" customWidth="1"/>
    <col min="14340" max="14340" width="20.5703125" style="6" customWidth="1"/>
    <col min="14341" max="14341" width="23.5703125" style="6" customWidth="1"/>
    <col min="14342" max="14342" width="16.42578125" style="6" customWidth="1"/>
    <col min="14343" max="14343" width="19.42578125" style="6" customWidth="1"/>
    <col min="14344" max="14344" width="16.42578125" style="6" customWidth="1"/>
    <col min="14345" max="14592" width="9.42578125" style="6"/>
    <col min="14593" max="14593" width="4.42578125" style="6" customWidth="1"/>
    <col min="14594" max="14594" width="9.42578125" style="6"/>
    <col min="14595" max="14595" width="31.42578125" style="6" customWidth="1"/>
    <col min="14596" max="14596" width="20.5703125" style="6" customWidth="1"/>
    <col min="14597" max="14597" width="23.5703125" style="6" customWidth="1"/>
    <col min="14598" max="14598" width="16.42578125" style="6" customWidth="1"/>
    <col min="14599" max="14599" width="19.42578125" style="6" customWidth="1"/>
    <col min="14600" max="14600" width="16.42578125" style="6" customWidth="1"/>
    <col min="14601" max="14848" width="9.42578125" style="6"/>
    <col min="14849" max="14849" width="4.42578125" style="6" customWidth="1"/>
    <col min="14850" max="14850" width="9.42578125" style="6"/>
    <col min="14851" max="14851" width="31.42578125" style="6" customWidth="1"/>
    <col min="14852" max="14852" width="20.5703125" style="6" customWidth="1"/>
    <col min="14853" max="14853" width="23.5703125" style="6" customWidth="1"/>
    <col min="14854" max="14854" width="16.42578125" style="6" customWidth="1"/>
    <col min="14855" max="14855" width="19.42578125" style="6" customWidth="1"/>
    <col min="14856" max="14856" width="16.42578125" style="6" customWidth="1"/>
    <col min="14857" max="15104" width="9.42578125" style="6"/>
    <col min="15105" max="15105" width="4.42578125" style="6" customWidth="1"/>
    <col min="15106" max="15106" width="9.42578125" style="6"/>
    <col min="15107" max="15107" width="31.42578125" style="6" customWidth="1"/>
    <col min="15108" max="15108" width="20.5703125" style="6" customWidth="1"/>
    <col min="15109" max="15109" width="23.5703125" style="6" customWidth="1"/>
    <col min="15110" max="15110" width="16.42578125" style="6" customWidth="1"/>
    <col min="15111" max="15111" width="19.42578125" style="6" customWidth="1"/>
    <col min="15112" max="15112" width="16.42578125" style="6" customWidth="1"/>
    <col min="15113" max="15360" width="9.42578125" style="6"/>
    <col min="15361" max="15361" width="4.42578125" style="6" customWidth="1"/>
    <col min="15362" max="15362" width="9.42578125" style="6"/>
    <col min="15363" max="15363" width="31.42578125" style="6" customWidth="1"/>
    <col min="15364" max="15364" width="20.5703125" style="6" customWidth="1"/>
    <col min="15365" max="15365" width="23.5703125" style="6" customWidth="1"/>
    <col min="15366" max="15366" width="16.42578125" style="6" customWidth="1"/>
    <col min="15367" max="15367" width="19.42578125" style="6" customWidth="1"/>
    <col min="15368" max="15368" width="16.42578125" style="6" customWidth="1"/>
    <col min="15369" max="15616" width="9.42578125" style="6"/>
    <col min="15617" max="15617" width="4.42578125" style="6" customWidth="1"/>
    <col min="15618" max="15618" width="9.42578125" style="6"/>
    <col min="15619" max="15619" width="31.42578125" style="6" customWidth="1"/>
    <col min="15620" max="15620" width="20.5703125" style="6" customWidth="1"/>
    <col min="15621" max="15621" width="23.5703125" style="6" customWidth="1"/>
    <col min="15622" max="15622" width="16.42578125" style="6" customWidth="1"/>
    <col min="15623" max="15623" width="19.42578125" style="6" customWidth="1"/>
    <col min="15624" max="15624" width="16.42578125" style="6" customWidth="1"/>
    <col min="15625" max="15872" width="9.42578125" style="6"/>
    <col min="15873" max="15873" width="4.42578125" style="6" customWidth="1"/>
    <col min="15874" max="15874" width="9.42578125" style="6"/>
    <col min="15875" max="15875" width="31.42578125" style="6" customWidth="1"/>
    <col min="15876" max="15876" width="20.5703125" style="6" customWidth="1"/>
    <col min="15877" max="15877" width="23.5703125" style="6" customWidth="1"/>
    <col min="15878" max="15878" width="16.42578125" style="6" customWidth="1"/>
    <col min="15879" max="15879" width="19.42578125" style="6" customWidth="1"/>
    <col min="15880" max="15880" width="16.42578125" style="6" customWidth="1"/>
    <col min="15881" max="16128" width="9.42578125" style="6"/>
    <col min="16129" max="16129" width="4.42578125" style="6" customWidth="1"/>
    <col min="16130" max="16130" width="9.42578125" style="6"/>
    <col min="16131" max="16131" width="31.42578125" style="6" customWidth="1"/>
    <col min="16132" max="16132" width="20.5703125" style="6" customWidth="1"/>
    <col min="16133" max="16133" width="23.5703125" style="6" customWidth="1"/>
    <col min="16134" max="16134" width="16.42578125" style="6" customWidth="1"/>
    <col min="16135" max="16135" width="19.42578125" style="6" customWidth="1"/>
    <col min="16136" max="16136" width="16.42578125" style="6" customWidth="1"/>
    <col min="16137" max="16384" width="9.42578125" style="6"/>
  </cols>
  <sheetData>
    <row r="1" spans="2:8" x14ac:dyDescent="0.25">
      <c r="B1" s="5"/>
      <c r="C1" s="5"/>
      <c r="D1" s="5"/>
      <c r="E1" s="5"/>
      <c r="F1" s="5"/>
      <c r="G1" s="5"/>
      <c r="H1" s="5"/>
    </row>
    <row r="2" spans="2:8" x14ac:dyDescent="0.25">
      <c r="B2" s="5"/>
      <c r="C2" s="5"/>
      <c r="D2" s="5"/>
      <c r="E2" s="5"/>
      <c r="F2" s="5"/>
      <c r="G2" s="5"/>
      <c r="H2" s="5"/>
    </row>
    <row r="3" spans="2:8" ht="18.75" x14ac:dyDescent="0.3">
      <c r="B3" s="666" t="s">
        <v>210</v>
      </c>
      <c r="C3" s="666"/>
      <c r="D3" s="666"/>
      <c r="E3" s="666"/>
      <c r="F3" s="666"/>
      <c r="G3" s="666"/>
      <c r="H3" s="666"/>
    </row>
    <row r="4" spans="2:8" ht="18.75" x14ac:dyDescent="0.3">
      <c r="B4" s="666" t="s">
        <v>209</v>
      </c>
      <c r="C4" s="666"/>
      <c r="D4" s="666"/>
      <c r="E4" s="666"/>
      <c r="F4" s="666"/>
      <c r="G4" s="666"/>
      <c r="H4" s="666"/>
    </row>
    <row r="5" spans="2:8" ht="18.75" x14ac:dyDescent="0.3">
      <c r="B5" s="667" t="s">
        <v>148</v>
      </c>
      <c r="C5" s="667"/>
      <c r="D5" s="667"/>
      <c r="E5" s="667"/>
      <c r="F5" s="667"/>
      <c r="G5" s="667"/>
      <c r="H5" s="667"/>
    </row>
    <row r="6" spans="2:8" ht="18.75" x14ac:dyDescent="0.3">
      <c r="B6" s="668">
        <f>'PB '!C1</f>
        <v>0</v>
      </c>
      <c r="C6" s="669"/>
      <c r="D6" s="669"/>
      <c r="E6" s="669"/>
      <c r="F6" s="669"/>
      <c r="G6" s="669"/>
      <c r="H6" s="669"/>
    </row>
    <row r="7" spans="2:8" ht="111.75" customHeight="1" x14ac:dyDescent="0.25">
      <c r="B7" s="246" t="s">
        <v>19</v>
      </c>
      <c r="C7" s="246" t="s">
        <v>20</v>
      </c>
      <c r="D7" s="246" t="s">
        <v>21</v>
      </c>
      <c r="E7" s="247" t="s">
        <v>172</v>
      </c>
      <c r="F7" s="247" t="s">
        <v>197</v>
      </c>
      <c r="G7" s="247" t="s">
        <v>171</v>
      </c>
      <c r="H7" s="246" t="s">
        <v>22</v>
      </c>
    </row>
    <row r="8" spans="2:8" ht="44.25" customHeight="1" x14ac:dyDescent="0.25">
      <c r="B8" s="246">
        <v>1</v>
      </c>
      <c r="C8" s="244">
        <f>'PB '!C11</f>
        <v>0</v>
      </c>
      <c r="D8" s="246" t="str">
        <f>'PB '!D11</f>
        <v>Deck Cadet</v>
      </c>
      <c r="E8" s="341">
        <v>0</v>
      </c>
      <c r="F8" s="341">
        <v>0</v>
      </c>
      <c r="G8" s="341">
        <v>0</v>
      </c>
      <c r="H8" s="364">
        <f t="shared" ref="H8" si="0">E8+F8+G8</f>
        <v>0</v>
      </c>
    </row>
    <row r="9" spans="2:8" ht="44.25" customHeight="1" x14ac:dyDescent="0.25">
      <c r="B9" s="246">
        <v>2</v>
      </c>
      <c r="C9" s="244">
        <f>'PB '!C19</f>
        <v>0</v>
      </c>
      <c r="D9" s="245" t="str">
        <f>'PB '!D19</f>
        <v>Pumpman</v>
      </c>
      <c r="E9" s="341">
        <v>0</v>
      </c>
      <c r="F9" s="341">
        <v>0</v>
      </c>
      <c r="G9" s="341">
        <v>0</v>
      </c>
      <c r="H9" s="364">
        <f>E9+F9+G9</f>
        <v>0</v>
      </c>
    </row>
    <row r="10" spans="2:8" ht="44.25" customHeight="1" x14ac:dyDescent="0.25">
      <c r="B10" s="246">
        <v>3</v>
      </c>
      <c r="C10" s="244">
        <f>'PB '!C20</f>
        <v>0</v>
      </c>
      <c r="D10" s="245" t="str">
        <f>'PB '!D20</f>
        <v>Bosun</v>
      </c>
      <c r="E10" s="341">
        <v>0</v>
      </c>
      <c r="F10" s="341">
        <v>16.600000000000001</v>
      </c>
      <c r="G10" s="341">
        <v>0</v>
      </c>
      <c r="H10" s="364">
        <f t="shared" ref="H10:H19" si="1">E10+F10+G10</f>
        <v>16.600000000000001</v>
      </c>
    </row>
    <row r="11" spans="2:8" ht="44.25" customHeight="1" x14ac:dyDescent="0.25">
      <c r="B11" s="246">
        <v>4</v>
      </c>
      <c r="C11" s="244" t="s">
        <v>177</v>
      </c>
      <c r="D11" s="245" t="str">
        <f>'PB '!D21</f>
        <v>AB 1</v>
      </c>
      <c r="E11" s="341">
        <v>0</v>
      </c>
      <c r="F11" s="341">
        <v>16.600000000000001</v>
      </c>
      <c r="G11" s="341">
        <v>0</v>
      </c>
      <c r="H11" s="364">
        <f t="shared" si="1"/>
        <v>16.600000000000001</v>
      </c>
    </row>
    <row r="12" spans="2:8" ht="44.25" customHeight="1" x14ac:dyDescent="0.25">
      <c r="B12" s="246">
        <v>5</v>
      </c>
      <c r="C12" s="244" t="s">
        <v>178</v>
      </c>
      <c r="D12" s="245" t="str">
        <f>'PB '!D22</f>
        <v>AB 2</v>
      </c>
      <c r="E12" s="341">
        <v>0</v>
      </c>
      <c r="F12" s="341">
        <v>16.600000000000001</v>
      </c>
      <c r="G12" s="341">
        <v>0</v>
      </c>
      <c r="H12" s="364">
        <f t="shared" si="1"/>
        <v>16.600000000000001</v>
      </c>
    </row>
    <row r="13" spans="2:8" ht="44.25" customHeight="1" x14ac:dyDescent="0.25">
      <c r="B13" s="246">
        <v>6</v>
      </c>
      <c r="C13" s="244" t="s">
        <v>179</v>
      </c>
      <c r="D13" s="245" t="str">
        <f>'PB '!D23</f>
        <v>AB 3</v>
      </c>
      <c r="E13" s="341">
        <v>0</v>
      </c>
      <c r="F13" s="341">
        <v>16.600000000000001</v>
      </c>
      <c r="G13" s="341">
        <v>0</v>
      </c>
      <c r="H13" s="364">
        <f t="shared" si="1"/>
        <v>16.600000000000001</v>
      </c>
    </row>
    <row r="14" spans="2:8" ht="44.25" customHeight="1" x14ac:dyDescent="0.25">
      <c r="B14" s="246">
        <v>7</v>
      </c>
      <c r="C14" s="244" t="s">
        <v>182</v>
      </c>
      <c r="D14" s="245" t="str">
        <f>'PB '!D24</f>
        <v>OS 1</v>
      </c>
      <c r="E14" s="341">
        <v>0</v>
      </c>
      <c r="F14" s="341">
        <v>16.8</v>
      </c>
      <c r="G14" s="341">
        <v>0</v>
      </c>
      <c r="H14" s="364">
        <f>E14+F14+G14</f>
        <v>16.8</v>
      </c>
    </row>
    <row r="15" spans="2:8" ht="44.25" customHeight="1" x14ac:dyDescent="0.25">
      <c r="B15" s="246">
        <v>8</v>
      </c>
      <c r="C15" s="244" t="s">
        <v>180</v>
      </c>
      <c r="D15" s="245" t="s">
        <v>168</v>
      </c>
      <c r="E15" s="341">
        <v>0</v>
      </c>
      <c r="F15" s="341">
        <v>16.8</v>
      </c>
      <c r="G15" s="341">
        <v>0</v>
      </c>
      <c r="H15" s="364">
        <f>E15+F15+G15</f>
        <v>16.8</v>
      </c>
    </row>
    <row r="16" spans="2:8" ht="44.25" customHeight="1" x14ac:dyDescent="0.25">
      <c r="B16" s="246">
        <v>9</v>
      </c>
      <c r="C16" s="244">
        <f>'PB '!C26</f>
        <v>0</v>
      </c>
      <c r="D16" s="245" t="str">
        <f>'PB '!D26</f>
        <v>Oiler 1</v>
      </c>
      <c r="E16" s="341">
        <v>37.5</v>
      </c>
      <c r="F16" s="341">
        <v>0</v>
      </c>
      <c r="G16" s="341">
        <v>0</v>
      </c>
      <c r="H16" s="364">
        <f t="shared" si="1"/>
        <v>37.5</v>
      </c>
    </row>
    <row r="17" spans="2:8" ht="44.25" customHeight="1" x14ac:dyDescent="0.25">
      <c r="B17" s="246">
        <v>10</v>
      </c>
      <c r="C17" s="244">
        <f>'PB '!C27</f>
        <v>0</v>
      </c>
      <c r="D17" s="245" t="str">
        <f>'PB '!D27</f>
        <v>Oiler 2</v>
      </c>
      <c r="E17" s="341">
        <v>37.5</v>
      </c>
      <c r="F17" s="341">
        <v>0</v>
      </c>
      <c r="G17" s="341">
        <v>0</v>
      </c>
      <c r="H17" s="364">
        <f t="shared" si="1"/>
        <v>37.5</v>
      </c>
    </row>
    <row r="18" spans="2:8" ht="44.25" customHeight="1" x14ac:dyDescent="0.25">
      <c r="B18" s="246">
        <v>11</v>
      </c>
      <c r="C18" s="244">
        <f>'PB '!C38</f>
        <v>0</v>
      </c>
      <c r="D18" s="245" t="str">
        <f>'PB '!D28</f>
        <v>Oiler 3</v>
      </c>
      <c r="E18" s="341">
        <v>37.5</v>
      </c>
      <c r="F18" s="341">
        <v>0</v>
      </c>
      <c r="G18" s="341">
        <v>0</v>
      </c>
      <c r="H18" s="364">
        <f t="shared" si="1"/>
        <v>37.5</v>
      </c>
    </row>
    <row r="19" spans="2:8" ht="44.25" customHeight="1" x14ac:dyDescent="0.25">
      <c r="B19" s="246">
        <v>12</v>
      </c>
      <c r="C19" s="244">
        <f>'PB '!C39</f>
        <v>0</v>
      </c>
      <c r="D19" s="245" t="str">
        <f>'PB '!D29</f>
        <v>Fitter</v>
      </c>
      <c r="E19" s="341">
        <v>37.5</v>
      </c>
      <c r="F19" s="341">
        <v>0</v>
      </c>
      <c r="G19" s="341">
        <v>0</v>
      </c>
      <c r="H19" s="364">
        <f t="shared" si="1"/>
        <v>37.5</v>
      </c>
    </row>
    <row r="20" spans="2:8" ht="40.35" customHeight="1" x14ac:dyDescent="0.25">
      <c r="B20" s="670" t="s">
        <v>22</v>
      </c>
      <c r="C20" s="671"/>
      <c r="D20" s="672"/>
      <c r="E20" s="364">
        <f>SUM(E8:E19)</f>
        <v>150</v>
      </c>
      <c r="F20" s="364">
        <f>SUM(F8:F19)</f>
        <v>100</v>
      </c>
      <c r="G20" s="364">
        <f>SUM(G9:G19)</f>
        <v>0</v>
      </c>
      <c r="H20" s="364">
        <f>SUM(H8:H19)</f>
        <v>250</v>
      </c>
    </row>
    <row r="21" spans="2:8" ht="19.5" x14ac:dyDescent="0.3">
      <c r="B21" s="7"/>
      <c r="C21" s="8"/>
      <c r="D21" s="8"/>
      <c r="E21" s="8"/>
      <c r="F21" s="8"/>
      <c r="G21" s="8"/>
      <c r="H21" s="9"/>
    </row>
    <row r="22" spans="2:8" ht="19.5" x14ac:dyDescent="0.3">
      <c r="B22" s="10"/>
      <c r="C22" s="11"/>
      <c r="D22" s="12"/>
      <c r="E22" s="13"/>
      <c r="F22" s="13"/>
      <c r="G22" s="13"/>
      <c r="H22" s="14"/>
    </row>
    <row r="23" spans="2:8" ht="19.5" x14ac:dyDescent="0.3">
      <c r="B23" s="10"/>
      <c r="C23" s="13"/>
      <c r="D23" s="12"/>
      <c r="E23" s="13"/>
      <c r="F23" s="13"/>
      <c r="G23" s="13"/>
      <c r="H23" s="14"/>
    </row>
    <row r="24" spans="2:8" ht="19.5" x14ac:dyDescent="0.3">
      <c r="B24" s="10"/>
      <c r="C24" s="13"/>
      <c r="D24" s="12"/>
      <c r="E24" s="13"/>
      <c r="F24" s="13"/>
      <c r="G24" s="13"/>
      <c r="H24" s="14"/>
    </row>
    <row r="25" spans="2:8" ht="19.5" x14ac:dyDescent="0.3">
      <c r="B25" s="10"/>
      <c r="C25" s="13"/>
      <c r="D25" s="12"/>
      <c r="E25" s="13"/>
      <c r="F25" s="13"/>
      <c r="G25" s="13"/>
      <c r="H25" s="14"/>
    </row>
    <row r="26" spans="2:8" ht="15.75" x14ac:dyDescent="0.25">
      <c r="B26" s="10"/>
      <c r="C26" s="94"/>
      <c r="D26" s="12"/>
      <c r="E26" s="12"/>
      <c r="F26" s="12"/>
      <c r="G26" s="12"/>
      <c r="H26" s="15"/>
    </row>
    <row r="27" spans="2:8" ht="15.75" x14ac:dyDescent="0.25">
      <c r="B27" s="10"/>
      <c r="C27" s="5"/>
      <c r="D27" s="12"/>
      <c r="E27" s="12"/>
      <c r="F27" s="12"/>
      <c r="G27" s="12"/>
      <c r="H27" s="15"/>
    </row>
    <row r="28" spans="2:8" ht="40.35" customHeight="1" x14ac:dyDescent="0.25">
      <c r="B28" s="10"/>
      <c r="C28" s="12"/>
      <c r="D28" s="12"/>
      <c r="E28" s="12"/>
      <c r="F28" s="12"/>
      <c r="G28" s="12"/>
      <c r="H28" s="15"/>
    </row>
    <row r="29" spans="2:8" ht="15.75" x14ac:dyDescent="0.25">
      <c r="B29" s="10"/>
      <c r="C29" s="12"/>
      <c r="D29" s="12"/>
      <c r="E29" s="16"/>
      <c r="F29" s="16"/>
      <c r="G29" s="16"/>
      <c r="H29" s="17"/>
    </row>
    <row r="30" spans="2:8" ht="15.75" x14ac:dyDescent="0.25">
      <c r="B30" s="10"/>
      <c r="C30" s="12"/>
      <c r="D30" s="12"/>
      <c r="E30" s="662">
        <f>'PB '!C7</f>
        <v>0</v>
      </c>
      <c r="F30" s="662"/>
      <c r="G30" s="662"/>
      <c r="H30" s="663"/>
    </row>
    <row r="31" spans="2:8" ht="15.75" x14ac:dyDescent="0.25">
      <c r="B31" s="10"/>
      <c r="C31" s="12"/>
      <c r="D31" s="12"/>
      <c r="E31" s="664" t="s">
        <v>211</v>
      </c>
      <c r="F31" s="664"/>
      <c r="G31" s="664"/>
      <c r="H31" s="665"/>
    </row>
    <row r="32" spans="2:8" ht="15.75" x14ac:dyDescent="0.25">
      <c r="B32" s="18"/>
      <c r="C32" s="16"/>
      <c r="D32" s="16"/>
      <c r="E32" s="16"/>
      <c r="F32" s="16"/>
      <c r="G32" s="16"/>
      <c r="H32" s="17"/>
    </row>
    <row r="33" spans="2:8" ht="15.75" x14ac:dyDescent="0.25">
      <c r="B33" s="19"/>
      <c r="C33" s="19"/>
      <c r="D33" s="19"/>
      <c r="E33" s="19"/>
      <c r="F33" s="19"/>
      <c r="G33" s="19"/>
      <c r="H33" s="19"/>
    </row>
  </sheetData>
  <mergeCells count="7">
    <mergeCell ref="E30:H30"/>
    <mergeCell ref="E31:H31"/>
    <mergeCell ref="B3:H3"/>
    <mergeCell ref="B4:H4"/>
    <mergeCell ref="B5:H5"/>
    <mergeCell ref="B6:H6"/>
    <mergeCell ref="B20:D20"/>
  </mergeCells>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50"/>
  <sheetViews>
    <sheetView view="pageBreakPreview" topLeftCell="A4" zoomScale="55" zoomScaleNormal="55" zoomScaleSheetLayoutView="55" workbookViewId="0">
      <selection activeCell="A2" sqref="A2"/>
    </sheetView>
  </sheetViews>
  <sheetFormatPr defaultRowHeight="12.75" x14ac:dyDescent="0.25"/>
  <cols>
    <col min="1" max="1" width="9.42578125" style="22" bestFit="1" customWidth="1"/>
    <col min="2" max="2" width="31.42578125" style="22" customWidth="1"/>
    <col min="3" max="3" width="19.42578125" style="22" customWidth="1"/>
    <col min="4" max="4" width="36.42578125" style="28" customWidth="1"/>
    <col min="5" max="5" width="28.5703125" style="28" customWidth="1"/>
    <col min="6" max="6" width="24.42578125" style="22" customWidth="1"/>
    <col min="7" max="7" width="58.140625" style="22" customWidth="1"/>
    <col min="8" max="8" width="22.42578125" style="22" customWidth="1"/>
    <col min="9" max="9" width="30" style="22" customWidth="1"/>
    <col min="10" max="10" width="17.42578125" style="22" customWidth="1"/>
    <col min="11" max="11" width="10" style="22" hidden="1" customWidth="1"/>
    <col min="12" max="12" width="17" style="22" hidden="1" customWidth="1"/>
    <col min="13" max="13" width="11.42578125" style="22" hidden="1" customWidth="1"/>
    <col min="14" max="14" width="14.5703125" style="22" hidden="1" customWidth="1"/>
    <col min="15" max="15" width="4.42578125" style="22" hidden="1" customWidth="1"/>
    <col min="16" max="16" width="7.140625" style="22" hidden="1" customWidth="1"/>
    <col min="17" max="17" width="28.85546875" style="22" customWidth="1"/>
    <col min="18" max="18" width="0.42578125" style="22" customWidth="1"/>
    <col min="19" max="20" width="9.42578125" style="22"/>
    <col min="21" max="21" width="41.5703125" style="22" customWidth="1"/>
    <col min="22" max="258" width="9.42578125" style="22"/>
    <col min="259" max="259" width="4.42578125" style="22" customWidth="1"/>
    <col min="260" max="260" width="20.5703125" style="22" customWidth="1"/>
    <col min="261" max="261" width="9.5703125" style="22" customWidth="1"/>
    <col min="262" max="262" width="18.42578125" style="22" customWidth="1"/>
    <col min="263" max="263" width="20.5703125" style="22" customWidth="1"/>
    <col min="264" max="264" width="15.5703125" style="22" customWidth="1"/>
    <col min="265" max="265" width="30.42578125" style="22" customWidth="1"/>
    <col min="266" max="266" width="10.42578125" style="22" customWidth="1"/>
    <col min="267" max="272" width="0" style="22" hidden="1" customWidth="1"/>
    <col min="273" max="273" width="14" style="22" customWidth="1"/>
    <col min="274" max="274" width="0.42578125" style="22" customWidth="1"/>
    <col min="275" max="514" width="9.42578125" style="22"/>
    <col min="515" max="515" width="4.42578125" style="22" customWidth="1"/>
    <col min="516" max="516" width="20.5703125" style="22" customWidth="1"/>
    <col min="517" max="517" width="9.5703125" style="22" customWidth="1"/>
    <col min="518" max="518" width="18.42578125" style="22" customWidth="1"/>
    <col min="519" max="519" width="20.5703125" style="22" customWidth="1"/>
    <col min="520" max="520" width="15.5703125" style="22" customWidth="1"/>
    <col min="521" max="521" width="30.42578125" style="22" customWidth="1"/>
    <col min="522" max="522" width="10.42578125" style="22" customWidth="1"/>
    <col min="523" max="528" width="0" style="22" hidden="1" customWidth="1"/>
    <col min="529" max="529" width="14" style="22" customWidth="1"/>
    <col min="530" max="530" width="0.42578125" style="22" customWidth="1"/>
    <col min="531" max="770" width="9.42578125" style="22"/>
    <col min="771" max="771" width="4.42578125" style="22" customWidth="1"/>
    <col min="772" max="772" width="20.5703125" style="22" customWidth="1"/>
    <col min="773" max="773" width="9.5703125" style="22" customWidth="1"/>
    <col min="774" max="774" width="18.42578125" style="22" customWidth="1"/>
    <col min="775" max="775" width="20.5703125" style="22" customWidth="1"/>
    <col min="776" max="776" width="15.5703125" style="22" customWidth="1"/>
    <col min="777" max="777" width="30.42578125" style="22" customWidth="1"/>
    <col min="778" max="778" width="10.42578125" style="22" customWidth="1"/>
    <col min="779" max="784" width="0" style="22" hidden="1" customWidth="1"/>
    <col min="785" max="785" width="14" style="22" customWidth="1"/>
    <col min="786" max="786" width="0.42578125" style="22" customWidth="1"/>
    <col min="787" max="1026" width="9.42578125" style="22"/>
    <col min="1027" max="1027" width="4.42578125" style="22" customWidth="1"/>
    <col min="1028" max="1028" width="20.5703125" style="22" customWidth="1"/>
    <col min="1029" max="1029" width="9.5703125" style="22" customWidth="1"/>
    <col min="1030" max="1030" width="18.42578125" style="22" customWidth="1"/>
    <col min="1031" max="1031" width="20.5703125" style="22" customWidth="1"/>
    <col min="1032" max="1032" width="15.5703125" style="22" customWidth="1"/>
    <col min="1033" max="1033" width="30.42578125" style="22" customWidth="1"/>
    <col min="1034" max="1034" width="10.42578125" style="22" customWidth="1"/>
    <col min="1035" max="1040" width="0" style="22" hidden="1" customWidth="1"/>
    <col min="1041" max="1041" width="14" style="22" customWidth="1"/>
    <col min="1042" max="1042" width="0.42578125" style="22" customWidth="1"/>
    <col min="1043" max="1282" width="9.42578125" style="22"/>
    <col min="1283" max="1283" width="4.42578125" style="22" customWidth="1"/>
    <col min="1284" max="1284" width="20.5703125" style="22" customWidth="1"/>
    <col min="1285" max="1285" width="9.5703125" style="22" customWidth="1"/>
    <col min="1286" max="1286" width="18.42578125" style="22" customWidth="1"/>
    <col min="1287" max="1287" width="20.5703125" style="22" customWidth="1"/>
    <col min="1288" max="1288" width="15.5703125" style="22" customWidth="1"/>
    <col min="1289" max="1289" width="30.42578125" style="22" customWidth="1"/>
    <col min="1290" max="1290" width="10.42578125" style="22" customWidth="1"/>
    <col min="1291" max="1296" width="0" style="22" hidden="1" customWidth="1"/>
    <col min="1297" max="1297" width="14" style="22" customWidth="1"/>
    <col min="1298" max="1298" width="0.42578125" style="22" customWidth="1"/>
    <col min="1299" max="1538" width="9.42578125" style="22"/>
    <col min="1539" max="1539" width="4.42578125" style="22" customWidth="1"/>
    <col min="1540" max="1540" width="20.5703125" style="22" customWidth="1"/>
    <col min="1541" max="1541" width="9.5703125" style="22" customWidth="1"/>
    <col min="1542" max="1542" width="18.42578125" style="22" customWidth="1"/>
    <col min="1543" max="1543" width="20.5703125" style="22" customWidth="1"/>
    <col min="1544" max="1544" width="15.5703125" style="22" customWidth="1"/>
    <col min="1545" max="1545" width="30.42578125" style="22" customWidth="1"/>
    <col min="1546" max="1546" width="10.42578125" style="22" customWidth="1"/>
    <col min="1547" max="1552" width="0" style="22" hidden="1" customWidth="1"/>
    <col min="1553" max="1553" width="14" style="22" customWidth="1"/>
    <col min="1554" max="1554" width="0.42578125" style="22" customWidth="1"/>
    <col min="1555" max="1794" width="9.42578125" style="22"/>
    <col min="1795" max="1795" width="4.42578125" style="22" customWidth="1"/>
    <col min="1796" max="1796" width="20.5703125" style="22" customWidth="1"/>
    <col min="1797" max="1797" width="9.5703125" style="22" customWidth="1"/>
    <col min="1798" max="1798" width="18.42578125" style="22" customWidth="1"/>
    <col min="1799" max="1799" width="20.5703125" style="22" customWidth="1"/>
    <col min="1800" max="1800" width="15.5703125" style="22" customWidth="1"/>
    <col min="1801" max="1801" width="30.42578125" style="22" customWidth="1"/>
    <col min="1802" max="1802" width="10.42578125" style="22" customWidth="1"/>
    <col min="1803" max="1808" width="0" style="22" hidden="1" customWidth="1"/>
    <col min="1809" max="1809" width="14" style="22" customWidth="1"/>
    <col min="1810" max="1810" width="0.42578125" style="22" customWidth="1"/>
    <col min="1811" max="2050" width="9.42578125" style="22"/>
    <col min="2051" max="2051" width="4.42578125" style="22" customWidth="1"/>
    <col min="2052" max="2052" width="20.5703125" style="22" customWidth="1"/>
    <col min="2053" max="2053" width="9.5703125" style="22" customWidth="1"/>
    <col min="2054" max="2054" width="18.42578125" style="22" customWidth="1"/>
    <col min="2055" max="2055" width="20.5703125" style="22" customWidth="1"/>
    <col min="2056" max="2056" width="15.5703125" style="22" customWidth="1"/>
    <col min="2057" max="2057" width="30.42578125" style="22" customWidth="1"/>
    <col min="2058" max="2058" width="10.42578125" style="22" customWidth="1"/>
    <col min="2059" max="2064" width="0" style="22" hidden="1" customWidth="1"/>
    <col min="2065" max="2065" width="14" style="22" customWidth="1"/>
    <col min="2066" max="2066" width="0.42578125" style="22" customWidth="1"/>
    <col min="2067" max="2306" width="9.42578125" style="22"/>
    <col min="2307" max="2307" width="4.42578125" style="22" customWidth="1"/>
    <col min="2308" max="2308" width="20.5703125" style="22" customWidth="1"/>
    <col min="2309" max="2309" width="9.5703125" style="22" customWidth="1"/>
    <col min="2310" max="2310" width="18.42578125" style="22" customWidth="1"/>
    <col min="2311" max="2311" width="20.5703125" style="22" customWidth="1"/>
    <col min="2312" max="2312" width="15.5703125" style="22" customWidth="1"/>
    <col min="2313" max="2313" width="30.42578125" style="22" customWidth="1"/>
    <col min="2314" max="2314" width="10.42578125" style="22" customWidth="1"/>
    <col min="2315" max="2320" width="0" style="22" hidden="1" customWidth="1"/>
    <col min="2321" max="2321" width="14" style="22" customWidth="1"/>
    <col min="2322" max="2322" width="0.42578125" style="22" customWidth="1"/>
    <col min="2323" max="2562" width="9.42578125" style="22"/>
    <col min="2563" max="2563" width="4.42578125" style="22" customWidth="1"/>
    <col min="2564" max="2564" width="20.5703125" style="22" customWidth="1"/>
    <col min="2565" max="2565" width="9.5703125" style="22" customWidth="1"/>
    <col min="2566" max="2566" width="18.42578125" style="22" customWidth="1"/>
    <col min="2567" max="2567" width="20.5703125" style="22" customWidth="1"/>
    <col min="2568" max="2568" width="15.5703125" style="22" customWidth="1"/>
    <col min="2569" max="2569" width="30.42578125" style="22" customWidth="1"/>
    <col min="2570" max="2570" width="10.42578125" style="22" customWidth="1"/>
    <col min="2571" max="2576" width="0" style="22" hidden="1" customWidth="1"/>
    <col min="2577" max="2577" width="14" style="22" customWidth="1"/>
    <col min="2578" max="2578" width="0.42578125" style="22" customWidth="1"/>
    <col min="2579" max="2818" width="9.42578125" style="22"/>
    <col min="2819" max="2819" width="4.42578125" style="22" customWidth="1"/>
    <col min="2820" max="2820" width="20.5703125" style="22" customWidth="1"/>
    <col min="2821" max="2821" width="9.5703125" style="22" customWidth="1"/>
    <col min="2822" max="2822" width="18.42578125" style="22" customWidth="1"/>
    <col min="2823" max="2823" width="20.5703125" style="22" customWidth="1"/>
    <col min="2824" max="2824" width="15.5703125" style="22" customWidth="1"/>
    <col min="2825" max="2825" width="30.42578125" style="22" customWidth="1"/>
    <col min="2826" max="2826" width="10.42578125" style="22" customWidth="1"/>
    <col min="2827" max="2832" width="0" style="22" hidden="1" customWidth="1"/>
    <col min="2833" max="2833" width="14" style="22" customWidth="1"/>
    <col min="2834" max="2834" width="0.42578125" style="22" customWidth="1"/>
    <col min="2835" max="3074" width="9.42578125" style="22"/>
    <col min="3075" max="3075" width="4.42578125" style="22" customWidth="1"/>
    <col min="3076" max="3076" width="20.5703125" style="22" customWidth="1"/>
    <col min="3077" max="3077" width="9.5703125" style="22" customWidth="1"/>
    <col min="3078" max="3078" width="18.42578125" style="22" customWidth="1"/>
    <col min="3079" max="3079" width="20.5703125" style="22" customWidth="1"/>
    <col min="3080" max="3080" width="15.5703125" style="22" customWidth="1"/>
    <col min="3081" max="3081" width="30.42578125" style="22" customWidth="1"/>
    <col min="3082" max="3082" width="10.42578125" style="22" customWidth="1"/>
    <col min="3083" max="3088" width="0" style="22" hidden="1" customWidth="1"/>
    <col min="3089" max="3089" width="14" style="22" customWidth="1"/>
    <col min="3090" max="3090" width="0.42578125" style="22" customWidth="1"/>
    <col min="3091" max="3330" width="9.42578125" style="22"/>
    <col min="3331" max="3331" width="4.42578125" style="22" customWidth="1"/>
    <col min="3332" max="3332" width="20.5703125" style="22" customWidth="1"/>
    <col min="3333" max="3333" width="9.5703125" style="22" customWidth="1"/>
    <col min="3334" max="3334" width="18.42578125" style="22" customWidth="1"/>
    <col min="3335" max="3335" width="20.5703125" style="22" customWidth="1"/>
    <col min="3336" max="3336" width="15.5703125" style="22" customWidth="1"/>
    <col min="3337" max="3337" width="30.42578125" style="22" customWidth="1"/>
    <col min="3338" max="3338" width="10.42578125" style="22" customWidth="1"/>
    <col min="3339" max="3344" width="0" style="22" hidden="1" customWidth="1"/>
    <col min="3345" max="3345" width="14" style="22" customWidth="1"/>
    <col min="3346" max="3346" width="0.42578125" style="22" customWidth="1"/>
    <col min="3347" max="3586" width="9.42578125" style="22"/>
    <col min="3587" max="3587" width="4.42578125" style="22" customWidth="1"/>
    <col min="3588" max="3588" width="20.5703125" style="22" customWidth="1"/>
    <col min="3589" max="3589" width="9.5703125" style="22" customWidth="1"/>
    <col min="3590" max="3590" width="18.42578125" style="22" customWidth="1"/>
    <col min="3591" max="3591" width="20.5703125" style="22" customWidth="1"/>
    <col min="3592" max="3592" width="15.5703125" style="22" customWidth="1"/>
    <col min="3593" max="3593" width="30.42578125" style="22" customWidth="1"/>
    <col min="3594" max="3594" width="10.42578125" style="22" customWidth="1"/>
    <col min="3595" max="3600" width="0" style="22" hidden="1" customWidth="1"/>
    <col min="3601" max="3601" width="14" style="22" customWidth="1"/>
    <col min="3602" max="3602" width="0.42578125" style="22" customWidth="1"/>
    <col min="3603" max="3842" width="9.42578125" style="22"/>
    <col min="3843" max="3843" width="4.42578125" style="22" customWidth="1"/>
    <col min="3844" max="3844" width="20.5703125" style="22" customWidth="1"/>
    <col min="3845" max="3845" width="9.5703125" style="22" customWidth="1"/>
    <col min="3846" max="3846" width="18.42578125" style="22" customWidth="1"/>
    <col min="3847" max="3847" width="20.5703125" style="22" customWidth="1"/>
    <col min="3848" max="3848" width="15.5703125" style="22" customWidth="1"/>
    <col min="3849" max="3849" width="30.42578125" style="22" customWidth="1"/>
    <col min="3850" max="3850" width="10.42578125" style="22" customWidth="1"/>
    <col min="3851" max="3856" width="0" style="22" hidden="1" customWidth="1"/>
    <col min="3857" max="3857" width="14" style="22" customWidth="1"/>
    <col min="3858" max="3858" width="0.42578125" style="22" customWidth="1"/>
    <col min="3859" max="4098" width="9.42578125" style="22"/>
    <col min="4099" max="4099" width="4.42578125" style="22" customWidth="1"/>
    <col min="4100" max="4100" width="20.5703125" style="22" customWidth="1"/>
    <col min="4101" max="4101" width="9.5703125" style="22" customWidth="1"/>
    <col min="4102" max="4102" width="18.42578125" style="22" customWidth="1"/>
    <col min="4103" max="4103" width="20.5703125" style="22" customWidth="1"/>
    <col min="4104" max="4104" width="15.5703125" style="22" customWidth="1"/>
    <col min="4105" max="4105" width="30.42578125" style="22" customWidth="1"/>
    <col min="4106" max="4106" width="10.42578125" style="22" customWidth="1"/>
    <col min="4107" max="4112" width="0" style="22" hidden="1" customWidth="1"/>
    <col min="4113" max="4113" width="14" style="22" customWidth="1"/>
    <col min="4114" max="4114" width="0.42578125" style="22" customWidth="1"/>
    <col min="4115" max="4354" width="9.42578125" style="22"/>
    <col min="4355" max="4355" width="4.42578125" style="22" customWidth="1"/>
    <col min="4356" max="4356" width="20.5703125" style="22" customWidth="1"/>
    <col min="4357" max="4357" width="9.5703125" style="22" customWidth="1"/>
    <col min="4358" max="4358" width="18.42578125" style="22" customWidth="1"/>
    <col min="4359" max="4359" width="20.5703125" style="22" customWidth="1"/>
    <col min="4360" max="4360" width="15.5703125" style="22" customWidth="1"/>
    <col min="4361" max="4361" width="30.42578125" style="22" customWidth="1"/>
    <col min="4362" max="4362" width="10.42578125" style="22" customWidth="1"/>
    <col min="4363" max="4368" width="0" style="22" hidden="1" customWidth="1"/>
    <col min="4369" max="4369" width="14" style="22" customWidth="1"/>
    <col min="4370" max="4370" width="0.42578125" style="22" customWidth="1"/>
    <col min="4371" max="4610" width="9.42578125" style="22"/>
    <col min="4611" max="4611" width="4.42578125" style="22" customWidth="1"/>
    <col min="4612" max="4612" width="20.5703125" style="22" customWidth="1"/>
    <col min="4613" max="4613" width="9.5703125" style="22" customWidth="1"/>
    <col min="4614" max="4614" width="18.42578125" style="22" customWidth="1"/>
    <col min="4615" max="4615" width="20.5703125" style="22" customWidth="1"/>
    <col min="4616" max="4616" width="15.5703125" style="22" customWidth="1"/>
    <col min="4617" max="4617" width="30.42578125" style="22" customWidth="1"/>
    <col min="4618" max="4618" width="10.42578125" style="22" customWidth="1"/>
    <col min="4619" max="4624" width="0" style="22" hidden="1" customWidth="1"/>
    <col min="4625" max="4625" width="14" style="22" customWidth="1"/>
    <col min="4626" max="4626" width="0.42578125" style="22" customWidth="1"/>
    <col min="4627" max="4866" width="9.42578125" style="22"/>
    <col min="4867" max="4867" width="4.42578125" style="22" customWidth="1"/>
    <col min="4868" max="4868" width="20.5703125" style="22" customWidth="1"/>
    <col min="4869" max="4869" width="9.5703125" style="22" customWidth="1"/>
    <col min="4870" max="4870" width="18.42578125" style="22" customWidth="1"/>
    <col min="4871" max="4871" width="20.5703125" style="22" customWidth="1"/>
    <col min="4872" max="4872" width="15.5703125" style="22" customWidth="1"/>
    <col min="4873" max="4873" width="30.42578125" style="22" customWidth="1"/>
    <col min="4874" max="4874" width="10.42578125" style="22" customWidth="1"/>
    <col min="4875" max="4880" width="0" style="22" hidden="1" customWidth="1"/>
    <col min="4881" max="4881" width="14" style="22" customWidth="1"/>
    <col min="4882" max="4882" width="0.42578125" style="22" customWidth="1"/>
    <col min="4883" max="5122" width="9.42578125" style="22"/>
    <col min="5123" max="5123" width="4.42578125" style="22" customWidth="1"/>
    <col min="5124" max="5124" width="20.5703125" style="22" customWidth="1"/>
    <col min="5125" max="5125" width="9.5703125" style="22" customWidth="1"/>
    <col min="5126" max="5126" width="18.42578125" style="22" customWidth="1"/>
    <col min="5127" max="5127" width="20.5703125" style="22" customWidth="1"/>
    <col min="5128" max="5128" width="15.5703125" style="22" customWidth="1"/>
    <col min="5129" max="5129" width="30.42578125" style="22" customWidth="1"/>
    <col min="5130" max="5130" width="10.42578125" style="22" customWidth="1"/>
    <col min="5131" max="5136" width="0" style="22" hidden="1" customWidth="1"/>
    <col min="5137" max="5137" width="14" style="22" customWidth="1"/>
    <col min="5138" max="5138" width="0.42578125" style="22" customWidth="1"/>
    <col min="5139" max="5378" width="9.42578125" style="22"/>
    <col min="5379" max="5379" width="4.42578125" style="22" customWidth="1"/>
    <col min="5380" max="5380" width="20.5703125" style="22" customWidth="1"/>
    <col min="5381" max="5381" width="9.5703125" style="22" customWidth="1"/>
    <col min="5382" max="5382" width="18.42578125" style="22" customWidth="1"/>
    <col min="5383" max="5383" width="20.5703125" style="22" customWidth="1"/>
    <col min="5384" max="5384" width="15.5703125" style="22" customWidth="1"/>
    <col min="5385" max="5385" width="30.42578125" style="22" customWidth="1"/>
    <col min="5386" max="5386" width="10.42578125" style="22" customWidth="1"/>
    <col min="5387" max="5392" width="0" style="22" hidden="1" customWidth="1"/>
    <col min="5393" max="5393" width="14" style="22" customWidth="1"/>
    <col min="5394" max="5394" width="0.42578125" style="22" customWidth="1"/>
    <col min="5395" max="5634" width="9.42578125" style="22"/>
    <col min="5635" max="5635" width="4.42578125" style="22" customWidth="1"/>
    <col min="5636" max="5636" width="20.5703125" style="22" customWidth="1"/>
    <col min="5637" max="5637" width="9.5703125" style="22" customWidth="1"/>
    <col min="5638" max="5638" width="18.42578125" style="22" customWidth="1"/>
    <col min="5639" max="5639" width="20.5703125" style="22" customWidth="1"/>
    <col min="5640" max="5640" width="15.5703125" style="22" customWidth="1"/>
    <col min="5641" max="5641" width="30.42578125" style="22" customWidth="1"/>
    <col min="5642" max="5642" width="10.42578125" style="22" customWidth="1"/>
    <col min="5643" max="5648" width="0" style="22" hidden="1" customWidth="1"/>
    <col min="5649" max="5649" width="14" style="22" customWidth="1"/>
    <col min="5650" max="5650" width="0.42578125" style="22" customWidth="1"/>
    <col min="5651" max="5890" width="9.42578125" style="22"/>
    <col min="5891" max="5891" width="4.42578125" style="22" customWidth="1"/>
    <col min="5892" max="5892" width="20.5703125" style="22" customWidth="1"/>
    <col min="5893" max="5893" width="9.5703125" style="22" customWidth="1"/>
    <col min="5894" max="5894" width="18.42578125" style="22" customWidth="1"/>
    <col min="5895" max="5895" width="20.5703125" style="22" customWidth="1"/>
    <col min="5896" max="5896" width="15.5703125" style="22" customWidth="1"/>
    <col min="5897" max="5897" width="30.42578125" style="22" customWidth="1"/>
    <col min="5898" max="5898" width="10.42578125" style="22" customWidth="1"/>
    <col min="5899" max="5904" width="0" style="22" hidden="1" customWidth="1"/>
    <col min="5905" max="5905" width="14" style="22" customWidth="1"/>
    <col min="5906" max="5906" width="0.42578125" style="22" customWidth="1"/>
    <col min="5907" max="6146" width="9.42578125" style="22"/>
    <col min="6147" max="6147" width="4.42578125" style="22" customWidth="1"/>
    <col min="6148" max="6148" width="20.5703125" style="22" customWidth="1"/>
    <col min="6149" max="6149" width="9.5703125" style="22" customWidth="1"/>
    <col min="6150" max="6150" width="18.42578125" style="22" customWidth="1"/>
    <col min="6151" max="6151" width="20.5703125" style="22" customWidth="1"/>
    <col min="6152" max="6152" width="15.5703125" style="22" customWidth="1"/>
    <col min="6153" max="6153" width="30.42578125" style="22" customWidth="1"/>
    <col min="6154" max="6154" width="10.42578125" style="22" customWidth="1"/>
    <col min="6155" max="6160" width="0" style="22" hidden="1" customWidth="1"/>
    <col min="6161" max="6161" width="14" style="22" customWidth="1"/>
    <col min="6162" max="6162" width="0.42578125" style="22" customWidth="1"/>
    <col min="6163" max="6402" width="9.42578125" style="22"/>
    <col min="6403" max="6403" width="4.42578125" style="22" customWidth="1"/>
    <col min="6404" max="6404" width="20.5703125" style="22" customWidth="1"/>
    <col min="6405" max="6405" width="9.5703125" style="22" customWidth="1"/>
    <col min="6406" max="6406" width="18.42578125" style="22" customWidth="1"/>
    <col min="6407" max="6407" width="20.5703125" style="22" customWidth="1"/>
    <col min="6408" max="6408" width="15.5703125" style="22" customWidth="1"/>
    <col min="6409" max="6409" width="30.42578125" style="22" customWidth="1"/>
    <col min="6410" max="6410" width="10.42578125" style="22" customWidth="1"/>
    <col min="6411" max="6416" width="0" style="22" hidden="1" customWidth="1"/>
    <col min="6417" max="6417" width="14" style="22" customWidth="1"/>
    <col min="6418" max="6418" width="0.42578125" style="22" customWidth="1"/>
    <col min="6419" max="6658" width="9.42578125" style="22"/>
    <col min="6659" max="6659" width="4.42578125" style="22" customWidth="1"/>
    <col min="6660" max="6660" width="20.5703125" style="22" customWidth="1"/>
    <col min="6661" max="6661" width="9.5703125" style="22" customWidth="1"/>
    <col min="6662" max="6662" width="18.42578125" style="22" customWidth="1"/>
    <col min="6663" max="6663" width="20.5703125" style="22" customWidth="1"/>
    <col min="6664" max="6664" width="15.5703125" style="22" customWidth="1"/>
    <col min="6665" max="6665" width="30.42578125" style="22" customWidth="1"/>
    <col min="6666" max="6666" width="10.42578125" style="22" customWidth="1"/>
    <col min="6667" max="6672" width="0" style="22" hidden="1" customWidth="1"/>
    <col min="6673" max="6673" width="14" style="22" customWidth="1"/>
    <col min="6674" max="6674" width="0.42578125" style="22" customWidth="1"/>
    <col min="6675" max="6914" width="9.42578125" style="22"/>
    <col min="6915" max="6915" width="4.42578125" style="22" customWidth="1"/>
    <col min="6916" max="6916" width="20.5703125" style="22" customWidth="1"/>
    <col min="6917" max="6917" width="9.5703125" style="22" customWidth="1"/>
    <col min="6918" max="6918" width="18.42578125" style="22" customWidth="1"/>
    <col min="6919" max="6919" width="20.5703125" style="22" customWidth="1"/>
    <col min="6920" max="6920" width="15.5703125" style="22" customWidth="1"/>
    <col min="6921" max="6921" width="30.42578125" style="22" customWidth="1"/>
    <col min="6922" max="6922" width="10.42578125" style="22" customWidth="1"/>
    <col min="6923" max="6928" width="0" style="22" hidden="1" customWidth="1"/>
    <col min="6929" max="6929" width="14" style="22" customWidth="1"/>
    <col min="6930" max="6930" width="0.42578125" style="22" customWidth="1"/>
    <col min="6931" max="7170" width="9.42578125" style="22"/>
    <col min="7171" max="7171" width="4.42578125" style="22" customWidth="1"/>
    <col min="7172" max="7172" width="20.5703125" style="22" customWidth="1"/>
    <col min="7173" max="7173" width="9.5703125" style="22" customWidth="1"/>
    <col min="7174" max="7174" width="18.42578125" style="22" customWidth="1"/>
    <col min="7175" max="7175" width="20.5703125" style="22" customWidth="1"/>
    <col min="7176" max="7176" width="15.5703125" style="22" customWidth="1"/>
    <col min="7177" max="7177" width="30.42578125" style="22" customWidth="1"/>
    <col min="7178" max="7178" width="10.42578125" style="22" customWidth="1"/>
    <col min="7179" max="7184" width="0" style="22" hidden="1" customWidth="1"/>
    <col min="7185" max="7185" width="14" style="22" customWidth="1"/>
    <col min="7186" max="7186" width="0.42578125" style="22" customWidth="1"/>
    <col min="7187" max="7426" width="9.42578125" style="22"/>
    <col min="7427" max="7427" width="4.42578125" style="22" customWidth="1"/>
    <col min="7428" max="7428" width="20.5703125" style="22" customWidth="1"/>
    <col min="7429" max="7429" width="9.5703125" style="22" customWidth="1"/>
    <col min="7430" max="7430" width="18.42578125" style="22" customWidth="1"/>
    <col min="7431" max="7431" width="20.5703125" style="22" customWidth="1"/>
    <col min="7432" max="7432" width="15.5703125" style="22" customWidth="1"/>
    <col min="7433" max="7433" width="30.42578125" style="22" customWidth="1"/>
    <col min="7434" max="7434" width="10.42578125" style="22" customWidth="1"/>
    <col min="7435" max="7440" width="0" style="22" hidden="1" customWidth="1"/>
    <col min="7441" max="7441" width="14" style="22" customWidth="1"/>
    <col min="7442" max="7442" width="0.42578125" style="22" customWidth="1"/>
    <col min="7443" max="7682" width="9.42578125" style="22"/>
    <col min="7683" max="7683" width="4.42578125" style="22" customWidth="1"/>
    <col min="7684" max="7684" width="20.5703125" style="22" customWidth="1"/>
    <col min="7685" max="7685" width="9.5703125" style="22" customWidth="1"/>
    <col min="7686" max="7686" width="18.42578125" style="22" customWidth="1"/>
    <col min="7687" max="7687" width="20.5703125" style="22" customWidth="1"/>
    <col min="7688" max="7688" width="15.5703125" style="22" customWidth="1"/>
    <col min="7689" max="7689" width="30.42578125" style="22" customWidth="1"/>
    <col min="7690" max="7690" width="10.42578125" style="22" customWidth="1"/>
    <col min="7691" max="7696" width="0" style="22" hidden="1" customWidth="1"/>
    <col min="7697" max="7697" width="14" style="22" customWidth="1"/>
    <col min="7698" max="7698" width="0.42578125" style="22" customWidth="1"/>
    <col min="7699" max="7938" width="9.42578125" style="22"/>
    <col min="7939" max="7939" width="4.42578125" style="22" customWidth="1"/>
    <col min="7940" max="7940" width="20.5703125" style="22" customWidth="1"/>
    <col min="7941" max="7941" width="9.5703125" style="22" customWidth="1"/>
    <col min="7942" max="7942" width="18.42578125" style="22" customWidth="1"/>
    <col min="7943" max="7943" width="20.5703125" style="22" customWidth="1"/>
    <col min="7944" max="7944" width="15.5703125" style="22" customWidth="1"/>
    <col min="7945" max="7945" width="30.42578125" style="22" customWidth="1"/>
    <col min="7946" max="7946" width="10.42578125" style="22" customWidth="1"/>
    <col min="7947" max="7952" width="0" style="22" hidden="1" customWidth="1"/>
    <col min="7953" max="7953" width="14" style="22" customWidth="1"/>
    <col min="7954" max="7954" width="0.42578125" style="22" customWidth="1"/>
    <col min="7955" max="8194" width="9.42578125" style="22"/>
    <col min="8195" max="8195" width="4.42578125" style="22" customWidth="1"/>
    <col min="8196" max="8196" width="20.5703125" style="22" customWidth="1"/>
    <col min="8197" max="8197" width="9.5703125" style="22" customWidth="1"/>
    <col min="8198" max="8198" width="18.42578125" style="22" customWidth="1"/>
    <col min="8199" max="8199" width="20.5703125" style="22" customWidth="1"/>
    <col min="8200" max="8200" width="15.5703125" style="22" customWidth="1"/>
    <col min="8201" max="8201" width="30.42578125" style="22" customWidth="1"/>
    <col min="8202" max="8202" width="10.42578125" style="22" customWidth="1"/>
    <col min="8203" max="8208" width="0" style="22" hidden="1" customWidth="1"/>
    <col min="8209" max="8209" width="14" style="22" customWidth="1"/>
    <col min="8210" max="8210" width="0.42578125" style="22" customWidth="1"/>
    <col min="8211" max="8450" width="9.42578125" style="22"/>
    <col min="8451" max="8451" width="4.42578125" style="22" customWidth="1"/>
    <col min="8452" max="8452" width="20.5703125" style="22" customWidth="1"/>
    <col min="8453" max="8453" width="9.5703125" style="22" customWidth="1"/>
    <col min="8454" max="8454" width="18.42578125" style="22" customWidth="1"/>
    <col min="8455" max="8455" width="20.5703125" style="22" customWidth="1"/>
    <col min="8456" max="8456" width="15.5703125" style="22" customWidth="1"/>
    <col min="8457" max="8457" width="30.42578125" style="22" customWidth="1"/>
    <col min="8458" max="8458" width="10.42578125" style="22" customWidth="1"/>
    <col min="8459" max="8464" width="0" style="22" hidden="1" customWidth="1"/>
    <col min="8465" max="8465" width="14" style="22" customWidth="1"/>
    <col min="8466" max="8466" width="0.42578125" style="22" customWidth="1"/>
    <col min="8467" max="8706" width="9.42578125" style="22"/>
    <col min="8707" max="8707" width="4.42578125" style="22" customWidth="1"/>
    <col min="8708" max="8708" width="20.5703125" style="22" customWidth="1"/>
    <col min="8709" max="8709" width="9.5703125" style="22" customWidth="1"/>
    <col min="8710" max="8710" width="18.42578125" style="22" customWidth="1"/>
    <col min="8711" max="8711" width="20.5703125" style="22" customWidth="1"/>
    <col min="8712" max="8712" width="15.5703125" style="22" customWidth="1"/>
    <col min="8713" max="8713" width="30.42578125" style="22" customWidth="1"/>
    <col min="8714" max="8714" width="10.42578125" style="22" customWidth="1"/>
    <col min="8715" max="8720" width="0" style="22" hidden="1" customWidth="1"/>
    <col min="8721" max="8721" width="14" style="22" customWidth="1"/>
    <col min="8722" max="8722" width="0.42578125" style="22" customWidth="1"/>
    <col min="8723" max="8962" width="9.42578125" style="22"/>
    <col min="8963" max="8963" width="4.42578125" style="22" customWidth="1"/>
    <col min="8964" max="8964" width="20.5703125" style="22" customWidth="1"/>
    <col min="8965" max="8965" width="9.5703125" style="22" customWidth="1"/>
    <col min="8966" max="8966" width="18.42578125" style="22" customWidth="1"/>
    <col min="8967" max="8967" width="20.5703125" style="22" customWidth="1"/>
    <col min="8968" max="8968" width="15.5703125" style="22" customWidth="1"/>
    <col min="8969" max="8969" width="30.42578125" style="22" customWidth="1"/>
    <col min="8970" max="8970" width="10.42578125" style="22" customWidth="1"/>
    <col min="8971" max="8976" width="0" style="22" hidden="1" customWidth="1"/>
    <col min="8977" max="8977" width="14" style="22" customWidth="1"/>
    <col min="8978" max="8978" width="0.42578125" style="22" customWidth="1"/>
    <col min="8979" max="9218" width="9.42578125" style="22"/>
    <col min="9219" max="9219" width="4.42578125" style="22" customWidth="1"/>
    <col min="9220" max="9220" width="20.5703125" style="22" customWidth="1"/>
    <col min="9221" max="9221" width="9.5703125" style="22" customWidth="1"/>
    <col min="9222" max="9222" width="18.42578125" style="22" customWidth="1"/>
    <col min="9223" max="9223" width="20.5703125" style="22" customWidth="1"/>
    <col min="9224" max="9224" width="15.5703125" style="22" customWidth="1"/>
    <col min="9225" max="9225" width="30.42578125" style="22" customWidth="1"/>
    <col min="9226" max="9226" width="10.42578125" style="22" customWidth="1"/>
    <col min="9227" max="9232" width="0" style="22" hidden="1" customWidth="1"/>
    <col min="9233" max="9233" width="14" style="22" customWidth="1"/>
    <col min="9234" max="9234" width="0.42578125" style="22" customWidth="1"/>
    <col min="9235" max="9474" width="9.42578125" style="22"/>
    <col min="9475" max="9475" width="4.42578125" style="22" customWidth="1"/>
    <col min="9476" max="9476" width="20.5703125" style="22" customWidth="1"/>
    <col min="9477" max="9477" width="9.5703125" style="22" customWidth="1"/>
    <col min="9478" max="9478" width="18.42578125" style="22" customWidth="1"/>
    <col min="9479" max="9479" width="20.5703125" style="22" customWidth="1"/>
    <col min="9480" max="9480" width="15.5703125" style="22" customWidth="1"/>
    <col min="9481" max="9481" width="30.42578125" style="22" customWidth="1"/>
    <col min="9482" max="9482" width="10.42578125" style="22" customWidth="1"/>
    <col min="9483" max="9488" width="0" style="22" hidden="1" customWidth="1"/>
    <col min="9489" max="9489" width="14" style="22" customWidth="1"/>
    <col min="9490" max="9490" width="0.42578125" style="22" customWidth="1"/>
    <col min="9491" max="9730" width="9.42578125" style="22"/>
    <col min="9731" max="9731" width="4.42578125" style="22" customWidth="1"/>
    <col min="9732" max="9732" width="20.5703125" style="22" customWidth="1"/>
    <col min="9733" max="9733" width="9.5703125" style="22" customWidth="1"/>
    <col min="9734" max="9734" width="18.42578125" style="22" customWidth="1"/>
    <col min="9735" max="9735" width="20.5703125" style="22" customWidth="1"/>
    <col min="9736" max="9736" width="15.5703125" style="22" customWidth="1"/>
    <col min="9737" max="9737" width="30.42578125" style="22" customWidth="1"/>
    <col min="9738" max="9738" width="10.42578125" style="22" customWidth="1"/>
    <col min="9739" max="9744" width="0" style="22" hidden="1" customWidth="1"/>
    <col min="9745" max="9745" width="14" style="22" customWidth="1"/>
    <col min="9746" max="9746" width="0.42578125" style="22" customWidth="1"/>
    <col min="9747" max="9986" width="9.42578125" style="22"/>
    <col min="9987" max="9987" width="4.42578125" style="22" customWidth="1"/>
    <col min="9988" max="9988" width="20.5703125" style="22" customWidth="1"/>
    <col min="9989" max="9989" width="9.5703125" style="22" customWidth="1"/>
    <col min="9990" max="9990" width="18.42578125" style="22" customWidth="1"/>
    <col min="9991" max="9991" width="20.5703125" style="22" customWidth="1"/>
    <col min="9992" max="9992" width="15.5703125" style="22" customWidth="1"/>
    <col min="9993" max="9993" width="30.42578125" style="22" customWidth="1"/>
    <col min="9994" max="9994" width="10.42578125" style="22" customWidth="1"/>
    <col min="9995" max="10000" width="0" style="22" hidden="1" customWidth="1"/>
    <col min="10001" max="10001" width="14" style="22" customWidth="1"/>
    <col min="10002" max="10002" width="0.42578125" style="22" customWidth="1"/>
    <col min="10003" max="10242" width="9.42578125" style="22"/>
    <col min="10243" max="10243" width="4.42578125" style="22" customWidth="1"/>
    <col min="10244" max="10244" width="20.5703125" style="22" customWidth="1"/>
    <col min="10245" max="10245" width="9.5703125" style="22" customWidth="1"/>
    <col min="10246" max="10246" width="18.42578125" style="22" customWidth="1"/>
    <col min="10247" max="10247" width="20.5703125" style="22" customWidth="1"/>
    <col min="10248" max="10248" width="15.5703125" style="22" customWidth="1"/>
    <col min="10249" max="10249" width="30.42578125" style="22" customWidth="1"/>
    <col min="10250" max="10250" width="10.42578125" style="22" customWidth="1"/>
    <col min="10251" max="10256" width="0" style="22" hidden="1" customWidth="1"/>
    <col min="10257" max="10257" width="14" style="22" customWidth="1"/>
    <col min="10258" max="10258" width="0.42578125" style="22" customWidth="1"/>
    <col min="10259" max="10498" width="9.42578125" style="22"/>
    <col min="10499" max="10499" width="4.42578125" style="22" customWidth="1"/>
    <col min="10500" max="10500" width="20.5703125" style="22" customWidth="1"/>
    <col min="10501" max="10501" width="9.5703125" style="22" customWidth="1"/>
    <col min="10502" max="10502" width="18.42578125" style="22" customWidth="1"/>
    <col min="10503" max="10503" width="20.5703125" style="22" customWidth="1"/>
    <col min="10504" max="10504" width="15.5703125" style="22" customWidth="1"/>
    <col min="10505" max="10505" width="30.42578125" style="22" customWidth="1"/>
    <col min="10506" max="10506" width="10.42578125" style="22" customWidth="1"/>
    <col min="10507" max="10512" width="0" style="22" hidden="1" customWidth="1"/>
    <col min="10513" max="10513" width="14" style="22" customWidth="1"/>
    <col min="10514" max="10514" width="0.42578125" style="22" customWidth="1"/>
    <col min="10515" max="10754" width="9.42578125" style="22"/>
    <col min="10755" max="10755" width="4.42578125" style="22" customWidth="1"/>
    <col min="10756" max="10756" width="20.5703125" style="22" customWidth="1"/>
    <col min="10757" max="10757" width="9.5703125" style="22" customWidth="1"/>
    <col min="10758" max="10758" width="18.42578125" style="22" customWidth="1"/>
    <col min="10759" max="10759" width="20.5703125" style="22" customWidth="1"/>
    <col min="10760" max="10760" width="15.5703125" style="22" customWidth="1"/>
    <col min="10761" max="10761" width="30.42578125" style="22" customWidth="1"/>
    <col min="10762" max="10762" width="10.42578125" style="22" customWidth="1"/>
    <col min="10763" max="10768" width="0" style="22" hidden="1" customWidth="1"/>
    <col min="10769" max="10769" width="14" style="22" customWidth="1"/>
    <col min="10770" max="10770" width="0.42578125" style="22" customWidth="1"/>
    <col min="10771" max="11010" width="9.42578125" style="22"/>
    <col min="11011" max="11011" width="4.42578125" style="22" customWidth="1"/>
    <col min="11012" max="11012" width="20.5703125" style="22" customWidth="1"/>
    <col min="11013" max="11013" width="9.5703125" style="22" customWidth="1"/>
    <col min="11014" max="11014" width="18.42578125" style="22" customWidth="1"/>
    <col min="11015" max="11015" width="20.5703125" style="22" customWidth="1"/>
    <col min="11016" max="11016" width="15.5703125" style="22" customWidth="1"/>
    <col min="11017" max="11017" width="30.42578125" style="22" customWidth="1"/>
    <col min="11018" max="11018" width="10.42578125" style="22" customWidth="1"/>
    <col min="11019" max="11024" width="0" style="22" hidden="1" customWidth="1"/>
    <col min="11025" max="11025" width="14" style="22" customWidth="1"/>
    <col min="11026" max="11026" width="0.42578125" style="22" customWidth="1"/>
    <col min="11027" max="11266" width="9.42578125" style="22"/>
    <col min="11267" max="11267" width="4.42578125" style="22" customWidth="1"/>
    <col min="11268" max="11268" width="20.5703125" style="22" customWidth="1"/>
    <col min="11269" max="11269" width="9.5703125" style="22" customWidth="1"/>
    <col min="11270" max="11270" width="18.42578125" style="22" customWidth="1"/>
    <col min="11271" max="11271" width="20.5703125" style="22" customWidth="1"/>
    <col min="11272" max="11272" width="15.5703125" style="22" customWidth="1"/>
    <col min="11273" max="11273" width="30.42578125" style="22" customWidth="1"/>
    <col min="11274" max="11274" width="10.42578125" style="22" customWidth="1"/>
    <col min="11275" max="11280" width="0" style="22" hidden="1" customWidth="1"/>
    <col min="11281" max="11281" width="14" style="22" customWidth="1"/>
    <col min="11282" max="11282" width="0.42578125" style="22" customWidth="1"/>
    <col min="11283" max="11522" width="9.42578125" style="22"/>
    <col min="11523" max="11523" width="4.42578125" style="22" customWidth="1"/>
    <col min="11524" max="11524" width="20.5703125" style="22" customWidth="1"/>
    <col min="11525" max="11525" width="9.5703125" style="22" customWidth="1"/>
    <col min="11526" max="11526" width="18.42578125" style="22" customWidth="1"/>
    <col min="11527" max="11527" width="20.5703125" style="22" customWidth="1"/>
    <col min="11528" max="11528" width="15.5703125" style="22" customWidth="1"/>
    <col min="11529" max="11529" width="30.42578125" style="22" customWidth="1"/>
    <col min="11530" max="11530" width="10.42578125" style="22" customWidth="1"/>
    <col min="11531" max="11536" width="0" style="22" hidden="1" customWidth="1"/>
    <col min="11537" max="11537" width="14" style="22" customWidth="1"/>
    <col min="11538" max="11538" width="0.42578125" style="22" customWidth="1"/>
    <col min="11539" max="11778" width="9.42578125" style="22"/>
    <col min="11779" max="11779" width="4.42578125" style="22" customWidth="1"/>
    <col min="11780" max="11780" width="20.5703125" style="22" customWidth="1"/>
    <col min="11781" max="11781" width="9.5703125" style="22" customWidth="1"/>
    <col min="11782" max="11782" width="18.42578125" style="22" customWidth="1"/>
    <col min="11783" max="11783" width="20.5703125" style="22" customWidth="1"/>
    <col min="11784" max="11784" width="15.5703125" style="22" customWidth="1"/>
    <col min="11785" max="11785" width="30.42578125" style="22" customWidth="1"/>
    <col min="11786" max="11786" width="10.42578125" style="22" customWidth="1"/>
    <col min="11787" max="11792" width="0" style="22" hidden="1" customWidth="1"/>
    <col min="11793" max="11793" width="14" style="22" customWidth="1"/>
    <col min="11794" max="11794" width="0.42578125" style="22" customWidth="1"/>
    <col min="11795" max="12034" width="9.42578125" style="22"/>
    <col min="12035" max="12035" width="4.42578125" style="22" customWidth="1"/>
    <col min="12036" max="12036" width="20.5703125" style="22" customWidth="1"/>
    <col min="12037" max="12037" width="9.5703125" style="22" customWidth="1"/>
    <col min="12038" max="12038" width="18.42578125" style="22" customWidth="1"/>
    <col min="12039" max="12039" width="20.5703125" style="22" customWidth="1"/>
    <col min="12040" max="12040" width="15.5703125" style="22" customWidth="1"/>
    <col min="12041" max="12041" width="30.42578125" style="22" customWidth="1"/>
    <col min="12042" max="12042" width="10.42578125" style="22" customWidth="1"/>
    <col min="12043" max="12048" width="0" style="22" hidden="1" customWidth="1"/>
    <col min="12049" max="12049" width="14" style="22" customWidth="1"/>
    <col min="12050" max="12050" width="0.42578125" style="22" customWidth="1"/>
    <col min="12051" max="12290" width="9.42578125" style="22"/>
    <col min="12291" max="12291" width="4.42578125" style="22" customWidth="1"/>
    <col min="12292" max="12292" width="20.5703125" style="22" customWidth="1"/>
    <col min="12293" max="12293" width="9.5703125" style="22" customWidth="1"/>
    <col min="12294" max="12294" width="18.42578125" style="22" customWidth="1"/>
    <col min="12295" max="12295" width="20.5703125" style="22" customWidth="1"/>
    <col min="12296" max="12296" width="15.5703125" style="22" customWidth="1"/>
    <col min="12297" max="12297" width="30.42578125" style="22" customWidth="1"/>
    <col min="12298" max="12298" width="10.42578125" style="22" customWidth="1"/>
    <col min="12299" max="12304" width="0" style="22" hidden="1" customWidth="1"/>
    <col min="12305" max="12305" width="14" style="22" customWidth="1"/>
    <col min="12306" max="12306" width="0.42578125" style="22" customWidth="1"/>
    <col min="12307" max="12546" width="9.42578125" style="22"/>
    <col min="12547" max="12547" width="4.42578125" style="22" customWidth="1"/>
    <col min="12548" max="12548" width="20.5703125" style="22" customWidth="1"/>
    <col min="12549" max="12549" width="9.5703125" style="22" customWidth="1"/>
    <col min="12550" max="12550" width="18.42578125" style="22" customWidth="1"/>
    <col min="12551" max="12551" width="20.5703125" style="22" customWidth="1"/>
    <col min="12552" max="12552" width="15.5703125" style="22" customWidth="1"/>
    <col min="12553" max="12553" width="30.42578125" style="22" customWidth="1"/>
    <col min="12554" max="12554" width="10.42578125" style="22" customWidth="1"/>
    <col min="12555" max="12560" width="0" style="22" hidden="1" customWidth="1"/>
    <col min="12561" max="12561" width="14" style="22" customWidth="1"/>
    <col min="12562" max="12562" width="0.42578125" style="22" customWidth="1"/>
    <col min="12563" max="12802" width="9.42578125" style="22"/>
    <col min="12803" max="12803" width="4.42578125" style="22" customWidth="1"/>
    <col min="12804" max="12804" width="20.5703125" style="22" customWidth="1"/>
    <col min="12805" max="12805" width="9.5703125" style="22" customWidth="1"/>
    <col min="12806" max="12806" width="18.42578125" style="22" customWidth="1"/>
    <col min="12807" max="12807" width="20.5703125" style="22" customWidth="1"/>
    <col min="12808" max="12808" width="15.5703125" style="22" customWidth="1"/>
    <col min="12809" max="12809" width="30.42578125" style="22" customWidth="1"/>
    <col min="12810" max="12810" width="10.42578125" style="22" customWidth="1"/>
    <col min="12811" max="12816" width="0" style="22" hidden="1" customWidth="1"/>
    <col min="12817" max="12817" width="14" style="22" customWidth="1"/>
    <col min="12818" max="12818" width="0.42578125" style="22" customWidth="1"/>
    <col min="12819" max="13058" width="9.42578125" style="22"/>
    <col min="13059" max="13059" width="4.42578125" style="22" customWidth="1"/>
    <col min="13060" max="13060" width="20.5703125" style="22" customWidth="1"/>
    <col min="13061" max="13061" width="9.5703125" style="22" customWidth="1"/>
    <col min="13062" max="13062" width="18.42578125" style="22" customWidth="1"/>
    <col min="13063" max="13063" width="20.5703125" style="22" customWidth="1"/>
    <col min="13064" max="13064" width="15.5703125" style="22" customWidth="1"/>
    <col min="13065" max="13065" width="30.42578125" style="22" customWidth="1"/>
    <col min="13066" max="13066" width="10.42578125" style="22" customWidth="1"/>
    <col min="13067" max="13072" width="0" style="22" hidden="1" customWidth="1"/>
    <col min="13073" max="13073" width="14" style="22" customWidth="1"/>
    <col min="13074" max="13074" width="0.42578125" style="22" customWidth="1"/>
    <col min="13075" max="13314" width="9.42578125" style="22"/>
    <col min="13315" max="13315" width="4.42578125" style="22" customWidth="1"/>
    <col min="13316" max="13316" width="20.5703125" style="22" customWidth="1"/>
    <col min="13317" max="13317" width="9.5703125" style="22" customWidth="1"/>
    <col min="13318" max="13318" width="18.42578125" style="22" customWidth="1"/>
    <col min="13319" max="13319" width="20.5703125" style="22" customWidth="1"/>
    <col min="13320" max="13320" width="15.5703125" style="22" customWidth="1"/>
    <col min="13321" max="13321" width="30.42578125" style="22" customWidth="1"/>
    <col min="13322" max="13322" width="10.42578125" style="22" customWidth="1"/>
    <col min="13323" max="13328" width="0" style="22" hidden="1" customWidth="1"/>
    <col min="13329" max="13329" width="14" style="22" customWidth="1"/>
    <col min="13330" max="13330" width="0.42578125" style="22" customWidth="1"/>
    <col min="13331" max="13570" width="9.42578125" style="22"/>
    <col min="13571" max="13571" width="4.42578125" style="22" customWidth="1"/>
    <col min="13572" max="13572" width="20.5703125" style="22" customWidth="1"/>
    <col min="13573" max="13573" width="9.5703125" style="22" customWidth="1"/>
    <col min="13574" max="13574" width="18.42578125" style="22" customWidth="1"/>
    <col min="13575" max="13575" width="20.5703125" style="22" customWidth="1"/>
    <col min="13576" max="13576" width="15.5703125" style="22" customWidth="1"/>
    <col min="13577" max="13577" width="30.42578125" style="22" customWidth="1"/>
    <col min="13578" max="13578" width="10.42578125" style="22" customWidth="1"/>
    <col min="13579" max="13584" width="0" style="22" hidden="1" customWidth="1"/>
    <col min="13585" max="13585" width="14" style="22" customWidth="1"/>
    <col min="13586" max="13586" width="0.42578125" style="22" customWidth="1"/>
    <col min="13587" max="13826" width="9.42578125" style="22"/>
    <col min="13827" max="13827" width="4.42578125" style="22" customWidth="1"/>
    <col min="13828" max="13828" width="20.5703125" style="22" customWidth="1"/>
    <col min="13829" max="13829" width="9.5703125" style="22" customWidth="1"/>
    <col min="13830" max="13830" width="18.42578125" style="22" customWidth="1"/>
    <col min="13831" max="13831" width="20.5703125" style="22" customWidth="1"/>
    <col min="13832" max="13832" width="15.5703125" style="22" customWidth="1"/>
    <col min="13833" max="13833" width="30.42578125" style="22" customWidth="1"/>
    <col min="13834" max="13834" width="10.42578125" style="22" customWidth="1"/>
    <col min="13835" max="13840" width="0" style="22" hidden="1" customWidth="1"/>
    <col min="13841" max="13841" width="14" style="22" customWidth="1"/>
    <col min="13842" max="13842" width="0.42578125" style="22" customWidth="1"/>
    <col min="13843" max="14082" width="9.42578125" style="22"/>
    <col min="14083" max="14083" width="4.42578125" style="22" customWidth="1"/>
    <col min="14084" max="14084" width="20.5703125" style="22" customWidth="1"/>
    <col min="14085" max="14085" width="9.5703125" style="22" customWidth="1"/>
    <col min="14086" max="14086" width="18.42578125" style="22" customWidth="1"/>
    <col min="14087" max="14087" width="20.5703125" style="22" customWidth="1"/>
    <col min="14088" max="14088" width="15.5703125" style="22" customWidth="1"/>
    <col min="14089" max="14089" width="30.42578125" style="22" customWidth="1"/>
    <col min="14090" max="14090" width="10.42578125" style="22" customWidth="1"/>
    <col min="14091" max="14096" width="0" style="22" hidden="1" customWidth="1"/>
    <col min="14097" max="14097" width="14" style="22" customWidth="1"/>
    <col min="14098" max="14098" width="0.42578125" style="22" customWidth="1"/>
    <col min="14099" max="14338" width="9.42578125" style="22"/>
    <col min="14339" max="14339" width="4.42578125" style="22" customWidth="1"/>
    <col min="14340" max="14340" width="20.5703125" style="22" customWidth="1"/>
    <col min="14341" max="14341" width="9.5703125" style="22" customWidth="1"/>
    <col min="14342" max="14342" width="18.42578125" style="22" customWidth="1"/>
    <col min="14343" max="14343" width="20.5703125" style="22" customWidth="1"/>
    <col min="14344" max="14344" width="15.5703125" style="22" customWidth="1"/>
    <col min="14345" max="14345" width="30.42578125" style="22" customWidth="1"/>
    <col min="14346" max="14346" width="10.42578125" style="22" customWidth="1"/>
    <col min="14347" max="14352" width="0" style="22" hidden="1" customWidth="1"/>
    <col min="14353" max="14353" width="14" style="22" customWidth="1"/>
    <col min="14354" max="14354" width="0.42578125" style="22" customWidth="1"/>
    <col min="14355" max="14594" width="9.42578125" style="22"/>
    <col min="14595" max="14595" width="4.42578125" style="22" customWidth="1"/>
    <col min="14596" max="14596" width="20.5703125" style="22" customWidth="1"/>
    <col min="14597" max="14597" width="9.5703125" style="22" customWidth="1"/>
    <col min="14598" max="14598" width="18.42578125" style="22" customWidth="1"/>
    <col min="14599" max="14599" width="20.5703125" style="22" customWidth="1"/>
    <col min="14600" max="14600" width="15.5703125" style="22" customWidth="1"/>
    <col min="14601" max="14601" width="30.42578125" style="22" customWidth="1"/>
    <col min="14602" max="14602" width="10.42578125" style="22" customWidth="1"/>
    <col min="14603" max="14608" width="0" style="22" hidden="1" customWidth="1"/>
    <col min="14609" max="14609" width="14" style="22" customWidth="1"/>
    <col min="14610" max="14610" width="0.42578125" style="22" customWidth="1"/>
    <col min="14611" max="14850" width="9.42578125" style="22"/>
    <col min="14851" max="14851" width="4.42578125" style="22" customWidth="1"/>
    <col min="14852" max="14852" width="20.5703125" style="22" customWidth="1"/>
    <col min="14853" max="14853" width="9.5703125" style="22" customWidth="1"/>
    <col min="14854" max="14854" width="18.42578125" style="22" customWidth="1"/>
    <col min="14855" max="14855" width="20.5703125" style="22" customWidth="1"/>
    <col min="14856" max="14856" width="15.5703125" style="22" customWidth="1"/>
    <col min="14857" max="14857" width="30.42578125" style="22" customWidth="1"/>
    <col min="14858" max="14858" width="10.42578125" style="22" customWidth="1"/>
    <col min="14859" max="14864" width="0" style="22" hidden="1" customWidth="1"/>
    <col min="14865" max="14865" width="14" style="22" customWidth="1"/>
    <col min="14866" max="14866" width="0.42578125" style="22" customWidth="1"/>
    <col min="14867" max="15106" width="9.42578125" style="22"/>
    <col min="15107" max="15107" width="4.42578125" style="22" customWidth="1"/>
    <col min="15108" max="15108" width="20.5703125" style="22" customWidth="1"/>
    <col min="15109" max="15109" width="9.5703125" style="22" customWidth="1"/>
    <col min="15110" max="15110" width="18.42578125" style="22" customWidth="1"/>
    <col min="15111" max="15111" width="20.5703125" style="22" customWidth="1"/>
    <col min="15112" max="15112" width="15.5703125" style="22" customWidth="1"/>
    <col min="15113" max="15113" width="30.42578125" style="22" customWidth="1"/>
    <col min="15114" max="15114" width="10.42578125" style="22" customWidth="1"/>
    <col min="15115" max="15120" width="0" style="22" hidden="1" customWidth="1"/>
    <col min="15121" max="15121" width="14" style="22" customWidth="1"/>
    <col min="15122" max="15122" width="0.42578125" style="22" customWidth="1"/>
    <col min="15123" max="15362" width="9.42578125" style="22"/>
    <col min="15363" max="15363" width="4.42578125" style="22" customWidth="1"/>
    <col min="15364" max="15364" width="20.5703125" style="22" customWidth="1"/>
    <col min="15365" max="15365" width="9.5703125" style="22" customWidth="1"/>
    <col min="15366" max="15366" width="18.42578125" style="22" customWidth="1"/>
    <col min="15367" max="15367" width="20.5703125" style="22" customWidth="1"/>
    <col min="15368" max="15368" width="15.5703125" style="22" customWidth="1"/>
    <col min="15369" max="15369" width="30.42578125" style="22" customWidth="1"/>
    <col min="15370" max="15370" width="10.42578125" style="22" customWidth="1"/>
    <col min="15371" max="15376" width="0" style="22" hidden="1" customWidth="1"/>
    <col min="15377" max="15377" width="14" style="22" customWidth="1"/>
    <col min="15378" max="15378" width="0.42578125" style="22" customWidth="1"/>
    <col min="15379" max="15618" width="9.42578125" style="22"/>
    <col min="15619" max="15619" width="4.42578125" style="22" customWidth="1"/>
    <col min="15620" max="15620" width="20.5703125" style="22" customWidth="1"/>
    <col min="15621" max="15621" width="9.5703125" style="22" customWidth="1"/>
    <col min="15622" max="15622" width="18.42578125" style="22" customWidth="1"/>
    <col min="15623" max="15623" width="20.5703125" style="22" customWidth="1"/>
    <col min="15624" max="15624" width="15.5703125" style="22" customWidth="1"/>
    <col min="15625" max="15625" width="30.42578125" style="22" customWidth="1"/>
    <col min="15626" max="15626" width="10.42578125" style="22" customWidth="1"/>
    <col min="15627" max="15632" width="0" style="22" hidden="1" customWidth="1"/>
    <col min="15633" max="15633" width="14" style="22" customWidth="1"/>
    <col min="15634" max="15634" width="0.42578125" style="22" customWidth="1"/>
    <col min="15635" max="15874" width="9.42578125" style="22"/>
    <col min="15875" max="15875" width="4.42578125" style="22" customWidth="1"/>
    <col min="15876" max="15876" width="20.5703125" style="22" customWidth="1"/>
    <col min="15877" max="15877" width="9.5703125" style="22" customWidth="1"/>
    <col min="15878" max="15878" width="18.42578125" style="22" customWidth="1"/>
    <col min="15879" max="15879" width="20.5703125" style="22" customWidth="1"/>
    <col min="15880" max="15880" width="15.5703125" style="22" customWidth="1"/>
    <col min="15881" max="15881" width="30.42578125" style="22" customWidth="1"/>
    <col min="15882" max="15882" width="10.42578125" style="22" customWidth="1"/>
    <col min="15883" max="15888" width="0" style="22" hidden="1" customWidth="1"/>
    <col min="15889" max="15889" width="14" style="22" customWidth="1"/>
    <col min="15890" max="15890" width="0.42578125" style="22" customWidth="1"/>
    <col min="15891" max="16130" width="9.42578125" style="22"/>
    <col min="16131" max="16131" width="4.42578125" style="22" customWidth="1"/>
    <col min="16132" max="16132" width="20.5703125" style="22" customWidth="1"/>
    <col min="16133" max="16133" width="9.5703125" style="22" customWidth="1"/>
    <col min="16134" max="16134" width="18.42578125" style="22" customWidth="1"/>
    <col min="16135" max="16135" width="20.5703125" style="22" customWidth="1"/>
    <col min="16136" max="16136" width="15.5703125" style="22" customWidth="1"/>
    <col min="16137" max="16137" width="30.42578125" style="22" customWidth="1"/>
    <col min="16138" max="16138" width="10.42578125" style="22" customWidth="1"/>
    <col min="16139" max="16144" width="0" style="22" hidden="1" customWidth="1"/>
    <col min="16145" max="16145" width="14" style="22" customWidth="1"/>
    <col min="16146" max="16146" width="0.42578125" style="22" customWidth="1"/>
    <col min="16147" max="16379" width="9.42578125" style="22"/>
    <col min="16380" max="16384" width="9.42578125" style="22" customWidth="1"/>
  </cols>
  <sheetData>
    <row r="1" spans="1:58" ht="39.75" customHeight="1" thickBot="1" x14ac:dyDescent="0.3">
      <c r="A1" s="673" t="s">
        <v>213</v>
      </c>
      <c r="B1" s="674"/>
      <c r="C1" s="674"/>
      <c r="D1" s="674"/>
      <c r="E1" s="674"/>
      <c r="F1" s="674"/>
      <c r="G1" s="674"/>
      <c r="H1" s="674"/>
      <c r="I1" s="674"/>
      <c r="J1" s="674"/>
      <c r="K1" s="674"/>
      <c r="L1" s="674"/>
      <c r="M1" s="674"/>
      <c r="N1" s="674"/>
      <c r="O1" s="674"/>
      <c r="P1" s="674"/>
      <c r="Q1" s="675"/>
    </row>
    <row r="2" spans="1:58" ht="30.75" customHeight="1" thickBot="1" x14ac:dyDescent="0.3">
      <c r="A2" s="145"/>
      <c r="B2" s="152"/>
      <c r="C2" s="249" t="s">
        <v>121</v>
      </c>
      <c r="D2" s="250">
        <f>'PB '!C1</f>
        <v>0</v>
      </c>
      <c r="E2" s="145"/>
      <c r="F2" s="145"/>
      <c r="G2" s="145"/>
      <c r="H2" s="145"/>
      <c r="I2" s="145"/>
      <c r="J2" s="145"/>
      <c r="K2" s="145"/>
      <c r="L2" s="145"/>
      <c r="M2" s="145"/>
      <c r="N2" s="145"/>
      <c r="O2" s="145"/>
      <c r="P2" s="145"/>
      <c r="Q2" s="145"/>
    </row>
    <row r="3" spans="1:58" s="23" customFormat="1" ht="50.25" customHeight="1" thickBot="1" x14ac:dyDescent="0.3">
      <c r="A3" s="432" t="s">
        <v>24</v>
      </c>
      <c r="B3" s="433" t="s">
        <v>25</v>
      </c>
      <c r="C3" s="434" t="s">
        <v>3</v>
      </c>
      <c r="D3" s="435" t="s">
        <v>26</v>
      </c>
      <c r="E3" s="436" t="s">
        <v>115</v>
      </c>
      <c r="F3" s="437" t="s">
        <v>123</v>
      </c>
      <c r="G3" s="437" t="s">
        <v>27</v>
      </c>
      <c r="H3" s="438" t="s">
        <v>122</v>
      </c>
      <c r="I3" s="439" t="s">
        <v>108</v>
      </c>
      <c r="J3" s="439" t="s">
        <v>109</v>
      </c>
      <c r="K3" s="439" t="s">
        <v>28</v>
      </c>
      <c r="L3" s="437" t="s">
        <v>29</v>
      </c>
      <c r="M3" s="440" t="s">
        <v>30</v>
      </c>
      <c r="N3" s="434" t="s">
        <v>31</v>
      </c>
      <c r="O3" s="434" t="s">
        <v>32</v>
      </c>
      <c r="P3" s="434" t="s">
        <v>33</v>
      </c>
      <c r="Q3" s="441" t="s">
        <v>34</v>
      </c>
    </row>
    <row r="4" spans="1:58" ht="75" customHeight="1" thickBot="1" x14ac:dyDescent="0.3">
      <c r="A4" s="442">
        <v>1</v>
      </c>
      <c r="B4" s="499">
        <f>'PB '!C7</f>
        <v>0</v>
      </c>
      <c r="C4" s="500" t="str">
        <f>'PB '!D7</f>
        <v>Master</v>
      </c>
      <c r="D4" s="501"/>
      <c r="E4" s="502"/>
      <c r="F4" s="501"/>
      <c r="G4" s="503"/>
      <c r="H4" s="501"/>
      <c r="I4" s="504">
        <f>'PB '!R7</f>
        <v>7000</v>
      </c>
      <c r="J4" s="504" t="s">
        <v>212</v>
      </c>
      <c r="K4" s="505"/>
      <c r="L4" s="505"/>
      <c r="M4" s="505"/>
      <c r="N4" s="505"/>
      <c r="O4" s="505"/>
      <c r="P4" s="506"/>
      <c r="Q4" s="507"/>
    </row>
    <row r="5" spans="1:58" ht="81.75" customHeight="1" thickBot="1" x14ac:dyDescent="0.3">
      <c r="A5" s="446">
        <v>2</v>
      </c>
      <c r="B5" s="347">
        <f>'PB '!C8</f>
        <v>0</v>
      </c>
      <c r="C5" s="343" t="str">
        <f>'PB '!D8</f>
        <v>Ch.Officer</v>
      </c>
      <c r="D5" s="348"/>
      <c r="E5" s="353"/>
      <c r="F5" s="348"/>
      <c r="G5" s="350"/>
      <c r="H5" s="348"/>
      <c r="I5" s="489">
        <f>'PB '!R8</f>
        <v>11000</v>
      </c>
      <c r="J5" s="504" t="s">
        <v>212</v>
      </c>
      <c r="K5" s="342"/>
      <c r="L5" s="342"/>
      <c r="M5" s="342"/>
      <c r="N5" s="342"/>
      <c r="O5" s="342"/>
      <c r="P5" s="508"/>
      <c r="Q5" s="346"/>
      <c r="U5" s="320"/>
    </row>
    <row r="6" spans="1:58" ht="70.5" customHeight="1" thickBot="1" x14ac:dyDescent="0.3">
      <c r="A6" s="446">
        <v>3</v>
      </c>
      <c r="B6" s="347">
        <f>'PB '!C9</f>
        <v>0</v>
      </c>
      <c r="C6" s="343" t="s">
        <v>183</v>
      </c>
      <c r="D6" s="348"/>
      <c r="E6" s="482"/>
      <c r="F6" s="348"/>
      <c r="G6" s="350"/>
      <c r="H6" s="483"/>
      <c r="I6" s="489">
        <f>'PB '!R9</f>
        <v>5050</v>
      </c>
      <c r="J6" s="504" t="s">
        <v>212</v>
      </c>
      <c r="K6" s="342"/>
      <c r="L6" s="342"/>
      <c r="M6" s="342"/>
      <c r="N6" s="342"/>
      <c r="O6" s="342"/>
      <c r="P6" s="342"/>
      <c r="Q6" s="346"/>
      <c r="V6" s="321"/>
    </row>
    <row r="7" spans="1:58" ht="79.5" customHeight="1" thickBot="1" x14ac:dyDescent="0.3">
      <c r="A7" s="446">
        <v>4</v>
      </c>
      <c r="B7" s="347">
        <f>'PB '!C10</f>
        <v>0</v>
      </c>
      <c r="C7" s="343" t="s">
        <v>158</v>
      </c>
      <c r="D7" s="348"/>
      <c r="E7" s="353"/>
      <c r="F7" s="348"/>
      <c r="G7" s="350"/>
      <c r="H7" s="348"/>
      <c r="I7" s="489">
        <f>'PB '!R10</f>
        <v>4193.08</v>
      </c>
      <c r="J7" s="504" t="s">
        <v>212</v>
      </c>
      <c r="K7" s="342"/>
      <c r="L7" s="342"/>
      <c r="M7" s="342"/>
      <c r="N7" s="342"/>
      <c r="O7" s="342"/>
      <c r="P7" s="342"/>
      <c r="Q7" s="346"/>
    </row>
    <row r="8" spans="1:58" ht="73.5" customHeight="1" thickBot="1" x14ac:dyDescent="0.3">
      <c r="A8" s="446">
        <v>5</v>
      </c>
      <c r="B8" s="347">
        <f>'PB '!C11</f>
        <v>0</v>
      </c>
      <c r="C8" s="343" t="str">
        <f>'PB '!D11</f>
        <v>Deck Cadet</v>
      </c>
      <c r="D8" s="348"/>
      <c r="E8" s="353"/>
      <c r="F8" s="348"/>
      <c r="G8" s="350"/>
      <c r="H8" s="348"/>
      <c r="I8" s="489">
        <f>'PB '!R11</f>
        <v>86.03</v>
      </c>
      <c r="J8" s="504" t="s">
        <v>212</v>
      </c>
      <c r="K8" s="342"/>
      <c r="L8" s="342"/>
      <c r="M8" s="342"/>
      <c r="N8" s="342"/>
      <c r="O8" s="342"/>
      <c r="P8" s="342"/>
      <c r="Q8" s="346"/>
    </row>
    <row r="9" spans="1:58" ht="95.25" customHeight="1" thickBot="1" x14ac:dyDescent="0.3">
      <c r="A9" s="446">
        <v>6</v>
      </c>
      <c r="B9" s="347">
        <f>'PB '!C12</f>
        <v>0</v>
      </c>
      <c r="C9" s="343" t="str">
        <f>'PB '!D12</f>
        <v>Ch.Engineer</v>
      </c>
      <c r="D9" s="348"/>
      <c r="E9" s="353"/>
      <c r="F9" s="348"/>
      <c r="G9" s="350"/>
      <c r="H9" s="348"/>
      <c r="I9" s="489">
        <f>'PB '!R12</f>
        <v>2163.0166666666664</v>
      </c>
      <c r="J9" s="504" t="s">
        <v>212</v>
      </c>
      <c r="K9" s="492"/>
      <c r="L9" s="492"/>
      <c r="M9" s="492"/>
      <c r="N9" s="492"/>
      <c r="O9" s="492"/>
      <c r="P9" s="492"/>
      <c r="Q9" s="346"/>
    </row>
    <row r="10" spans="1:58" ht="81.75" customHeight="1" thickBot="1" x14ac:dyDescent="0.3">
      <c r="A10" s="446">
        <v>7</v>
      </c>
      <c r="B10" s="347">
        <f>'PB '!C13</f>
        <v>0</v>
      </c>
      <c r="C10" s="343" t="str">
        <f>'PB '!D13</f>
        <v>2nd Engineer</v>
      </c>
      <c r="D10" s="348"/>
      <c r="E10" s="349"/>
      <c r="F10" s="348"/>
      <c r="G10" s="347"/>
      <c r="H10" s="348"/>
      <c r="I10" s="165">
        <f>'PB '!R13</f>
        <v>12500</v>
      </c>
      <c r="J10" s="504" t="s">
        <v>212</v>
      </c>
      <c r="K10" s="342"/>
      <c r="L10" s="342"/>
      <c r="M10" s="342"/>
      <c r="N10" s="342"/>
      <c r="O10" s="342"/>
      <c r="P10" s="342"/>
      <c r="Q10" s="346"/>
    </row>
    <row r="11" spans="1:58" ht="81" customHeight="1" thickBot="1" x14ac:dyDescent="0.3">
      <c r="A11" s="446">
        <v>8</v>
      </c>
      <c r="B11" s="347">
        <f>'PB '!C14</f>
        <v>0</v>
      </c>
      <c r="C11" s="343" t="str">
        <f>'PB '!D14</f>
        <v>3rd.Engineer</v>
      </c>
      <c r="D11" s="348"/>
      <c r="E11" s="353"/>
      <c r="F11" s="348"/>
      <c r="G11" s="350"/>
      <c r="H11" s="348"/>
      <c r="I11" s="165">
        <f>'PB '!R14+'PB '!R40</f>
        <v>2166.666666666667</v>
      </c>
      <c r="J11" s="504" t="s">
        <v>212</v>
      </c>
      <c r="K11" s="342"/>
      <c r="L11" s="342"/>
      <c r="M11" s="342"/>
      <c r="N11" s="342"/>
      <c r="O11" s="342"/>
      <c r="P11" s="342"/>
      <c r="Q11" s="346"/>
    </row>
    <row r="12" spans="1:58" s="24" customFormat="1" ht="84.75" customHeight="1" thickBot="1" x14ac:dyDescent="0.3">
      <c r="A12" s="446">
        <v>9</v>
      </c>
      <c r="B12" s="347">
        <f>'PB '!C15</f>
        <v>0</v>
      </c>
      <c r="C12" s="343" t="str">
        <f>'PB '!D15</f>
        <v>4th Engineer</v>
      </c>
      <c r="D12" s="348"/>
      <c r="E12" s="353"/>
      <c r="F12" s="348"/>
      <c r="G12" s="350"/>
      <c r="H12" s="348"/>
      <c r="I12" s="489">
        <f>'PB '!R15</f>
        <v>375.13333333333327</v>
      </c>
      <c r="J12" s="504" t="s">
        <v>212</v>
      </c>
      <c r="K12" s="342"/>
      <c r="L12" s="342"/>
      <c r="M12" s="342"/>
      <c r="N12" s="342"/>
      <c r="O12" s="342"/>
      <c r="P12" s="342"/>
      <c r="Q12" s="346"/>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row>
    <row r="13" spans="1:58" s="24" customFormat="1" ht="89.25" customHeight="1" thickBot="1" x14ac:dyDescent="0.3">
      <c r="A13" s="446">
        <v>10</v>
      </c>
      <c r="B13" s="347">
        <f>'PB '!C16</f>
        <v>0</v>
      </c>
      <c r="C13" s="343" t="str">
        <f>'PB '!D16</f>
        <v>TME</v>
      </c>
      <c r="D13" s="348"/>
      <c r="E13" s="349"/>
      <c r="F13" s="348"/>
      <c r="G13" s="350"/>
      <c r="H13" s="348"/>
      <c r="I13" s="165">
        <f>'PB '!R16</f>
        <v>350</v>
      </c>
      <c r="J13" s="504" t="s">
        <v>212</v>
      </c>
      <c r="K13" s="342"/>
      <c r="L13" s="342"/>
      <c r="M13" s="342"/>
      <c r="N13" s="342"/>
      <c r="O13" s="342"/>
      <c r="P13" s="342"/>
      <c r="Q13" s="346"/>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row>
    <row r="14" spans="1:58" s="322" customFormat="1" ht="96.75" customHeight="1" thickBot="1" x14ac:dyDescent="0.3">
      <c r="A14" s="446">
        <v>11</v>
      </c>
      <c r="B14" s="347">
        <f>'PB '!C17</f>
        <v>0</v>
      </c>
      <c r="C14" s="343" t="str">
        <f>'PB '!D17</f>
        <v>Eletrical Officer</v>
      </c>
      <c r="D14" s="348"/>
      <c r="E14" s="349"/>
      <c r="F14" s="348"/>
      <c r="G14" s="350"/>
      <c r="H14" s="348"/>
      <c r="I14" s="165">
        <f>'PB '!R17</f>
        <v>6472.32</v>
      </c>
      <c r="J14" s="504" t="s">
        <v>212</v>
      </c>
      <c r="K14" s="351"/>
      <c r="L14" s="351"/>
      <c r="M14" s="351"/>
      <c r="N14" s="351"/>
      <c r="O14" s="351"/>
      <c r="P14" s="351"/>
      <c r="Q14" s="352"/>
    </row>
    <row r="15" spans="1:58" s="322" customFormat="1" ht="78" customHeight="1" thickBot="1" x14ac:dyDescent="0.3">
      <c r="A15" s="446">
        <v>12</v>
      </c>
      <c r="B15" s="354">
        <f>'PB '!C19</f>
        <v>0</v>
      </c>
      <c r="C15" s="355" t="str">
        <f>'PB '!D19</f>
        <v>Pumpman</v>
      </c>
      <c r="D15" s="344"/>
      <c r="E15" s="356"/>
      <c r="F15" s="344"/>
      <c r="G15" s="345"/>
      <c r="H15" s="344"/>
      <c r="I15" s="165">
        <f>'PB '!R19</f>
        <v>2800</v>
      </c>
      <c r="J15" s="504" t="s">
        <v>212</v>
      </c>
      <c r="K15" s="351"/>
      <c r="L15" s="351"/>
      <c r="M15" s="351"/>
      <c r="N15" s="351"/>
      <c r="O15" s="351"/>
      <c r="P15" s="351"/>
      <c r="Q15" s="352"/>
    </row>
    <row r="16" spans="1:58" ht="81.75" customHeight="1" thickBot="1" x14ac:dyDescent="0.3">
      <c r="A16" s="446">
        <v>13</v>
      </c>
      <c r="B16" s="354">
        <f>'PB '!C20</f>
        <v>0</v>
      </c>
      <c r="C16" s="355" t="str">
        <f>'PB '!D20</f>
        <v>Bosun</v>
      </c>
      <c r="D16" s="348"/>
      <c r="E16" s="353"/>
      <c r="F16" s="348"/>
      <c r="G16" s="350"/>
      <c r="H16" s="348"/>
      <c r="I16" s="165">
        <f>'PB '!R20</f>
        <v>2016.6</v>
      </c>
      <c r="J16" s="504" t="s">
        <v>212</v>
      </c>
      <c r="K16" s="342"/>
      <c r="L16" s="342"/>
      <c r="M16" s="342"/>
      <c r="N16" s="342"/>
      <c r="O16" s="342"/>
      <c r="P16" s="342"/>
      <c r="Q16" s="346"/>
    </row>
    <row r="17" spans="1:17" ht="78.75" customHeight="1" thickBot="1" x14ac:dyDescent="0.3">
      <c r="A17" s="446">
        <v>14</v>
      </c>
      <c r="B17" s="347">
        <f>'PB '!C21</f>
        <v>0</v>
      </c>
      <c r="C17" s="343" t="str">
        <f>'PB '!D21</f>
        <v>AB 1</v>
      </c>
      <c r="D17" s="348"/>
      <c r="E17" s="353"/>
      <c r="F17" s="348"/>
      <c r="G17" s="350"/>
      <c r="H17" s="348"/>
      <c r="I17" s="165">
        <f>'PB '!R21</f>
        <v>1566.6</v>
      </c>
      <c r="J17" s="504" t="s">
        <v>212</v>
      </c>
      <c r="K17" s="342"/>
      <c r="L17" s="342"/>
      <c r="M17" s="342"/>
      <c r="N17" s="342"/>
      <c r="O17" s="342"/>
      <c r="P17" s="342"/>
      <c r="Q17" s="346"/>
    </row>
    <row r="18" spans="1:17" ht="88.5" customHeight="1" thickBot="1" x14ac:dyDescent="0.3">
      <c r="A18" s="446">
        <v>15</v>
      </c>
      <c r="B18" s="347">
        <f>'PB '!C22</f>
        <v>0</v>
      </c>
      <c r="C18" s="343" t="str">
        <f>'PB '!D22</f>
        <v>AB 2</v>
      </c>
      <c r="D18" s="348"/>
      <c r="E18" s="353"/>
      <c r="F18" s="348"/>
      <c r="G18" s="350"/>
      <c r="H18" s="348"/>
      <c r="I18" s="165">
        <f>'PB '!R22</f>
        <v>1466.6</v>
      </c>
      <c r="J18" s="504" t="s">
        <v>212</v>
      </c>
      <c r="K18" s="342"/>
      <c r="L18" s="342"/>
      <c r="M18" s="342"/>
      <c r="N18" s="342"/>
      <c r="O18" s="342"/>
      <c r="P18" s="342"/>
      <c r="Q18" s="346"/>
    </row>
    <row r="19" spans="1:17" ht="76.5" customHeight="1" thickBot="1" x14ac:dyDescent="0.3">
      <c r="A19" s="446">
        <v>16</v>
      </c>
      <c r="B19" s="347">
        <f>'PB '!C23</f>
        <v>0</v>
      </c>
      <c r="C19" s="343" t="str">
        <f>'PB '!D23</f>
        <v>AB 3</v>
      </c>
      <c r="D19" s="348"/>
      <c r="E19" s="353"/>
      <c r="F19" s="348"/>
      <c r="G19" s="350"/>
      <c r="H19" s="348"/>
      <c r="I19" s="489">
        <f>'PB '!R23</f>
        <v>1316.6</v>
      </c>
      <c r="J19" s="504" t="s">
        <v>212</v>
      </c>
      <c r="K19" s="357"/>
      <c r="L19" s="358"/>
      <c r="M19" s="359"/>
      <c r="N19" s="358"/>
      <c r="O19" s="358"/>
      <c r="P19" s="358"/>
      <c r="Q19" s="360"/>
    </row>
    <row r="20" spans="1:17" ht="76.5" customHeight="1" thickBot="1" x14ac:dyDescent="0.3">
      <c r="A20" s="446">
        <v>17</v>
      </c>
      <c r="B20" s="354">
        <f>'PB '!C24</f>
        <v>0</v>
      </c>
      <c r="C20" s="355" t="str">
        <f>'PB '!D24</f>
        <v>OS 1</v>
      </c>
      <c r="D20" s="348"/>
      <c r="E20" s="353"/>
      <c r="F20" s="348"/>
      <c r="G20" s="350"/>
      <c r="H20" s="348"/>
      <c r="I20" s="165">
        <f>'PB '!R24</f>
        <v>517.79999999999995</v>
      </c>
      <c r="J20" s="504" t="s">
        <v>212</v>
      </c>
      <c r="K20" s="357"/>
      <c r="L20" s="358"/>
      <c r="M20" s="359"/>
      <c r="N20" s="358"/>
      <c r="O20" s="358"/>
      <c r="P20" s="358"/>
      <c r="Q20" s="360"/>
    </row>
    <row r="21" spans="1:17" ht="75" customHeight="1" thickBot="1" x14ac:dyDescent="0.3">
      <c r="A21" s="446">
        <v>18</v>
      </c>
      <c r="B21" s="347">
        <f>'PB '!C25</f>
        <v>0</v>
      </c>
      <c r="C21" s="343" t="str">
        <f>'PB '!D25</f>
        <v>OS 2</v>
      </c>
      <c r="D21" s="348"/>
      <c r="E21" s="349"/>
      <c r="F21" s="348"/>
      <c r="G21" s="454"/>
      <c r="H21" s="348"/>
      <c r="I21" s="165">
        <f>'PB '!R25</f>
        <v>566.79999999999995</v>
      </c>
      <c r="J21" s="504" t="s">
        <v>212</v>
      </c>
      <c r="K21" s="342"/>
      <c r="L21" s="342"/>
      <c r="M21" s="342"/>
      <c r="N21" s="342"/>
      <c r="O21" s="342"/>
      <c r="P21" s="342"/>
      <c r="Q21" s="361"/>
    </row>
    <row r="22" spans="1:17" ht="75" customHeight="1" thickBot="1" x14ac:dyDescent="0.3">
      <c r="A22" s="446">
        <v>19</v>
      </c>
      <c r="B22" s="347">
        <f>'PB '!C26</f>
        <v>0</v>
      </c>
      <c r="C22" s="343" t="str">
        <f>'PB '!D26</f>
        <v>Oiler 1</v>
      </c>
      <c r="D22" s="348"/>
      <c r="E22" s="353"/>
      <c r="F22" s="348"/>
      <c r="G22" s="350"/>
      <c r="H22" s="348"/>
      <c r="I22" s="165">
        <f>'PB '!R26</f>
        <v>1480.58</v>
      </c>
      <c r="J22" s="504" t="s">
        <v>212</v>
      </c>
      <c r="K22" s="342"/>
      <c r="L22" s="342"/>
      <c r="M22" s="342"/>
      <c r="N22" s="342"/>
      <c r="O22" s="342"/>
      <c r="P22" s="342"/>
      <c r="Q22" s="361"/>
    </row>
    <row r="23" spans="1:17" ht="75.75" customHeight="1" thickBot="1" x14ac:dyDescent="0.3">
      <c r="A23" s="446">
        <v>20</v>
      </c>
      <c r="B23" s="347">
        <f>'PB '!C27</f>
        <v>0</v>
      </c>
      <c r="C23" s="343" t="str">
        <f>'PB '!D27</f>
        <v>Oiler 2</v>
      </c>
      <c r="D23" s="348"/>
      <c r="E23" s="353"/>
      <c r="F23" s="348"/>
      <c r="G23" s="350"/>
      <c r="H23" s="348"/>
      <c r="I23" s="165">
        <f>'PB '!R27</f>
        <v>1237.5</v>
      </c>
      <c r="J23" s="504" t="s">
        <v>212</v>
      </c>
      <c r="K23" s="342"/>
      <c r="L23" s="342"/>
      <c r="M23" s="342"/>
      <c r="N23" s="342"/>
      <c r="O23" s="342"/>
      <c r="P23" s="342"/>
      <c r="Q23" s="361"/>
    </row>
    <row r="24" spans="1:17" ht="75.75" customHeight="1" thickBot="1" x14ac:dyDescent="0.3">
      <c r="A24" s="446">
        <v>21</v>
      </c>
      <c r="B24" s="347">
        <f>'PB '!C28</f>
        <v>0</v>
      </c>
      <c r="C24" s="343" t="str">
        <f>'PB '!D28</f>
        <v>Oiler 3</v>
      </c>
      <c r="D24" s="348"/>
      <c r="E24" s="353"/>
      <c r="F24" s="348"/>
      <c r="G24" s="350"/>
      <c r="H24" s="348"/>
      <c r="I24" s="489">
        <f>'PB '!R28</f>
        <v>321.88</v>
      </c>
      <c r="J24" s="504" t="s">
        <v>212</v>
      </c>
      <c r="K24" s="342"/>
      <c r="L24" s="342"/>
      <c r="M24" s="342"/>
      <c r="N24" s="342"/>
      <c r="O24" s="342"/>
      <c r="P24" s="342"/>
      <c r="Q24" s="361"/>
    </row>
    <row r="25" spans="1:17" ht="83.25" customHeight="1" thickBot="1" x14ac:dyDescent="0.3">
      <c r="A25" s="446">
        <v>22</v>
      </c>
      <c r="B25" s="347">
        <f>'PB '!C29</f>
        <v>0</v>
      </c>
      <c r="C25" s="343" t="str">
        <f>'PB '!D29</f>
        <v>Fitter</v>
      </c>
      <c r="D25" s="348"/>
      <c r="E25" s="353"/>
      <c r="F25" s="348"/>
      <c r="G25" s="350"/>
      <c r="H25" s="348"/>
      <c r="I25" s="489">
        <f>'PB '!R29</f>
        <v>238.39999999999998</v>
      </c>
      <c r="J25" s="504" t="s">
        <v>212</v>
      </c>
      <c r="K25" s="342"/>
      <c r="L25" s="342"/>
      <c r="M25" s="342"/>
      <c r="N25" s="342"/>
      <c r="O25" s="342"/>
      <c r="P25" s="342"/>
      <c r="Q25" s="361"/>
    </row>
    <row r="26" spans="1:17" ht="77.25" customHeight="1" thickBot="1" x14ac:dyDescent="0.3">
      <c r="A26" s="446">
        <v>23</v>
      </c>
      <c r="B26" s="347">
        <f>'PB '!C30</f>
        <v>0</v>
      </c>
      <c r="C26" s="343" t="str">
        <f>'PB '!D30</f>
        <v>Chief Cook</v>
      </c>
      <c r="D26" s="348"/>
      <c r="E26" s="353"/>
      <c r="F26" s="348"/>
      <c r="G26" s="350"/>
      <c r="H26" s="348"/>
      <c r="I26" s="165">
        <f>'PB '!R30</f>
        <v>1500</v>
      </c>
      <c r="J26" s="504" t="s">
        <v>212</v>
      </c>
      <c r="K26" s="342"/>
      <c r="L26" s="342"/>
      <c r="M26" s="342"/>
      <c r="N26" s="342"/>
      <c r="O26" s="342"/>
      <c r="P26" s="342"/>
      <c r="Q26" s="361"/>
    </row>
    <row r="27" spans="1:17" ht="77.25" customHeight="1" thickBot="1" x14ac:dyDescent="0.3">
      <c r="A27" s="447">
        <v>24</v>
      </c>
      <c r="B27" s="455">
        <f>'PB '!C31</f>
        <v>0</v>
      </c>
      <c r="C27" s="456" t="str">
        <f>'PB '!D31</f>
        <v>GS</v>
      </c>
      <c r="D27" s="457"/>
      <c r="E27" s="458"/>
      <c r="F27" s="457"/>
      <c r="G27" s="459"/>
      <c r="H27" s="457"/>
      <c r="I27" s="448">
        <f>'PB '!R31</f>
        <v>450</v>
      </c>
      <c r="J27" s="504" t="s">
        <v>212</v>
      </c>
      <c r="K27" s="449"/>
      <c r="L27" s="449"/>
      <c r="M27" s="449"/>
      <c r="N27" s="449"/>
      <c r="O27" s="449"/>
      <c r="P27" s="449"/>
      <c r="Q27" s="450"/>
    </row>
    <row r="28" spans="1:17" ht="62.25" customHeight="1" thickBot="1" x14ac:dyDescent="0.3">
      <c r="A28" s="676" t="s">
        <v>154</v>
      </c>
      <c r="B28" s="677"/>
      <c r="C28" s="677"/>
      <c r="D28" s="677"/>
      <c r="E28" s="677"/>
      <c r="F28" s="677"/>
      <c r="G28" s="677"/>
      <c r="H28" s="677"/>
      <c r="I28" s="677"/>
      <c r="J28" s="677"/>
      <c r="K28" s="677"/>
      <c r="L28" s="677"/>
      <c r="M28" s="677"/>
      <c r="N28" s="677"/>
      <c r="O28" s="677"/>
      <c r="P28" s="677"/>
      <c r="Q28" s="678"/>
    </row>
    <row r="29" spans="1:17" ht="60.75" customHeight="1" thickBot="1" x14ac:dyDescent="0.3">
      <c r="A29" s="493">
        <v>1</v>
      </c>
      <c r="B29" s="494">
        <f>'PB '!C34</f>
        <v>0</v>
      </c>
      <c r="C29" s="495" t="str">
        <f>'PB '!D34</f>
        <v>Master</v>
      </c>
      <c r="D29" s="443"/>
      <c r="E29" s="444"/>
      <c r="F29" s="443"/>
      <c r="G29" s="445"/>
      <c r="H29" s="443"/>
      <c r="I29" s="496">
        <f>'PB '!R34</f>
        <v>15382.013333333332</v>
      </c>
      <c r="J29" s="504" t="s">
        <v>212</v>
      </c>
      <c r="K29" s="497"/>
      <c r="L29" s="497"/>
      <c r="M29" s="497"/>
      <c r="N29" s="497"/>
      <c r="O29" s="497"/>
      <c r="P29" s="497"/>
      <c r="Q29" s="498" t="s">
        <v>198</v>
      </c>
    </row>
    <row r="30" spans="1:17" ht="52.5" customHeight="1" thickBot="1" x14ac:dyDescent="0.3">
      <c r="A30" s="493">
        <v>2</v>
      </c>
      <c r="B30" s="494">
        <f>'PB '!C35</f>
        <v>0</v>
      </c>
      <c r="C30" s="495" t="str">
        <f>'PB '!D35</f>
        <v>Deck Cadet</v>
      </c>
      <c r="D30" s="348"/>
      <c r="E30" s="353"/>
      <c r="F30" s="348"/>
      <c r="G30" s="350"/>
      <c r="H30" s="348"/>
      <c r="I30" s="496">
        <f>'PB '!R35</f>
        <v>344.9666666666667</v>
      </c>
      <c r="J30" s="504" t="s">
        <v>212</v>
      </c>
      <c r="K30" s="497"/>
      <c r="L30" s="497"/>
      <c r="M30" s="497"/>
      <c r="N30" s="497"/>
      <c r="O30" s="497"/>
      <c r="P30" s="497"/>
      <c r="Q30" s="498" t="s">
        <v>198</v>
      </c>
    </row>
    <row r="31" spans="1:17" ht="77.25" customHeight="1" thickBot="1" x14ac:dyDescent="0.3">
      <c r="A31" s="493">
        <v>3</v>
      </c>
      <c r="B31" s="494">
        <f>'PB '!C36</f>
        <v>0</v>
      </c>
      <c r="C31" s="495" t="str">
        <f>'PB '!D36</f>
        <v>Ch.Engineer</v>
      </c>
      <c r="D31" s="348"/>
      <c r="E31" s="353"/>
      <c r="F31" s="348"/>
      <c r="G31" s="350"/>
      <c r="H31" s="348"/>
      <c r="I31" s="496">
        <f>'PB '!R36</f>
        <v>0</v>
      </c>
      <c r="J31" s="504" t="s">
        <v>212</v>
      </c>
      <c r="K31" s="497"/>
      <c r="L31" s="497"/>
      <c r="M31" s="497"/>
      <c r="N31" s="497"/>
      <c r="O31" s="497"/>
      <c r="P31" s="497"/>
      <c r="Q31" s="498" t="s">
        <v>198</v>
      </c>
    </row>
    <row r="32" spans="1:17" ht="52.5" customHeight="1" thickBot="1" x14ac:dyDescent="0.3">
      <c r="A32" s="493">
        <v>4</v>
      </c>
      <c r="B32" s="494">
        <f>'PB '!C37</f>
        <v>0</v>
      </c>
      <c r="C32" s="495" t="str">
        <f>'PB '!D37</f>
        <v>3rd.Engineer</v>
      </c>
      <c r="D32" s="348"/>
      <c r="E32" s="353"/>
      <c r="F32" s="348"/>
      <c r="G32" s="350"/>
      <c r="H32" s="348"/>
      <c r="I32" s="496">
        <f>'PB '!R37</f>
        <v>4263.9266666666663</v>
      </c>
      <c r="J32" s="504" t="s">
        <v>212</v>
      </c>
      <c r="K32" s="497"/>
      <c r="L32" s="497"/>
      <c r="M32" s="497"/>
      <c r="N32" s="497"/>
      <c r="O32" s="497"/>
      <c r="P32" s="497"/>
      <c r="Q32" s="498" t="s">
        <v>198</v>
      </c>
    </row>
    <row r="33" spans="1:17" ht="52.5" customHeight="1" thickBot="1" x14ac:dyDescent="0.3">
      <c r="A33" s="493">
        <v>5</v>
      </c>
      <c r="B33" s="494">
        <f>'PB '!C38</f>
        <v>0</v>
      </c>
      <c r="C33" s="495" t="str">
        <f>'PB '!D38</f>
        <v>Oiler 3</v>
      </c>
      <c r="D33" s="348"/>
      <c r="E33" s="353"/>
      <c r="F33" s="348"/>
      <c r="G33" s="350"/>
      <c r="H33" s="348"/>
      <c r="I33" s="496">
        <f>'PB '!R38</f>
        <v>916.59999999999991</v>
      </c>
      <c r="J33" s="504" t="s">
        <v>212</v>
      </c>
      <c r="K33" s="497"/>
      <c r="L33" s="497"/>
      <c r="M33" s="497"/>
      <c r="N33" s="497"/>
      <c r="O33" s="497"/>
      <c r="P33" s="497"/>
      <c r="Q33" s="498" t="s">
        <v>198</v>
      </c>
    </row>
    <row r="34" spans="1:17" ht="62.25" customHeight="1" x14ac:dyDescent="0.25">
      <c r="A34" s="446">
        <v>6</v>
      </c>
      <c r="B34" s="347">
        <f>'PB '!C39</f>
        <v>0</v>
      </c>
      <c r="C34" s="343" t="str">
        <f>'PB '!D39</f>
        <v>Fitter</v>
      </c>
      <c r="D34" s="348"/>
      <c r="E34" s="353"/>
      <c r="F34" s="348"/>
      <c r="G34" s="350"/>
      <c r="H34" s="348"/>
      <c r="I34" s="165">
        <f>'PB '!R39</f>
        <v>1409.2333333333333</v>
      </c>
      <c r="J34" s="504" t="s">
        <v>212</v>
      </c>
      <c r="K34" s="342"/>
      <c r="L34" s="342"/>
      <c r="M34" s="342"/>
      <c r="N34" s="342"/>
      <c r="O34" s="342"/>
      <c r="P34" s="342"/>
      <c r="Q34" s="498" t="s">
        <v>198</v>
      </c>
    </row>
    <row r="35" spans="1:17" ht="42.75" customHeight="1" thickBot="1" x14ac:dyDescent="0.3">
      <c r="A35" s="146"/>
      <c r="B35" s="147"/>
      <c r="C35" s="148"/>
      <c r="D35" s="147"/>
      <c r="E35" s="147"/>
      <c r="F35" s="147"/>
      <c r="G35" s="451" t="s">
        <v>125</v>
      </c>
      <c r="H35" s="452"/>
      <c r="I35" s="453">
        <f>SUM(I4:I34)</f>
        <v>89152.346666666665</v>
      </c>
      <c r="J35" s="166"/>
      <c r="K35" s="147"/>
      <c r="L35" s="147"/>
      <c r="M35" s="147"/>
      <c r="N35" s="147"/>
      <c r="O35" s="147"/>
      <c r="P35" s="147"/>
      <c r="Q35" s="147"/>
    </row>
    <row r="36" spans="1:17" x14ac:dyDescent="0.25">
      <c r="A36" s="25"/>
      <c r="B36" s="26"/>
      <c r="C36" s="25"/>
      <c r="D36" s="27"/>
      <c r="E36" s="27"/>
      <c r="F36" s="25"/>
      <c r="G36" s="25"/>
      <c r="H36" s="25"/>
      <c r="I36" s="25"/>
      <c r="J36" s="25"/>
    </row>
    <row r="37" spans="1:17" x14ac:dyDescent="0.25">
      <c r="A37" s="25"/>
      <c r="B37" s="26"/>
      <c r="C37" s="25"/>
      <c r="D37" s="27"/>
      <c r="E37" s="27"/>
      <c r="F37" s="25"/>
      <c r="G37" s="25"/>
      <c r="H37" s="25"/>
      <c r="I37" s="25"/>
      <c r="J37" s="25"/>
    </row>
    <row r="38" spans="1:17" x14ac:dyDescent="0.25">
      <c r="A38" s="25"/>
      <c r="B38" s="26"/>
      <c r="C38" s="25"/>
      <c r="D38" s="27"/>
      <c r="E38" s="27"/>
      <c r="F38" s="25"/>
      <c r="G38" s="25"/>
      <c r="H38" s="25"/>
      <c r="I38" s="25"/>
      <c r="J38" s="25"/>
    </row>
    <row r="39" spans="1:17" x14ac:dyDescent="0.25">
      <c r="A39" s="25"/>
      <c r="B39" s="26"/>
      <c r="C39" s="25"/>
      <c r="D39" s="27"/>
      <c r="E39" s="27"/>
      <c r="F39" s="25"/>
      <c r="G39" s="25"/>
      <c r="H39" s="25"/>
      <c r="I39" s="25"/>
      <c r="J39" s="25"/>
    </row>
    <row r="40" spans="1:17" x14ac:dyDescent="0.25">
      <c r="A40" s="25"/>
      <c r="B40" s="26"/>
      <c r="C40" s="25"/>
      <c r="D40" s="27"/>
      <c r="E40" s="27"/>
      <c r="F40" s="25"/>
      <c r="G40" s="25"/>
      <c r="H40" s="25"/>
      <c r="I40" s="25"/>
      <c r="J40" s="25"/>
    </row>
    <row r="43" spans="1:17" x14ac:dyDescent="0.25">
      <c r="B43" s="29"/>
      <c r="C43" s="30"/>
      <c r="D43" s="29"/>
      <c r="E43" s="31"/>
      <c r="F43" s="29"/>
      <c r="G43" s="29"/>
      <c r="H43" s="29"/>
      <c r="I43" s="32"/>
      <c r="J43" s="32"/>
      <c r="K43" s="33"/>
      <c r="L43" s="33"/>
      <c r="M43" s="33"/>
      <c r="N43" s="33"/>
      <c r="O43" s="33"/>
      <c r="P43" s="33"/>
    </row>
    <row r="44" spans="1:17" ht="22.5" customHeight="1" x14ac:dyDescent="0.25">
      <c r="B44" s="29"/>
      <c r="C44" s="30"/>
      <c r="D44" s="29"/>
      <c r="E44" s="31"/>
      <c r="F44" s="29"/>
      <c r="G44" s="29"/>
      <c r="H44" s="29"/>
      <c r="I44" s="396">
        <f>'PB '!C7</f>
        <v>0</v>
      </c>
      <c r="J44" s="32"/>
      <c r="K44" s="33"/>
      <c r="L44" s="33"/>
      <c r="M44" s="33"/>
      <c r="N44" s="33"/>
      <c r="O44" s="33"/>
      <c r="P44" s="33"/>
    </row>
    <row r="45" spans="1:17" ht="20.25" x14ac:dyDescent="0.25">
      <c r="B45" s="29"/>
      <c r="C45" s="154"/>
      <c r="D45" s="153"/>
      <c r="E45" s="153"/>
      <c r="F45" s="153"/>
      <c r="G45" s="29"/>
      <c r="H45" s="29"/>
      <c r="I45" s="317" t="s">
        <v>155</v>
      </c>
      <c r="J45" s="32"/>
      <c r="K45" s="33"/>
      <c r="L45" s="33"/>
      <c r="M45" s="33"/>
      <c r="N45" s="33"/>
      <c r="O45" s="33"/>
      <c r="P45" s="33"/>
    </row>
    <row r="50" spans="3:6" ht="20.25" x14ac:dyDescent="0.25">
      <c r="C50" s="153"/>
      <c r="D50" s="153"/>
      <c r="E50" s="153"/>
      <c r="F50" s="153"/>
    </row>
  </sheetData>
  <mergeCells count="2">
    <mergeCell ref="A1:Q1"/>
    <mergeCell ref="A28:Q28"/>
  </mergeCells>
  <pageMargins left="0" right="0" top="0" bottom="0.74803149606299213" header="3.6614173228346458" footer="0.31496062992125984"/>
  <pageSetup paperSize="9" scale="39" fitToWidth="0" fitToHeight="0" orientation="landscape" r:id="rId1"/>
  <rowBreaks count="1" manualBreakCount="1">
    <brk id="18" max="16" man="1"/>
  </rowBreaks>
  <colBreaks count="1" manualBreakCount="1">
    <brk id="18"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election activeCell="E44" sqref="E44"/>
    </sheetView>
  </sheetViews>
  <sheetFormatPr defaultColWidth="9.42578125" defaultRowHeight="21" customHeight="1" x14ac:dyDescent="0.25"/>
  <cols>
    <col min="1" max="1" width="4.5703125" style="34" customWidth="1"/>
    <col min="2" max="2" width="13.42578125" style="34" customWidth="1"/>
    <col min="3" max="3" width="10" style="34" customWidth="1"/>
    <col min="4" max="4" width="18.42578125" style="34" customWidth="1"/>
    <col min="5" max="5" width="43.5703125" style="34" customWidth="1"/>
    <col min="6" max="6" width="12.5703125" style="34" hidden="1" customWidth="1"/>
    <col min="7" max="7" width="15.42578125" style="34" customWidth="1"/>
    <col min="8" max="8" width="14.42578125" style="34" customWidth="1"/>
    <col min="9" max="16384" width="9.42578125" style="34"/>
  </cols>
  <sheetData>
    <row r="1" spans="1:8" ht="15" x14ac:dyDescent="0.25">
      <c r="A1" s="680" t="s">
        <v>23</v>
      </c>
      <c r="B1" s="681"/>
      <c r="C1" s="681"/>
      <c r="D1" s="681"/>
      <c r="E1" s="681"/>
      <c r="F1" s="681"/>
      <c r="G1" s="681"/>
      <c r="H1" s="681"/>
    </row>
    <row r="2" spans="1:8" ht="15" x14ac:dyDescent="0.25">
      <c r="B2" s="63"/>
      <c r="G2" s="62" t="s">
        <v>35</v>
      </c>
      <c r="H2" s="61" t="s">
        <v>36</v>
      </c>
    </row>
    <row r="3" spans="1:8" ht="15" x14ac:dyDescent="0.25">
      <c r="A3" s="682" t="s">
        <v>50</v>
      </c>
      <c r="B3" s="683"/>
      <c r="C3" s="683"/>
      <c r="D3" s="683"/>
      <c r="E3" s="683"/>
      <c r="F3" s="683"/>
      <c r="G3" s="683"/>
      <c r="H3" s="683"/>
    </row>
    <row r="4" spans="1:8" ht="15" x14ac:dyDescent="0.25"/>
    <row r="5" spans="1:8" ht="45" x14ac:dyDescent="0.25">
      <c r="A5" s="55" t="s">
        <v>37</v>
      </c>
      <c r="B5" s="55" t="s">
        <v>38</v>
      </c>
      <c r="C5" s="55" t="s">
        <v>39</v>
      </c>
      <c r="D5" s="55" t="s">
        <v>40</v>
      </c>
      <c r="E5" s="55" t="s">
        <v>41</v>
      </c>
      <c r="F5" s="55"/>
      <c r="G5" s="55" t="s">
        <v>42</v>
      </c>
      <c r="H5" s="55" t="s">
        <v>43</v>
      </c>
    </row>
    <row r="6" spans="1:8" ht="15" x14ac:dyDescent="0.25">
      <c r="A6" s="55"/>
      <c r="B6" s="54"/>
      <c r="C6" s="55"/>
      <c r="D6" s="55"/>
      <c r="E6" s="58" t="s">
        <v>49</v>
      </c>
      <c r="F6" s="55"/>
      <c r="G6" s="43">
        <v>0</v>
      </c>
      <c r="H6" s="59"/>
    </row>
    <row r="7" spans="1:8" ht="15" x14ac:dyDescent="0.25">
      <c r="A7" s="55"/>
      <c r="B7" s="54"/>
      <c r="C7" s="55"/>
      <c r="D7" s="55"/>
      <c r="E7" s="58"/>
      <c r="F7" s="43"/>
      <c r="G7" s="43"/>
      <c r="H7" s="60"/>
    </row>
    <row r="8" spans="1:8" ht="15" x14ac:dyDescent="0.25">
      <c r="A8" s="55"/>
      <c r="B8" s="54"/>
      <c r="C8" s="55"/>
      <c r="D8" s="55"/>
      <c r="E8" s="58"/>
      <c r="F8" s="43">
        <v>1000</v>
      </c>
      <c r="G8" s="43"/>
      <c r="H8" s="59"/>
    </row>
    <row r="9" spans="1:8" ht="15" x14ac:dyDescent="0.25">
      <c r="A9" s="55"/>
      <c r="B9" s="54"/>
      <c r="C9" s="55"/>
      <c r="D9" s="55"/>
      <c r="E9" s="679"/>
      <c r="F9" s="679"/>
      <c r="G9" s="43"/>
      <c r="H9" s="59"/>
    </row>
    <row r="10" spans="1:8" ht="15" x14ac:dyDescent="0.25">
      <c r="A10" s="55"/>
      <c r="B10" s="54"/>
      <c r="C10" s="55"/>
      <c r="D10" s="55"/>
      <c r="E10" s="679"/>
      <c r="F10" s="679"/>
      <c r="G10" s="59"/>
      <c r="H10" s="43"/>
    </row>
    <row r="11" spans="1:8" ht="15" x14ac:dyDescent="0.25">
      <c r="A11" s="55"/>
      <c r="B11" s="54"/>
      <c r="C11" s="55"/>
      <c r="D11" s="55"/>
      <c r="E11" s="679"/>
      <c r="F11" s="679"/>
      <c r="G11" s="59"/>
      <c r="H11" s="43"/>
    </row>
    <row r="12" spans="1:8" ht="15" x14ac:dyDescent="0.25">
      <c r="A12" s="55"/>
      <c r="B12" s="54"/>
      <c r="C12" s="55"/>
      <c r="D12" s="55"/>
      <c r="E12" s="679"/>
      <c r="F12" s="679"/>
      <c r="G12" s="59"/>
      <c r="H12" s="43"/>
    </row>
    <row r="13" spans="1:8" ht="15" x14ac:dyDescent="0.25">
      <c r="A13" s="55"/>
      <c r="B13" s="54"/>
      <c r="C13" s="55"/>
      <c r="D13" s="55"/>
      <c r="E13" s="679"/>
      <c r="F13" s="679"/>
      <c r="G13" s="56"/>
      <c r="H13" s="43"/>
    </row>
    <row r="14" spans="1:8" ht="15" x14ac:dyDescent="0.25">
      <c r="A14" s="55"/>
      <c r="B14" s="54"/>
      <c r="C14" s="55"/>
      <c r="D14" s="55"/>
      <c r="E14" s="679"/>
      <c r="F14" s="679"/>
      <c r="G14" s="56"/>
      <c r="H14" s="43"/>
    </row>
    <row r="15" spans="1:8" ht="15" hidden="1" x14ac:dyDescent="0.25">
      <c r="A15" s="55"/>
      <c r="B15" s="54"/>
      <c r="C15" s="55"/>
      <c r="D15" s="55"/>
      <c r="E15" s="679"/>
      <c r="F15" s="679"/>
      <c r="G15" s="57"/>
      <c r="H15" s="43"/>
    </row>
    <row r="16" spans="1:8" ht="15" hidden="1" x14ac:dyDescent="0.25">
      <c r="A16" s="55"/>
      <c r="B16" s="54"/>
      <c r="C16" s="55"/>
      <c r="D16" s="55"/>
      <c r="E16" s="58"/>
      <c r="F16" s="58"/>
      <c r="G16" s="57"/>
      <c r="H16" s="43"/>
    </row>
    <row r="17" spans="1:8" ht="15" hidden="1" x14ac:dyDescent="0.25">
      <c r="A17" s="55"/>
      <c r="B17" s="54"/>
      <c r="C17" s="55"/>
      <c r="D17" s="55"/>
      <c r="E17" s="679"/>
      <c r="F17" s="679"/>
      <c r="G17" s="57"/>
      <c r="H17" s="43"/>
    </row>
    <row r="18" spans="1:8" ht="15" hidden="1" x14ac:dyDescent="0.25">
      <c r="A18" s="55"/>
      <c r="B18" s="54"/>
      <c r="C18" s="55"/>
      <c r="D18" s="55"/>
      <c r="E18" s="679"/>
      <c r="F18" s="679"/>
      <c r="G18" s="57"/>
      <c r="H18" s="43"/>
    </row>
    <row r="19" spans="1:8" ht="15" hidden="1" x14ac:dyDescent="0.25">
      <c r="A19" s="55"/>
      <c r="B19" s="54"/>
      <c r="C19" s="55"/>
      <c r="D19" s="55"/>
      <c r="E19" s="679"/>
      <c r="F19" s="679"/>
      <c r="G19" s="57"/>
      <c r="H19" s="43"/>
    </row>
    <row r="20" spans="1:8" ht="15" hidden="1" x14ac:dyDescent="0.25">
      <c r="A20" s="55"/>
      <c r="B20" s="54"/>
      <c r="C20" s="55"/>
      <c r="D20" s="55"/>
      <c r="E20" s="679"/>
      <c r="F20" s="679"/>
      <c r="G20" s="57"/>
      <c r="H20" s="43"/>
    </row>
    <row r="21" spans="1:8" ht="15" hidden="1" x14ac:dyDescent="0.25">
      <c r="A21" s="55"/>
      <c r="B21" s="54"/>
      <c r="C21" s="55"/>
      <c r="D21" s="55"/>
      <c r="E21" s="679"/>
      <c r="F21" s="679"/>
      <c r="G21" s="57"/>
      <c r="H21" s="43"/>
    </row>
    <row r="22" spans="1:8" ht="15" hidden="1" x14ac:dyDescent="0.25">
      <c r="A22" s="55"/>
      <c r="B22" s="54"/>
      <c r="C22" s="55"/>
      <c r="D22" s="55"/>
      <c r="E22" s="679"/>
      <c r="F22" s="679"/>
      <c r="G22" s="57"/>
      <c r="H22" s="43"/>
    </row>
    <row r="23" spans="1:8" ht="15" hidden="1" x14ac:dyDescent="0.25">
      <c r="A23" s="55"/>
      <c r="B23" s="54"/>
      <c r="C23" s="55"/>
      <c r="D23" s="55"/>
      <c r="E23" s="679"/>
      <c r="F23" s="679"/>
      <c r="G23" s="57"/>
      <c r="H23" s="43"/>
    </row>
    <row r="24" spans="1:8" ht="15" hidden="1" x14ac:dyDescent="0.25">
      <c r="A24" s="55"/>
      <c r="B24" s="54"/>
      <c r="C24" s="55"/>
      <c r="D24" s="55"/>
      <c r="E24" s="679"/>
      <c r="F24" s="679"/>
      <c r="G24" s="57"/>
      <c r="H24" s="43"/>
    </row>
    <row r="25" spans="1:8" ht="15" hidden="1" x14ac:dyDescent="0.25">
      <c r="A25" s="55"/>
      <c r="B25" s="54"/>
      <c r="C25" s="55"/>
      <c r="D25" s="55"/>
      <c r="E25" s="679"/>
      <c r="F25" s="679"/>
      <c r="G25" s="57"/>
      <c r="H25" s="43"/>
    </row>
    <row r="26" spans="1:8" ht="15" hidden="1" x14ac:dyDescent="0.25">
      <c r="A26" s="55"/>
      <c r="B26" s="54"/>
      <c r="C26" s="55"/>
      <c r="D26" s="55"/>
      <c r="E26" s="679"/>
      <c r="F26" s="679"/>
      <c r="G26" s="57"/>
      <c r="H26" s="43"/>
    </row>
    <row r="27" spans="1:8" ht="15" hidden="1" x14ac:dyDescent="0.25">
      <c r="A27" s="55"/>
      <c r="B27" s="54"/>
      <c r="C27" s="55"/>
      <c r="D27" s="55"/>
      <c r="E27" s="679"/>
      <c r="F27" s="679"/>
      <c r="G27" s="57"/>
      <c r="H27" s="43"/>
    </row>
    <row r="28" spans="1:8" ht="15" hidden="1" x14ac:dyDescent="0.25">
      <c r="A28" s="55"/>
      <c r="B28" s="54"/>
      <c r="C28" s="55"/>
      <c r="D28" s="55"/>
      <c r="E28" s="679"/>
      <c r="F28" s="679"/>
      <c r="G28" s="57"/>
      <c r="H28" s="43"/>
    </row>
    <row r="29" spans="1:8" ht="15" hidden="1" x14ac:dyDescent="0.25">
      <c r="A29" s="55"/>
      <c r="B29" s="54"/>
      <c r="C29" s="55"/>
      <c r="D29" s="55"/>
      <c r="E29" s="679"/>
      <c r="F29" s="679"/>
      <c r="G29" s="57"/>
      <c r="H29" s="43"/>
    </row>
    <row r="30" spans="1:8" ht="15" x14ac:dyDescent="0.25">
      <c r="A30" s="55"/>
      <c r="B30" s="56"/>
      <c r="C30" s="55"/>
      <c r="D30" s="55"/>
      <c r="E30" s="679"/>
      <c r="F30" s="679"/>
      <c r="G30" s="56"/>
      <c r="H30" s="43"/>
    </row>
    <row r="31" spans="1:8" ht="15" x14ac:dyDescent="0.25">
      <c r="A31" s="55"/>
      <c r="B31" s="56"/>
      <c r="C31" s="55"/>
      <c r="D31" s="55"/>
      <c r="E31" s="58"/>
      <c r="F31" s="58"/>
      <c r="G31" s="56"/>
      <c r="H31" s="43"/>
    </row>
    <row r="32" spans="1:8" ht="15" x14ac:dyDescent="0.25">
      <c r="A32" s="55"/>
      <c r="B32" s="56"/>
      <c r="C32" s="55"/>
      <c r="D32" s="55"/>
      <c r="E32" s="58"/>
      <c r="F32" s="58"/>
      <c r="G32" s="56"/>
      <c r="H32" s="43"/>
    </row>
    <row r="33" spans="1:8" ht="15" x14ac:dyDescent="0.25">
      <c r="A33" s="55"/>
      <c r="B33" s="54"/>
      <c r="C33" s="53" t="s">
        <v>44</v>
      </c>
      <c r="D33" s="53"/>
      <c r="E33" s="679"/>
      <c r="F33" s="679"/>
      <c r="G33" s="43">
        <f>SUM(G6:G30)</f>
        <v>0</v>
      </c>
      <c r="H33" s="43">
        <f>SUM(H7:H30)</f>
        <v>0</v>
      </c>
    </row>
    <row r="34" spans="1:8" ht="15" x14ac:dyDescent="0.25">
      <c r="A34" s="51"/>
      <c r="B34" s="52"/>
      <c r="C34" s="51"/>
      <c r="D34" s="51"/>
      <c r="E34" s="47" t="s">
        <v>48</v>
      </c>
      <c r="F34" s="44" t="s">
        <v>46</v>
      </c>
      <c r="G34" s="43">
        <f>H33</f>
        <v>0</v>
      </c>
      <c r="H34" s="50"/>
    </row>
    <row r="35" spans="1:8" ht="15" x14ac:dyDescent="0.25">
      <c r="A35" s="48"/>
      <c r="B35" s="49"/>
      <c r="C35" s="48"/>
      <c r="D35" s="48"/>
      <c r="E35" s="47" t="s">
        <v>47</v>
      </c>
      <c r="F35" s="44" t="s">
        <v>46</v>
      </c>
      <c r="G35" s="43">
        <f>(G33-G34)</f>
        <v>0</v>
      </c>
      <c r="H35" s="46"/>
    </row>
    <row r="36" spans="1:8" ht="15" x14ac:dyDescent="0.25">
      <c r="A36" s="42"/>
      <c r="B36" s="42"/>
      <c r="C36" s="42"/>
      <c r="D36" s="42"/>
      <c r="E36" s="45"/>
      <c r="F36" s="44"/>
      <c r="G36" s="43"/>
      <c r="H36" s="42"/>
    </row>
    <row r="37" spans="1:8" ht="15" x14ac:dyDescent="0.25"/>
    <row r="38" spans="1:8" ht="15" x14ac:dyDescent="0.25">
      <c r="G38" s="683"/>
      <c r="H38" s="683"/>
    </row>
    <row r="39" spans="1:8" ht="15" x14ac:dyDescent="0.25">
      <c r="G39" s="41"/>
      <c r="H39" s="41"/>
    </row>
    <row r="40" spans="1:8" ht="15" x14ac:dyDescent="0.25">
      <c r="F40" s="683"/>
      <c r="G40" s="683"/>
    </row>
    <row r="41" spans="1:8" ht="15" x14ac:dyDescent="0.25">
      <c r="A41" s="683"/>
      <c r="B41" s="683"/>
      <c r="C41" s="683"/>
      <c r="D41" s="683"/>
      <c r="E41" s="40"/>
      <c r="F41" s="39"/>
      <c r="G41" s="92" t="s">
        <v>59</v>
      </c>
    </row>
    <row r="42" spans="1:8" ht="15" x14ac:dyDescent="0.25">
      <c r="A42" s="684"/>
      <c r="B42" s="684"/>
      <c r="C42" s="684"/>
      <c r="D42" s="684"/>
      <c r="E42" s="36"/>
      <c r="F42" s="38"/>
      <c r="G42" s="37" t="s">
        <v>45</v>
      </c>
      <c r="H42" s="37"/>
    </row>
    <row r="43" spans="1:8" ht="15" x14ac:dyDescent="0.25">
      <c r="A43" s="37"/>
      <c r="E43" s="36"/>
    </row>
    <row r="44" spans="1:8" ht="15" x14ac:dyDescent="0.25"/>
    <row r="45" spans="1:8" ht="15" x14ac:dyDescent="0.25">
      <c r="H45" s="35"/>
    </row>
  </sheetData>
  <mergeCells count="28">
    <mergeCell ref="E19:F19"/>
    <mergeCell ref="E20:F20"/>
    <mergeCell ref="E21:F21"/>
    <mergeCell ref="F40:G40"/>
    <mergeCell ref="E29:F29"/>
    <mergeCell ref="G38:H38"/>
    <mergeCell ref="E28:F28"/>
    <mergeCell ref="E22:F22"/>
    <mergeCell ref="E27:F27"/>
    <mergeCell ref="E23:F23"/>
    <mergeCell ref="E24:F24"/>
    <mergeCell ref="A42:D42"/>
    <mergeCell ref="E25:F25"/>
    <mergeCell ref="E30:F30"/>
    <mergeCell ref="E33:F33"/>
    <mergeCell ref="E26:F26"/>
    <mergeCell ref="A41:D41"/>
    <mergeCell ref="E14:F14"/>
    <mergeCell ref="E15:F15"/>
    <mergeCell ref="E17:F17"/>
    <mergeCell ref="E18:F18"/>
    <mergeCell ref="A1:H1"/>
    <mergeCell ref="A3:H3"/>
    <mergeCell ref="E9:F9"/>
    <mergeCell ref="E10:F10"/>
    <mergeCell ref="E11:F11"/>
    <mergeCell ref="E12:F12"/>
    <mergeCell ref="E13:F13"/>
  </mergeCell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selection activeCell="E7" sqref="E7"/>
    </sheetView>
  </sheetViews>
  <sheetFormatPr defaultColWidth="9.42578125" defaultRowHeight="15" x14ac:dyDescent="0.2"/>
  <cols>
    <col min="1" max="1" width="13" style="229" customWidth="1"/>
    <col min="2" max="2" width="9.42578125" style="229" customWidth="1"/>
    <col min="3" max="3" width="40.42578125" style="229" customWidth="1"/>
    <col min="4" max="4" width="16.42578125" style="229" customWidth="1"/>
    <col min="5" max="5" width="15.85546875" style="229" customWidth="1"/>
    <col min="6" max="16384" width="9.42578125" style="229"/>
  </cols>
  <sheetData>
    <row r="1" spans="1:5" ht="37.5" customHeight="1" x14ac:dyDescent="0.35">
      <c r="A1" s="685" t="s">
        <v>208</v>
      </c>
      <c r="B1" s="685"/>
      <c r="C1" s="685"/>
      <c r="D1" s="685"/>
      <c r="E1" s="685"/>
    </row>
    <row r="2" spans="1:5" ht="15.75" thickBot="1" x14ac:dyDescent="0.25"/>
    <row r="3" spans="1:5" ht="27.75" customHeight="1" thickBot="1" x14ac:dyDescent="0.25">
      <c r="A3" s="686" t="s">
        <v>185</v>
      </c>
      <c r="B3" s="687"/>
      <c r="C3" s="687"/>
      <c r="D3" s="687"/>
      <c r="E3" s="688"/>
    </row>
    <row r="4" spans="1:5" ht="15.75" thickBot="1" x14ac:dyDescent="0.25">
      <c r="C4" s="230"/>
    </row>
    <row r="5" spans="1:5" ht="30.75" thickBot="1" x14ac:dyDescent="0.25">
      <c r="A5" s="375" t="s">
        <v>38</v>
      </c>
      <c r="B5" s="376" t="s">
        <v>135</v>
      </c>
      <c r="C5" s="376" t="s">
        <v>41</v>
      </c>
      <c r="D5" s="376" t="s">
        <v>136</v>
      </c>
      <c r="E5" s="377" t="s">
        <v>137</v>
      </c>
    </row>
    <row r="6" spans="1:5" ht="48" customHeight="1" x14ac:dyDescent="0.2">
      <c r="A6" s="490" t="s">
        <v>189</v>
      </c>
      <c r="B6" s="382"/>
      <c r="C6" s="383" t="s">
        <v>186</v>
      </c>
      <c r="D6" s="395">
        <v>21565.77</v>
      </c>
      <c r="E6" s="384"/>
    </row>
    <row r="7" spans="1:5" ht="48" customHeight="1" x14ac:dyDescent="0.2">
      <c r="A7" s="491" t="s">
        <v>192</v>
      </c>
      <c r="B7" s="379"/>
      <c r="C7" s="324" t="s">
        <v>181</v>
      </c>
      <c r="D7" s="380"/>
      <c r="E7" s="391">
        <v>2153</v>
      </c>
    </row>
    <row r="8" spans="1:5" ht="48" customHeight="1" x14ac:dyDescent="0.2">
      <c r="A8" s="491" t="s">
        <v>195</v>
      </c>
      <c r="B8" s="381"/>
      <c r="C8" s="238" t="s">
        <v>191</v>
      </c>
      <c r="D8" s="470"/>
      <c r="E8" s="460">
        <v>200</v>
      </c>
    </row>
    <row r="9" spans="1:5" ht="39.75" customHeight="1" x14ac:dyDescent="0.2">
      <c r="A9" s="491"/>
      <c r="B9" s="381"/>
      <c r="C9" s="238"/>
      <c r="D9" s="470"/>
      <c r="E9" s="460"/>
    </row>
    <row r="10" spans="1:5" ht="39.75" customHeight="1" x14ac:dyDescent="0.2">
      <c r="A10" s="385"/>
      <c r="B10" s="381"/>
      <c r="C10" s="238"/>
      <c r="D10" s="380"/>
      <c r="E10" s="413"/>
    </row>
    <row r="11" spans="1:5" ht="29.25" customHeight="1" thickBot="1" x14ac:dyDescent="0.25">
      <c r="A11" s="386"/>
      <c r="B11" s="387"/>
      <c r="C11" s="388"/>
      <c r="D11" s="389"/>
      <c r="E11" s="390"/>
    </row>
    <row r="12" spans="1:5" ht="24" customHeight="1" thickBot="1" x14ac:dyDescent="0.25">
      <c r="A12" s="378"/>
      <c r="B12" s="378"/>
      <c r="C12" s="406" t="s">
        <v>33</v>
      </c>
      <c r="D12" s="392">
        <f>SUM(D6:D11)</f>
        <v>21565.77</v>
      </c>
      <c r="E12" s="393">
        <f>SUM(E6:E11)</f>
        <v>2353</v>
      </c>
    </row>
    <row r="13" spans="1:5" ht="24" customHeight="1" thickBot="1" x14ac:dyDescent="0.25">
      <c r="C13" s="407" t="s">
        <v>147</v>
      </c>
      <c r="D13" s="408">
        <f>D12-E12</f>
        <v>19212.77</v>
      </c>
      <c r="E13" s="394"/>
    </row>
    <row r="14" spans="1:5" x14ac:dyDescent="0.2">
      <c r="D14" s="243"/>
    </row>
    <row r="15" spans="1:5" x14ac:dyDescent="0.2">
      <c r="C15" s="230"/>
    </row>
    <row r="19" spans="3:5" x14ac:dyDescent="0.2">
      <c r="C19" s="689">
        <f>'PB '!C7</f>
        <v>0</v>
      </c>
      <c r="D19" s="689"/>
      <c r="E19" s="689"/>
    </row>
    <row r="20" spans="3:5" x14ac:dyDescent="0.2">
      <c r="C20" s="690" t="s">
        <v>146</v>
      </c>
      <c r="D20" s="690"/>
      <c r="E20" s="690"/>
    </row>
    <row r="22" spans="3:5" x14ac:dyDescent="0.2">
      <c r="D22" s="241"/>
      <c r="E22" s="241"/>
    </row>
    <row r="23" spans="3:5" x14ac:dyDescent="0.2">
      <c r="D23" s="242"/>
      <c r="E23" s="242"/>
    </row>
    <row r="33" spans="6:6" x14ac:dyDescent="0.2">
      <c r="F33" s="241"/>
    </row>
    <row r="34" spans="6:6" ht="15" customHeight="1" x14ac:dyDescent="0.2">
      <c r="F34" s="242"/>
    </row>
  </sheetData>
  <mergeCells count="4">
    <mergeCell ref="A1:E1"/>
    <mergeCell ref="A3:E3"/>
    <mergeCell ref="C19:E19"/>
    <mergeCell ref="C20:E20"/>
  </mergeCells>
  <pageMargins left="0.25" right="0.25" top="0.75" bottom="0.75" header="0.3" footer="0.3"/>
  <pageSetup paperSize="9" orientation="portrait" horizont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50"/>
  <sheetViews>
    <sheetView topLeftCell="A24" zoomScaleNormal="100" workbookViewId="0">
      <selection activeCell="C28" sqref="C28"/>
    </sheetView>
  </sheetViews>
  <sheetFormatPr defaultColWidth="9.42578125" defaultRowHeight="15" x14ac:dyDescent="0.25"/>
  <cols>
    <col min="1" max="1" width="3.5703125" style="71" customWidth="1"/>
    <col min="2" max="2" width="37.42578125" style="71" customWidth="1"/>
    <col min="3" max="3" width="22.42578125" style="71" customWidth="1"/>
    <col min="4" max="4" width="6.5703125" style="71" customWidth="1"/>
    <col min="5" max="5" width="6.42578125" style="72" customWidth="1"/>
    <col min="6" max="6" width="6.5703125" style="72" customWidth="1"/>
    <col min="7" max="8" width="6.5703125" style="72" hidden="1" customWidth="1"/>
    <col min="9" max="9" width="11.5703125" style="73" customWidth="1"/>
    <col min="10" max="10" width="14" style="71" customWidth="1"/>
    <col min="11" max="16384" width="9.42578125" style="71"/>
  </cols>
  <sheetData>
    <row r="1" spans="1:10" ht="15.75" x14ac:dyDescent="0.25">
      <c r="A1" s="91"/>
      <c r="C1" s="340"/>
    </row>
    <row r="2" spans="1:10" ht="30" customHeight="1" x14ac:dyDescent="0.25">
      <c r="A2" s="74"/>
      <c r="B2" s="691" t="s">
        <v>157</v>
      </c>
      <c r="C2" s="691"/>
      <c r="D2" s="691"/>
      <c r="E2" s="691"/>
      <c r="F2" s="691"/>
      <c r="G2" s="691"/>
      <c r="H2" s="691"/>
      <c r="I2" s="691"/>
      <c r="J2" s="691"/>
    </row>
    <row r="3" spans="1:10" x14ac:dyDescent="0.25">
      <c r="A3" s="75"/>
      <c r="D3" s="72"/>
    </row>
    <row r="4" spans="1:10" ht="58.5" customHeight="1" x14ac:dyDescent="0.25">
      <c r="A4" s="697"/>
      <c r="B4" s="698" t="s">
        <v>52</v>
      </c>
      <c r="C4" s="699"/>
      <c r="D4" s="76"/>
      <c r="E4" s="76"/>
      <c r="F4" s="76"/>
      <c r="G4" s="76"/>
      <c r="H4" s="76"/>
      <c r="I4" s="700" t="s">
        <v>53</v>
      </c>
      <c r="J4" s="692" t="s">
        <v>54</v>
      </c>
    </row>
    <row r="5" spans="1:10" ht="2.25" customHeight="1" x14ac:dyDescent="0.25">
      <c r="A5" s="697"/>
      <c r="B5" s="698"/>
      <c r="C5" s="699"/>
      <c r="D5" s="77"/>
      <c r="E5" s="77"/>
      <c r="F5" s="77"/>
      <c r="G5" s="77"/>
      <c r="H5" s="77"/>
      <c r="I5" s="700"/>
      <c r="J5" s="693"/>
    </row>
    <row r="6" spans="1:10" s="74" customFormat="1" ht="18" customHeight="1" x14ac:dyDescent="0.25">
      <c r="A6" s="157"/>
      <c r="B6" s="695" t="s">
        <v>55</v>
      </c>
      <c r="C6" s="695"/>
      <c r="D6" s="78">
        <v>32</v>
      </c>
      <c r="E6" s="78"/>
      <c r="F6" s="78"/>
      <c r="G6" s="78"/>
      <c r="H6" s="78"/>
      <c r="I6" s="700"/>
      <c r="J6" s="694"/>
    </row>
    <row r="7" spans="1:10" ht="18" customHeight="1" x14ac:dyDescent="0.25">
      <c r="A7" s="157" t="s">
        <v>56</v>
      </c>
      <c r="B7" s="225" t="s">
        <v>57</v>
      </c>
      <c r="C7" s="86" t="s">
        <v>3</v>
      </c>
      <c r="D7" s="225"/>
      <c r="E7" s="86"/>
      <c r="F7" s="86"/>
      <c r="G7" s="86"/>
      <c r="H7" s="86"/>
      <c r="I7" s="226"/>
      <c r="J7" s="225"/>
    </row>
    <row r="8" spans="1:10" ht="20.100000000000001" customHeight="1" x14ac:dyDescent="0.25">
      <c r="A8" s="79">
        <v>1</v>
      </c>
      <c r="B8" s="21">
        <f>+'PB '!C7</f>
        <v>0</v>
      </c>
      <c r="C8" s="149" t="str">
        <f>+'PB '!D7</f>
        <v>Master</v>
      </c>
      <c r="D8" s="79">
        <v>0</v>
      </c>
      <c r="E8" s="79"/>
      <c r="F8" s="79"/>
      <c r="G8" s="79"/>
      <c r="H8" s="79"/>
      <c r="I8" s="81">
        <f t="shared" ref="I8:I30" si="0">(($D$6*D8)+($E$6*E8)+($F$6*F8)+($G$6*G8)+($H$6*H8))</f>
        <v>0</v>
      </c>
      <c r="J8" s="82"/>
    </row>
    <row r="9" spans="1:10" ht="20.100000000000001" customHeight="1" x14ac:dyDescent="0.25">
      <c r="A9" s="79">
        <v>2</v>
      </c>
      <c r="B9" s="21">
        <f>+'PB '!C8</f>
        <v>0</v>
      </c>
      <c r="C9" s="149" t="str">
        <f>+'PB '!D8</f>
        <v>Ch.Officer</v>
      </c>
      <c r="D9" s="83">
        <v>0</v>
      </c>
      <c r="E9" s="83"/>
      <c r="F9" s="83"/>
      <c r="G9" s="83"/>
      <c r="H9" s="83"/>
      <c r="I9" s="81">
        <f t="shared" si="0"/>
        <v>0</v>
      </c>
      <c r="J9" s="156"/>
    </row>
    <row r="10" spans="1:10" ht="20.100000000000001" customHeight="1" x14ac:dyDescent="0.25">
      <c r="A10" s="79">
        <v>3</v>
      </c>
      <c r="B10" s="21">
        <f>+'PB '!C9</f>
        <v>0</v>
      </c>
      <c r="C10" s="149" t="str">
        <f>+'PB '!D9</f>
        <v>Adtnl Ch.Officer</v>
      </c>
      <c r="D10" s="79">
        <v>0</v>
      </c>
      <c r="E10" s="79"/>
      <c r="F10" s="79"/>
      <c r="G10" s="79"/>
      <c r="H10" s="79"/>
      <c r="I10" s="81">
        <f>(($D$6*D10)+($E$6*E10)+($F$6*F10)+($G$6*G10)+($H$6*H10))</f>
        <v>0</v>
      </c>
      <c r="J10" s="82"/>
    </row>
    <row r="11" spans="1:10" ht="20.100000000000001" customHeight="1" x14ac:dyDescent="0.25">
      <c r="A11" s="79">
        <v>4</v>
      </c>
      <c r="B11" s="21">
        <f>+'PB '!C10</f>
        <v>0</v>
      </c>
      <c r="C11" s="149" t="str">
        <f>+'PB '!D10</f>
        <v xml:space="preserve">2nd Officer </v>
      </c>
      <c r="D11" s="83">
        <v>0</v>
      </c>
      <c r="E11" s="83"/>
      <c r="F11" s="83"/>
      <c r="G11" s="83"/>
      <c r="H11" s="83"/>
      <c r="I11" s="81">
        <f t="shared" si="0"/>
        <v>0</v>
      </c>
      <c r="J11" s="84"/>
    </row>
    <row r="12" spans="1:10" ht="20.100000000000001" customHeight="1" x14ac:dyDescent="0.25">
      <c r="A12" s="79">
        <v>5</v>
      </c>
      <c r="B12" s="21">
        <f>+'PB '!C11</f>
        <v>0</v>
      </c>
      <c r="C12" s="149" t="str">
        <f>+'PB '!D11</f>
        <v>Deck Cadet</v>
      </c>
      <c r="D12" s="83">
        <v>0</v>
      </c>
      <c r="E12" s="83"/>
      <c r="F12" s="83"/>
      <c r="G12" s="83"/>
      <c r="H12" s="83"/>
      <c r="I12" s="81">
        <f t="shared" si="0"/>
        <v>0</v>
      </c>
      <c r="J12" s="156"/>
    </row>
    <row r="13" spans="1:10" ht="20.100000000000001" customHeight="1" x14ac:dyDescent="0.25">
      <c r="A13" s="79">
        <v>6</v>
      </c>
      <c r="B13" s="21">
        <f>+'PB '!C12</f>
        <v>0</v>
      </c>
      <c r="C13" s="149" t="str">
        <f>+'PB '!D12</f>
        <v>Ch.Engineer</v>
      </c>
      <c r="D13" s="83">
        <v>0</v>
      </c>
      <c r="E13" s="83"/>
      <c r="F13" s="83"/>
      <c r="G13" s="83"/>
      <c r="H13" s="83"/>
      <c r="I13" s="81">
        <f t="shared" si="0"/>
        <v>0</v>
      </c>
      <c r="J13" s="156"/>
    </row>
    <row r="14" spans="1:10" ht="20.100000000000001" customHeight="1" x14ac:dyDescent="0.25">
      <c r="A14" s="79">
        <v>7</v>
      </c>
      <c r="B14" s="21">
        <f>+'PB '!C13</f>
        <v>0</v>
      </c>
      <c r="C14" s="149" t="str">
        <f>+'PB '!D13</f>
        <v>2nd Engineer</v>
      </c>
      <c r="D14" s="79">
        <v>0</v>
      </c>
      <c r="E14" s="79"/>
      <c r="F14" s="79"/>
      <c r="G14" s="79"/>
      <c r="H14" s="79"/>
      <c r="I14" s="81">
        <f t="shared" si="0"/>
        <v>0</v>
      </c>
      <c r="J14" s="82"/>
    </row>
    <row r="15" spans="1:10" ht="20.100000000000001" customHeight="1" x14ac:dyDescent="0.25">
      <c r="A15" s="79">
        <v>8</v>
      </c>
      <c r="B15" s="21">
        <f>+'PB '!C14</f>
        <v>0</v>
      </c>
      <c r="C15" s="149" t="str">
        <f>+'PB '!D14</f>
        <v>3rd.Engineer</v>
      </c>
      <c r="D15" s="79">
        <v>0</v>
      </c>
      <c r="E15" s="79"/>
      <c r="F15" s="79"/>
      <c r="G15" s="79"/>
      <c r="H15" s="79"/>
      <c r="I15" s="81">
        <f t="shared" si="0"/>
        <v>0</v>
      </c>
      <c r="J15" s="82"/>
    </row>
    <row r="16" spans="1:10" ht="20.100000000000001" customHeight="1" x14ac:dyDescent="0.25">
      <c r="A16" s="79">
        <v>9</v>
      </c>
      <c r="B16" s="21">
        <f>+'PB '!C15</f>
        <v>0</v>
      </c>
      <c r="C16" s="149" t="str">
        <f>+'PB '!D15</f>
        <v>4th Engineer</v>
      </c>
      <c r="D16" s="79">
        <v>0</v>
      </c>
      <c r="E16" s="79"/>
      <c r="F16" s="79"/>
      <c r="G16" s="79"/>
      <c r="H16" s="79"/>
      <c r="I16" s="81">
        <f t="shared" si="0"/>
        <v>0</v>
      </c>
      <c r="J16" s="82"/>
    </row>
    <row r="17" spans="1:13" ht="20.100000000000001" customHeight="1" x14ac:dyDescent="0.25">
      <c r="A17" s="79">
        <v>10</v>
      </c>
      <c r="B17" s="21">
        <f>+'PB '!C19</f>
        <v>0</v>
      </c>
      <c r="C17" s="149" t="str">
        <f>+'PB '!D19</f>
        <v>Pumpman</v>
      </c>
      <c r="D17" s="83">
        <v>0</v>
      </c>
      <c r="E17" s="83"/>
      <c r="F17" s="83"/>
      <c r="G17" s="83"/>
      <c r="H17" s="83"/>
      <c r="I17" s="81">
        <f t="shared" si="0"/>
        <v>0</v>
      </c>
      <c r="J17" s="156"/>
    </row>
    <row r="18" spans="1:13" ht="20.100000000000001" customHeight="1" x14ac:dyDescent="0.25">
      <c r="A18" s="79">
        <v>11</v>
      </c>
      <c r="B18" s="21">
        <f>+'PB '!C16</f>
        <v>0</v>
      </c>
      <c r="C18" s="149" t="str">
        <f>+'PB '!D16</f>
        <v>TME</v>
      </c>
      <c r="D18" s="79">
        <v>0</v>
      </c>
      <c r="E18" s="79"/>
      <c r="F18" s="79"/>
      <c r="G18" s="79"/>
      <c r="H18" s="79"/>
      <c r="I18" s="81">
        <f t="shared" si="0"/>
        <v>0</v>
      </c>
      <c r="J18" s="82"/>
    </row>
    <row r="19" spans="1:13" ht="20.100000000000001" customHeight="1" x14ac:dyDescent="0.25">
      <c r="A19" s="79">
        <v>12</v>
      </c>
      <c r="B19" s="21">
        <f>+'PB '!C17</f>
        <v>0</v>
      </c>
      <c r="C19" s="149" t="str">
        <f>+'PB '!D17</f>
        <v>Eletrical Officer</v>
      </c>
      <c r="D19" s="20">
        <v>0</v>
      </c>
      <c r="E19" s="83"/>
      <c r="F19" s="83"/>
      <c r="G19" s="83"/>
      <c r="H19" s="83"/>
      <c r="I19" s="81">
        <f t="shared" si="0"/>
        <v>0</v>
      </c>
      <c r="J19" s="156"/>
    </row>
    <row r="20" spans="1:13" ht="20.100000000000001" customHeight="1" x14ac:dyDescent="0.25">
      <c r="A20" s="79">
        <v>13</v>
      </c>
      <c r="B20" s="21">
        <f>+'PB '!C20</f>
        <v>0</v>
      </c>
      <c r="C20" s="149" t="str">
        <f>+'PB '!D20</f>
        <v>Bosun</v>
      </c>
      <c r="D20" s="83">
        <v>0</v>
      </c>
      <c r="E20" s="83"/>
      <c r="F20" s="83"/>
      <c r="G20" s="83"/>
      <c r="H20" s="83"/>
      <c r="I20" s="81">
        <f t="shared" si="0"/>
        <v>0</v>
      </c>
      <c r="J20" s="156"/>
    </row>
    <row r="21" spans="1:13" ht="20.100000000000001" customHeight="1" x14ac:dyDescent="0.25">
      <c r="A21" s="79">
        <v>14</v>
      </c>
      <c r="B21" s="21">
        <f>+'PB '!C21</f>
        <v>0</v>
      </c>
      <c r="C21" s="149" t="str">
        <f>+'PB '!D21</f>
        <v>AB 1</v>
      </c>
      <c r="D21" s="83">
        <v>0</v>
      </c>
      <c r="E21" s="83"/>
      <c r="F21" s="83"/>
      <c r="G21" s="83"/>
      <c r="H21" s="83"/>
      <c r="I21" s="81">
        <f t="shared" si="0"/>
        <v>0</v>
      </c>
      <c r="J21" s="156"/>
    </row>
    <row r="22" spans="1:13" ht="20.100000000000001" customHeight="1" x14ac:dyDescent="0.25">
      <c r="A22" s="79">
        <v>15</v>
      </c>
      <c r="B22" s="21">
        <f>+'PB '!C22</f>
        <v>0</v>
      </c>
      <c r="C22" s="149" t="str">
        <f>+'PB '!D22</f>
        <v>AB 2</v>
      </c>
      <c r="D22" s="79">
        <v>0</v>
      </c>
      <c r="E22" s="79"/>
      <c r="F22" s="79"/>
      <c r="G22" s="79"/>
      <c r="H22" s="79"/>
      <c r="I22" s="81">
        <f t="shared" si="0"/>
        <v>0</v>
      </c>
      <c r="J22" s="82"/>
    </row>
    <row r="23" spans="1:13" ht="20.100000000000001" customHeight="1" x14ac:dyDescent="0.25">
      <c r="A23" s="79">
        <v>16</v>
      </c>
      <c r="B23" s="21">
        <f>+'PB '!C23</f>
        <v>0</v>
      </c>
      <c r="C23" s="149" t="str">
        <f>+'PB '!D23</f>
        <v>AB 3</v>
      </c>
      <c r="D23" s="79">
        <v>0</v>
      </c>
      <c r="E23" s="79"/>
      <c r="F23" s="79"/>
      <c r="G23" s="79"/>
      <c r="H23" s="79"/>
      <c r="I23" s="81">
        <f t="shared" si="0"/>
        <v>0</v>
      </c>
      <c r="J23" s="82"/>
    </row>
    <row r="24" spans="1:13" ht="20.100000000000001" customHeight="1" x14ac:dyDescent="0.25">
      <c r="A24" s="79">
        <v>17</v>
      </c>
      <c r="B24" s="21">
        <f>+'PB '!C24</f>
        <v>0</v>
      </c>
      <c r="C24" s="149" t="str">
        <f>+'PB '!D24</f>
        <v>OS 1</v>
      </c>
      <c r="D24" s="83">
        <v>0</v>
      </c>
      <c r="E24" s="83"/>
      <c r="F24" s="83"/>
      <c r="G24" s="83"/>
      <c r="H24" s="83"/>
      <c r="I24" s="81">
        <f t="shared" si="0"/>
        <v>0</v>
      </c>
      <c r="J24" s="156"/>
    </row>
    <row r="25" spans="1:13" ht="20.100000000000001" customHeight="1" x14ac:dyDescent="0.25">
      <c r="A25" s="79">
        <v>18</v>
      </c>
      <c r="B25" s="21">
        <f>+'PB '!C25</f>
        <v>0</v>
      </c>
      <c r="C25" s="149" t="str">
        <f>+'PB '!D25</f>
        <v>OS 2</v>
      </c>
      <c r="D25" s="79">
        <v>0</v>
      </c>
      <c r="E25" s="79"/>
      <c r="F25" s="79"/>
      <c r="G25" s="79"/>
      <c r="H25" s="79"/>
      <c r="I25" s="81">
        <f t="shared" si="0"/>
        <v>0</v>
      </c>
      <c r="J25" s="82"/>
    </row>
    <row r="26" spans="1:13" ht="20.100000000000001" customHeight="1" x14ac:dyDescent="0.25">
      <c r="A26" s="79">
        <v>19</v>
      </c>
      <c r="B26" s="21">
        <f>+'PB '!C26</f>
        <v>0</v>
      </c>
      <c r="C26" s="149" t="str">
        <f>+'PB '!D26</f>
        <v>Oiler 1</v>
      </c>
      <c r="D26" s="79">
        <v>0</v>
      </c>
      <c r="E26" s="79"/>
      <c r="F26" s="79"/>
      <c r="G26" s="79"/>
      <c r="H26" s="79"/>
      <c r="I26" s="81">
        <f t="shared" si="0"/>
        <v>0</v>
      </c>
      <c r="J26" s="82"/>
    </row>
    <row r="27" spans="1:13" ht="20.100000000000001" customHeight="1" x14ac:dyDescent="0.25">
      <c r="A27" s="79">
        <v>20</v>
      </c>
      <c r="B27" s="21">
        <f>+'PB '!C27</f>
        <v>0</v>
      </c>
      <c r="C27" s="149" t="str">
        <f>+'PB '!D27</f>
        <v>Oiler 2</v>
      </c>
      <c r="D27" s="79">
        <v>0</v>
      </c>
      <c r="E27" s="79"/>
      <c r="F27" s="79"/>
      <c r="G27" s="79"/>
      <c r="H27" s="79"/>
      <c r="I27" s="81">
        <f t="shared" si="0"/>
        <v>0</v>
      </c>
      <c r="J27" s="82"/>
    </row>
    <row r="28" spans="1:13" ht="20.100000000000001" customHeight="1" x14ac:dyDescent="0.25">
      <c r="A28" s="79">
        <v>21</v>
      </c>
      <c r="B28" s="21">
        <f>+'PB '!C28</f>
        <v>0</v>
      </c>
      <c r="C28" s="149" t="str">
        <f>+'PB '!D28</f>
        <v>Oiler 3</v>
      </c>
      <c r="D28" s="83">
        <v>0</v>
      </c>
      <c r="E28" s="83"/>
      <c r="F28" s="83"/>
      <c r="G28" s="83"/>
      <c r="H28" s="83"/>
      <c r="I28" s="81">
        <f t="shared" si="0"/>
        <v>0</v>
      </c>
      <c r="J28" s="156"/>
    </row>
    <row r="29" spans="1:13" ht="20.100000000000001" customHeight="1" x14ac:dyDescent="0.25">
      <c r="A29" s="79">
        <v>22</v>
      </c>
      <c r="B29" s="21">
        <f>+'PB '!C29</f>
        <v>0</v>
      </c>
      <c r="C29" s="149" t="str">
        <f>+'PB '!D29</f>
        <v>Fitter</v>
      </c>
      <c r="D29" s="83">
        <v>0</v>
      </c>
      <c r="E29" s="83"/>
      <c r="F29" s="83"/>
      <c r="G29" s="83"/>
      <c r="H29" s="83"/>
      <c r="I29" s="81">
        <f t="shared" si="0"/>
        <v>0</v>
      </c>
      <c r="J29" s="156"/>
    </row>
    <row r="30" spans="1:13" ht="20.100000000000001" customHeight="1" x14ac:dyDescent="0.25">
      <c r="A30" s="79">
        <v>23</v>
      </c>
      <c r="B30" s="21">
        <f>+'PB '!C30</f>
        <v>0</v>
      </c>
      <c r="C30" s="149" t="str">
        <f>+'PB '!D30</f>
        <v>Chief Cook</v>
      </c>
      <c r="D30" s="83">
        <v>0</v>
      </c>
      <c r="E30" s="83"/>
      <c r="F30" s="83"/>
      <c r="G30" s="83"/>
      <c r="H30" s="83"/>
      <c r="I30" s="81">
        <f t="shared" si="0"/>
        <v>0</v>
      </c>
      <c r="J30" s="156"/>
      <c r="M30" s="85"/>
    </row>
    <row r="31" spans="1:13" ht="20.100000000000001" customHeight="1" x14ac:dyDescent="0.25">
      <c r="A31" s="79"/>
      <c r="B31" s="80"/>
      <c r="C31" s="79"/>
      <c r="D31" s="79"/>
      <c r="E31" s="79"/>
      <c r="F31" s="79"/>
      <c r="G31" s="79"/>
      <c r="H31" s="79"/>
      <c r="I31" s="81"/>
      <c r="J31" s="82"/>
      <c r="M31" s="85"/>
    </row>
    <row r="32" spans="1:13" ht="22.5" customHeight="1" x14ac:dyDescent="0.25">
      <c r="A32" s="696" t="s">
        <v>58</v>
      </c>
      <c r="B32" s="696"/>
      <c r="C32" s="696"/>
      <c r="D32" s="224">
        <f t="shared" ref="D32:I32" si="1">SUM(D8:D31)</f>
        <v>0</v>
      </c>
      <c r="E32" s="224">
        <f t="shared" si="1"/>
        <v>0</v>
      </c>
      <c r="F32" s="224">
        <f t="shared" si="1"/>
        <v>0</v>
      </c>
      <c r="G32" s="224">
        <f t="shared" si="1"/>
        <v>0</v>
      </c>
      <c r="H32" s="224">
        <f t="shared" si="1"/>
        <v>0</v>
      </c>
      <c r="I32" s="227">
        <f t="shared" si="1"/>
        <v>0</v>
      </c>
      <c r="J32" s="228"/>
    </row>
    <row r="33" spans="1:24" ht="12.75" customHeight="1" x14ac:dyDescent="0.25">
      <c r="A33" s="87"/>
      <c r="B33" s="87"/>
      <c r="C33" s="87"/>
      <c r="D33" s="88"/>
      <c r="E33" s="88"/>
      <c r="F33" s="88"/>
      <c r="G33" s="88"/>
      <c r="H33" s="88"/>
      <c r="I33" s="89"/>
      <c r="J33" s="90"/>
    </row>
    <row r="34" spans="1:24" s="67" customFormat="1" ht="12" customHeight="1" x14ac:dyDescent="0.25">
      <c r="A34" s="65"/>
      <c r="B34" s="69"/>
      <c r="D34" s="70"/>
      <c r="E34" s="65"/>
      <c r="F34" s="66"/>
      <c r="G34" s="66"/>
      <c r="H34" s="66"/>
      <c r="I34" s="64"/>
      <c r="J34" s="68"/>
      <c r="K34" s="71"/>
      <c r="L34" s="71"/>
      <c r="M34" s="71"/>
      <c r="N34" s="71"/>
      <c r="O34" s="71"/>
      <c r="P34" s="71"/>
      <c r="Q34" s="71"/>
      <c r="R34" s="71"/>
      <c r="S34" s="71"/>
      <c r="T34" s="71"/>
      <c r="U34" s="71"/>
      <c r="V34" s="71"/>
      <c r="W34" s="71"/>
      <c r="X34" s="71"/>
    </row>
    <row r="35" spans="1:24" s="67" customFormat="1" ht="14.25" customHeight="1" x14ac:dyDescent="0.25">
      <c r="A35" s="701" t="s">
        <v>110</v>
      </c>
      <c r="B35" s="701"/>
      <c r="C35" s="701"/>
      <c r="D35" s="159"/>
      <c r="E35" s="159"/>
      <c r="F35" s="159"/>
      <c r="G35" s="159"/>
      <c r="H35" s="159"/>
      <c r="I35" s="159"/>
      <c r="J35" s="159"/>
      <c r="K35" s="71"/>
      <c r="L35" s="71"/>
      <c r="M35" s="71"/>
      <c r="N35" s="71"/>
      <c r="O35" s="71"/>
      <c r="P35" s="71"/>
      <c r="Q35" s="71"/>
      <c r="R35" s="71"/>
      <c r="S35" s="71"/>
      <c r="T35" s="71"/>
      <c r="U35" s="71"/>
      <c r="V35" s="71"/>
      <c r="W35" s="71"/>
      <c r="X35" s="71"/>
    </row>
    <row r="36" spans="1:24" x14ac:dyDescent="0.25">
      <c r="A36" s="144">
        <v>1</v>
      </c>
      <c r="B36" s="143"/>
      <c r="C36" s="160"/>
      <c r="D36" s="144">
        <v>0</v>
      </c>
      <c r="E36" s="155"/>
      <c r="F36" s="155"/>
      <c r="G36" s="155"/>
      <c r="H36" s="155"/>
      <c r="I36" s="81">
        <f>(($D$6*D36)+($E$6*E36)+($F$6*F36)+($G$6*G36)+($H$6*H36))</f>
        <v>0</v>
      </c>
      <c r="J36" s="155"/>
    </row>
    <row r="37" spans="1:24" x14ac:dyDescent="0.25">
      <c r="A37" s="155">
        <v>2</v>
      </c>
      <c r="B37" s="142"/>
      <c r="C37" s="160"/>
      <c r="D37" s="144"/>
      <c r="E37" s="155"/>
      <c r="F37" s="155"/>
      <c r="G37" s="155"/>
      <c r="H37" s="155"/>
      <c r="I37" s="81">
        <f>(($D$6*D37)+($E$6*E37)+($F$6*F37)+($G$6*G37)+($H$6*H37))</f>
        <v>0</v>
      </c>
      <c r="J37" s="155"/>
    </row>
    <row r="38" spans="1:24" x14ac:dyDescent="0.25">
      <c r="A38" s="155">
        <v>3</v>
      </c>
      <c r="B38" s="142"/>
      <c r="C38" s="160"/>
      <c r="D38" s="144"/>
      <c r="E38" s="155"/>
      <c r="F38" s="155"/>
      <c r="G38" s="155"/>
      <c r="H38" s="155"/>
      <c r="I38" s="81">
        <f>(($D$6*D38)+($E$6*E38)+($F$6*F38)+($G$6*G38)+($H$6*H38))</f>
        <v>0</v>
      </c>
      <c r="J38" s="155"/>
    </row>
    <row r="39" spans="1:24" x14ac:dyDescent="0.25">
      <c r="A39" s="155">
        <v>4</v>
      </c>
      <c r="B39" s="143"/>
      <c r="C39" s="160"/>
      <c r="D39" s="144"/>
      <c r="E39" s="155"/>
      <c r="F39" s="155"/>
      <c r="G39" s="155"/>
      <c r="H39" s="161"/>
      <c r="I39" s="81">
        <f>(($D$6*D39)+($E$6*E39)+($F$6*F39)+($G$6*G39)+($H$6*H39))</f>
        <v>0</v>
      </c>
      <c r="J39" s="155"/>
    </row>
    <row r="40" spans="1:24" x14ac:dyDescent="0.25">
      <c r="A40" s="155">
        <v>5</v>
      </c>
      <c r="B40" s="143"/>
      <c r="C40" s="160"/>
      <c r="D40" s="144"/>
      <c r="E40" s="155"/>
      <c r="F40" s="155"/>
      <c r="G40" s="155"/>
      <c r="H40" s="161"/>
      <c r="I40" s="81">
        <f>(($D$6*D40)+($E$6*E40)+($F$6*F40)+($G$6*G40)+($H$6*H40))</f>
        <v>0</v>
      </c>
      <c r="J40" s="155"/>
    </row>
    <row r="41" spans="1:24" ht="12.75" x14ac:dyDescent="0.25">
      <c r="I41" s="72"/>
      <c r="J41" s="72"/>
    </row>
    <row r="42" spans="1:24" x14ac:dyDescent="0.25">
      <c r="A42" s="702" t="s">
        <v>111</v>
      </c>
      <c r="B42" s="702"/>
      <c r="C42" s="702"/>
      <c r="D42" s="155">
        <f t="shared" ref="D42:J42" si="2">SUM(D36:D40)</f>
        <v>0</v>
      </c>
      <c r="E42" s="155">
        <f t="shared" si="2"/>
        <v>0</v>
      </c>
      <c r="F42" s="155">
        <f t="shared" si="2"/>
        <v>0</v>
      </c>
      <c r="G42" s="155">
        <f t="shared" si="2"/>
        <v>0</v>
      </c>
      <c r="H42" s="155">
        <f t="shared" si="2"/>
        <v>0</v>
      </c>
      <c r="I42" s="155">
        <f t="shared" si="2"/>
        <v>0</v>
      </c>
      <c r="J42" s="155">
        <f t="shared" si="2"/>
        <v>0</v>
      </c>
    </row>
    <row r="43" spans="1:24" ht="12.75" x14ac:dyDescent="0.25">
      <c r="I43" s="72"/>
      <c r="J43" s="72"/>
    </row>
    <row r="44" spans="1:24" x14ac:dyDescent="0.25">
      <c r="A44" s="701" t="s">
        <v>112</v>
      </c>
      <c r="B44" s="701"/>
      <c r="C44" s="701"/>
      <c r="D44" s="159"/>
      <c r="E44" s="159"/>
      <c r="F44" s="159"/>
      <c r="G44" s="159"/>
      <c r="H44" s="159"/>
      <c r="I44" s="159"/>
      <c r="J44" s="159"/>
    </row>
    <row r="45" spans="1:24" x14ac:dyDescent="0.25">
      <c r="A45" s="144">
        <v>1</v>
      </c>
      <c r="B45" s="142"/>
      <c r="C45" s="162"/>
      <c r="D45" s="163"/>
      <c r="E45" s="163"/>
      <c r="F45" s="163"/>
      <c r="G45" s="163"/>
      <c r="H45" s="163"/>
      <c r="I45" s="81">
        <f>(($D$6*D45)+($E$6*E45)+($F$6*F45)+($G$6*G45)+($H$6*H45))</f>
        <v>0</v>
      </c>
      <c r="J45" s="163"/>
    </row>
    <row r="46" spans="1:24" x14ac:dyDescent="0.25">
      <c r="A46" s="155">
        <v>2</v>
      </c>
      <c r="B46" s="142"/>
      <c r="C46" s="155"/>
      <c r="D46" s="155"/>
      <c r="E46" s="155"/>
      <c r="F46" s="155"/>
      <c r="G46" s="155"/>
      <c r="H46" s="155"/>
      <c r="I46" s="81">
        <f>(($D$6*D46)+($E$6*E46)+($F$6*F46)+($G$6*G46)+($H$6*H46))</f>
        <v>0</v>
      </c>
      <c r="J46" s="155"/>
    </row>
    <row r="47" spans="1:24" ht="12.75" x14ac:dyDescent="0.25">
      <c r="I47" s="72"/>
      <c r="J47" s="72"/>
    </row>
    <row r="48" spans="1:24" x14ac:dyDescent="0.25">
      <c r="A48" s="702" t="s">
        <v>113</v>
      </c>
      <c r="B48" s="702"/>
      <c r="C48" s="702"/>
      <c r="D48" s="155">
        <f t="shared" ref="D48:J48" si="3">SUM(D45:D46)</f>
        <v>0</v>
      </c>
      <c r="E48" s="155">
        <f t="shared" si="3"/>
        <v>0</v>
      </c>
      <c r="F48" s="155">
        <f t="shared" si="3"/>
        <v>0</v>
      </c>
      <c r="G48" s="155">
        <f t="shared" si="3"/>
        <v>0</v>
      </c>
      <c r="H48" s="155">
        <f t="shared" si="3"/>
        <v>0</v>
      </c>
      <c r="I48" s="155">
        <f t="shared" si="3"/>
        <v>0</v>
      </c>
      <c r="J48" s="155">
        <f t="shared" si="3"/>
        <v>0</v>
      </c>
    </row>
    <row r="49" spans="1:10" x14ac:dyDescent="0.25">
      <c r="A49" s="164"/>
      <c r="B49" s="164"/>
      <c r="C49" s="164"/>
      <c r="I49" s="72"/>
      <c r="J49" s="72"/>
    </row>
    <row r="50" spans="1:10" x14ac:dyDescent="0.25">
      <c r="A50" s="702" t="s">
        <v>114</v>
      </c>
      <c r="B50" s="702"/>
      <c r="C50" s="702"/>
      <c r="D50" s="155">
        <f>+D32+D42+D48</f>
        <v>0</v>
      </c>
      <c r="E50" s="155">
        <f>+E33+E42+E48</f>
        <v>0</v>
      </c>
      <c r="F50" s="155">
        <f>F33+F42+F48</f>
        <v>0</v>
      </c>
      <c r="G50" s="155">
        <f>+G33+G42+G48</f>
        <v>0</v>
      </c>
      <c r="H50" s="155">
        <f>+H33+H42+H48</f>
        <v>0</v>
      </c>
      <c r="I50" s="220">
        <f>+I32+I42+I48</f>
        <v>0</v>
      </c>
      <c r="J50" s="155">
        <f>+J33+J42+J48</f>
        <v>0</v>
      </c>
    </row>
  </sheetData>
  <mergeCells count="13">
    <mergeCell ref="A35:C35"/>
    <mergeCell ref="A42:C42"/>
    <mergeCell ref="A44:C44"/>
    <mergeCell ref="A48:C48"/>
    <mergeCell ref="A50:C50"/>
    <mergeCell ref="B2:J2"/>
    <mergeCell ref="J4:J6"/>
    <mergeCell ref="B6:C6"/>
    <mergeCell ref="A32:C32"/>
    <mergeCell ref="A4:A5"/>
    <mergeCell ref="B4:B5"/>
    <mergeCell ref="C4:C5"/>
    <mergeCell ref="I4:I6"/>
  </mergeCells>
  <pageMargins left="0.4" right="0.28999999999999998" top="0.74803149606299213" bottom="0.74803149606299213" header="0.31496062992125984" footer="0.31496062992125984"/>
  <pageSetup scale="90" orientation="portrait" r:id="rId1"/>
  <rowBreaks count="1" manualBreakCount="1">
    <brk id="33"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5"/>
  <sheetViews>
    <sheetView view="pageBreakPreview" topLeftCell="A6" zoomScaleNormal="100" zoomScaleSheetLayoutView="100" workbookViewId="0">
      <selection activeCell="C22" sqref="C22"/>
    </sheetView>
  </sheetViews>
  <sheetFormatPr defaultColWidth="9.42578125" defaultRowHeight="15" x14ac:dyDescent="0.2"/>
  <cols>
    <col min="1" max="1" width="14.42578125" style="229" customWidth="1"/>
    <col min="2" max="2" width="10.5703125" style="229" customWidth="1"/>
    <col min="3" max="3" width="43.85546875" style="229" customWidth="1"/>
    <col min="4" max="4" width="13.42578125" style="229" customWidth="1"/>
    <col min="5" max="5" width="13" style="229" customWidth="1"/>
    <col min="6" max="16384" width="9.42578125" style="229"/>
  </cols>
  <sheetData>
    <row r="1" spans="1:5" ht="37.5" customHeight="1" x14ac:dyDescent="0.35">
      <c r="A1" s="685" t="s">
        <v>208</v>
      </c>
      <c r="B1" s="685"/>
      <c r="C1" s="685"/>
      <c r="D1" s="685"/>
      <c r="E1" s="685"/>
    </row>
    <row r="2" spans="1:5" ht="15.75" thickBot="1" x14ac:dyDescent="0.25"/>
    <row r="3" spans="1:5" ht="27.75" customHeight="1" thickBot="1" x14ac:dyDescent="0.25">
      <c r="A3" s="686" t="s">
        <v>187</v>
      </c>
      <c r="B3" s="687"/>
      <c r="C3" s="687"/>
      <c r="D3" s="687"/>
      <c r="E3" s="688"/>
    </row>
    <row r="4" spans="1:5" ht="15.75" thickBot="1" x14ac:dyDescent="0.25">
      <c r="C4" s="230"/>
    </row>
    <row r="5" spans="1:5" ht="30.75" thickBot="1" x14ac:dyDescent="0.25">
      <c r="A5" s="231" t="s">
        <v>38</v>
      </c>
      <c r="B5" s="232" t="s">
        <v>135</v>
      </c>
      <c r="C5" s="232" t="s">
        <v>41</v>
      </c>
      <c r="D5" s="232" t="s">
        <v>136</v>
      </c>
      <c r="E5" s="233" t="s">
        <v>137</v>
      </c>
    </row>
    <row r="6" spans="1:5" ht="30" customHeight="1" x14ac:dyDescent="0.2">
      <c r="A6" s="234" t="s">
        <v>189</v>
      </c>
      <c r="B6" s="235"/>
      <c r="C6" s="236" t="s">
        <v>188</v>
      </c>
      <c r="D6" s="461">
        <v>286</v>
      </c>
      <c r="E6" s="460"/>
    </row>
    <row r="7" spans="1:5" ht="30" customHeight="1" x14ac:dyDescent="0.2">
      <c r="A7" s="234" t="s">
        <v>193</v>
      </c>
      <c r="B7" s="323"/>
      <c r="C7" s="324" t="s">
        <v>194</v>
      </c>
      <c r="D7" s="461"/>
      <c r="E7" s="460">
        <v>200</v>
      </c>
    </row>
    <row r="8" spans="1:5" ht="36" customHeight="1" x14ac:dyDescent="0.2">
      <c r="A8" s="234" t="s">
        <v>195</v>
      </c>
      <c r="B8" s="323"/>
      <c r="C8" s="324" t="s">
        <v>190</v>
      </c>
      <c r="D8" s="461">
        <v>200</v>
      </c>
      <c r="E8" s="460"/>
    </row>
    <row r="9" spans="1:5" ht="30" customHeight="1" x14ac:dyDescent="0.2">
      <c r="A9" s="234" t="s">
        <v>203</v>
      </c>
      <c r="B9" s="237"/>
      <c r="C9" s="238" t="s">
        <v>202</v>
      </c>
      <c r="D9" s="462"/>
      <c r="E9" s="463">
        <v>100</v>
      </c>
    </row>
    <row r="10" spans="1:5" ht="30" customHeight="1" x14ac:dyDescent="0.2">
      <c r="A10" s="234"/>
      <c r="B10" s="237"/>
      <c r="C10" s="238"/>
      <c r="D10" s="462"/>
      <c r="E10" s="463"/>
    </row>
    <row r="11" spans="1:5" ht="27.75" customHeight="1" thickBot="1" x14ac:dyDescent="0.25">
      <c r="A11" s="234"/>
      <c r="B11" s="239"/>
      <c r="C11" s="240"/>
      <c r="D11" s="464"/>
      <c r="E11" s="465"/>
    </row>
    <row r="12" spans="1:5" ht="27.75" customHeight="1" thickBot="1" x14ac:dyDescent="0.25">
      <c r="A12" s="231"/>
      <c r="B12" s="231"/>
      <c r="C12" s="328" t="s">
        <v>33</v>
      </c>
      <c r="D12" s="466">
        <f>SUM(D6:D11)</f>
        <v>486</v>
      </c>
      <c r="E12" s="467">
        <f>SUM(E6:E11)</f>
        <v>300</v>
      </c>
    </row>
    <row r="13" spans="1:5" ht="6" customHeight="1" thickBot="1" x14ac:dyDescent="0.25">
      <c r="D13" s="468"/>
      <c r="E13" s="468"/>
    </row>
    <row r="14" spans="1:5" ht="20.25" customHeight="1" x14ac:dyDescent="0.2">
      <c r="C14" s="325" t="s">
        <v>147</v>
      </c>
      <c r="D14" s="469">
        <f>D12-E12</f>
        <v>186</v>
      </c>
      <c r="E14" s="326"/>
    </row>
    <row r="15" spans="1:5" x14ac:dyDescent="0.2">
      <c r="D15" s="243"/>
    </row>
    <row r="16" spans="1:5" x14ac:dyDescent="0.2">
      <c r="C16" s="230"/>
    </row>
    <row r="20" spans="3:5" x14ac:dyDescent="0.2">
      <c r="C20" s="689">
        <f>'PB '!C7</f>
        <v>0</v>
      </c>
      <c r="D20" s="689"/>
      <c r="E20" s="689"/>
    </row>
    <row r="21" spans="3:5" x14ac:dyDescent="0.2">
      <c r="C21" s="690" t="s">
        <v>214</v>
      </c>
      <c r="D21" s="690"/>
      <c r="E21" s="690"/>
    </row>
    <row r="23" spans="3:5" x14ac:dyDescent="0.2">
      <c r="D23" s="241"/>
      <c r="E23" s="241"/>
    </row>
    <row r="24" spans="3:5" x14ac:dyDescent="0.2">
      <c r="D24" s="242"/>
      <c r="E24" s="242"/>
    </row>
    <row r="34" spans="6:6" x14ac:dyDescent="0.2">
      <c r="F34" s="241"/>
    </row>
    <row r="35" spans="6:6" ht="15" customHeight="1" x14ac:dyDescent="0.2">
      <c r="F35" s="242"/>
    </row>
  </sheetData>
  <mergeCells count="4">
    <mergeCell ref="A1:E1"/>
    <mergeCell ref="A3:E3"/>
    <mergeCell ref="C20:E20"/>
    <mergeCell ref="C21:E21"/>
  </mergeCells>
  <pageMargins left="0.7" right="0.7" top="0.75" bottom="0.75" header="0.3" footer="0.3"/>
  <pageSetup paperSize="9" scale="91"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PB </vt:lpstr>
      <vt:lpstr>Salary Slip</vt:lpstr>
      <vt:lpstr>Wage Statement</vt:lpstr>
      <vt:lpstr>Offsigners</vt:lpstr>
      <vt:lpstr>ALLOWANCE </vt:lpstr>
      <vt:lpstr>Allotment Sheet</vt:lpstr>
      <vt:lpstr>Discretionary Account</vt:lpstr>
      <vt:lpstr>MCA</vt:lpstr>
      <vt:lpstr>Calling - Chart Cards Statement</vt:lpstr>
      <vt:lpstr>Welfare Account</vt:lpstr>
      <vt:lpstr>'Allotment Sheet'!Print_Area</vt:lpstr>
      <vt:lpstr>'Calling - Chart Cards Statement'!Print_Area</vt:lpstr>
      <vt:lpstr>Offsigners!Print_Area</vt:lpstr>
      <vt:lpstr>'PB '!Print_Area</vt:lpstr>
      <vt:lpstr>'Salary Slip'!Print_Area</vt:lpstr>
      <vt:lpstr>'Wage Statement'!Print_Area</vt:lpstr>
      <vt:lpstr>'Welfare Account'!Print_Area</vt:lpstr>
      <vt:lpstr>'Allotment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2024-10-25T13:28:48Z</dcterms:created>
  <dcterms:modified xsi:type="dcterms:W3CDTF">2026-02-28T11:48:59Z</dcterms:modified>
</cp:coreProperties>
</file>