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rthivasan\Downloads\Development\"/>
    </mc:Choice>
  </mc:AlternateContent>
  <xr:revisionPtr revIDLastSave="0" documentId="13_ncr:1_{1D588122-502E-4156-8843-A0FEA65CE56A}" xr6:coauthVersionLast="47" xr6:coauthVersionMax="47" xr10:uidLastSave="{00000000-0000-0000-0000-000000000000}"/>
  <bookViews>
    <workbookView xWindow="-110" yWindow="-110" windowWidth="25820" windowHeight="15500" tabRatio="891" firstSheet="3" activeTab="3" xr2:uid="{00000000-000D-0000-FFFF-FFFF00000000}"/>
  </bookViews>
  <sheets>
    <sheet name="2AL" sheetId="3" state="hidden" r:id="rId1"/>
    <sheet name="1AD" sheetId="5" state="hidden" r:id="rId2"/>
    <sheet name="3AD" sheetId="7" state="hidden" r:id="rId3"/>
    <sheet name="Bond" sheetId="92" r:id="rId4"/>
    <sheet name="Slopchest" sheetId="93" r:id="rId5"/>
    <sheet name="19" sheetId="88" state="hidden" r:id="rId6"/>
    <sheet name="20" sheetId="90" state="hidden" r:id="rId7"/>
    <sheet name="21" sheetId="33" state="hidden" r:id="rId8"/>
    <sheet name="Foglio2" sheetId="82" state="hidden" r:id="rId9"/>
    <sheet name="Foglio3" sheetId="83" state="hidden" r:id="rId10"/>
    <sheet name="Foglio4" sheetId="84" state="hidden" r:id="rId11"/>
  </sheets>
  <definedNames>
    <definedName name="_xlnm.Print_Area" localSheetId="5">'19'!$A$1:$H$44</definedName>
    <definedName name="_xlnm.Print_Area" localSheetId="1">'1AD'!$A$1:$G$38</definedName>
    <definedName name="_xlnm.Print_Area" localSheetId="6">'20'!$A$1:$H$44</definedName>
    <definedName name="_xlnm.Print_Area" localSheetId="7">'21'!$A$1:$H$49</definedName>
    <definedName name="_xlnm.Print_Area" localSheetId="0">'2AL'!$A$1:$F$35</definedName>
    <definedName name="_xlnm.Print_Area" localSheetId="2">'3AD'!$A$1:$G$35</definedName>
    <definedName name="_xlnm.Print_Area" localSheetId="3">Bond!$A$1:$I$109</definedName>
    <definedName name="_xlnm.Print_Area" localSheetId="4">Slopchest!$A$1:$AA$55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92" l="1"/>
  <c r="I48" i="92" l="1"/>
  <c r="I45" i="92"/>
  <c r="I47" i="92"/>
  <c r="I65" i="92" l="1"/>
  <c r="I46" i="92" l="1"/>
  <c r="I50" i="92" l="1"/>
  <c r="N6" i="93" l="1"/>
  <c r="N5" i="93"/>
  <c r="E5" i="93"/>
  <c r="D5" i="93"/>
  <c r="E6" i="93"/>
  <c r="D6" i="93"/>
  <c r="H34" i="92" l="1"/>
  <c r="H35" i="92"/>
  <c r="I53" i="92" l="1"/>
  <c r="I62" i="92" l="1"/>
  <c r="I63" i="92"/>
  <c r="I52" i="92" l="1"/>
  <c r="I43" i="92" l="1"/>
  <c r="I44" i="92"/>
  <c r="Y6" i="93"/>
  <c r="V6" i="93"/>
  <c r="Q6" i="93"/>
  <c r="M6" i="93"/>
  <c r="F6" i="93"/>
  <c r="I42" i="92" l="1"/>
  <c r="I59" i="92" s="1"/>
  <c r="O34" i="93" l="1"/>
  <c r="I69" i="92" l="1"/>
  <c r="X6" i="93" l="1"/>
  <c r="W6" i="93"/>
  <c r="U6" i="93"/>
  <c r="T6" i="93"/>
  <c r="S6" i="93"/>
  <c r="R6" i="93"/>
  <c r="P6" i="93"/>
  <c r="O6" i="93"/>
  <c r="L6" i="93"/>
  <c r="K6" i="93"/>
  <c r="J6" i="93"/>
  <c r="I6" i="93"/>
  <c r="H6" i="93"/>
  <c r="Y5" i="93"/>
  <c r="X5" i="93"/>
  <c r="W5" i="93"/>
  <c r="V5" i="93"/>
  <c r="U5" i="93"/>
  <c r="T5" i="93"/>
  <c r="S5" i="93"/>
  <c r="R5" i="93"/>
  <c r="Q5" i="93"/>
  <c r="P5" i="93"/>
  <c r="O5" i="93"/>
  <c r="M5" i="93"/>
  <c r="L5" i="93"/>
  <c r="K5" i="93"/>
  <c r="J5" i="93"/>
  <c r="I5" i="93"/>
  <c r="H5" i="93"/>
  <c r="H20" i="92"/>
  <c r="H21" i="92"/>
  <c r="H22" i="92"/>
  <c r="H23" i="92"/>
  <c r="H24" i="92"/>
  <c r="H25" i="92"/>
  <c r="H26" i="92"/>
  <c r="H27" i="92"/>
  <c r="H28" i="92"/>
  <c r="H29" i="92"/>
  <c r="H30" i="92"/>
  <c r="H13" i="92"/>
  <c r="H14" i="92"/>
  <c r="H15" i="92"/>
  <c r="H16" i="92"/>
  <c r="H17" i="92"/>
  <c r="H18" i="92"/>
  <c r="H19" i="92"/>
  <c r="H90" i="92" l="1"/>
  <c r="H91" i="92"/>
  <c r="H92" i="92"/>
  <c r="H93" i="92"/>
  <c r="H94" i="92"/>
  <c r="H95" i="92"/>
  <c r="H96" i="92"/>
  <c r="H97" i="92"/>
  <c r="H98" i="92"/>
  <c r="H99" i="92"/>
  <c r="H100" i="92"/>
  <c r="H101" i="92"/>
  <c r="H102" i="92"/>
  <c r="H103" i="92"/>
  <c r="I66" i="92" l="1"/>
  <c r="I67" i="92"/>
  <c r="I68" i="92"/>
  <c r="I70" i="92"/>
  <c r="H33" i="92"/>
  <c r="D34" i="93" l="1"/>
  <c r="E34" i="93"/>
  <c r="F5" i="93"/>
  <c r="G5" i="93"/>
  <c r="H10" i="92"/>
  <c r="H87" i="92" l="1"/>
  <c r="S34" i="93" l="1"/>
  <c r="T34" i="93"/>
  <c r="U34" i="93"/>
  <c r="V34" i="93"/>
  <c r="W34" i="93"/>
  <c r="X34" i="93"/>
  <c r="Y34" i="93"/>
  <c r="H36" i="92" l="1"/>
  <c r="I95" i="92" l="1"/>
  <c r="I94" i="92"/>
  <c r="I89" i="92"/>
  <c r="I88" i="92"/>
  <c r="F34" i="93" l="1"/>
  <c r="G34" i="93"/>
  <c r="P34" i="93"/>
  <c r="Q34" i="93"/>
  <c r="R34" i="93"/>
  <c r="I79" i="92"/>
  <c r="I98" i="92" l="1"/>
  <c r="H12" i="92"/>
  <c r="G6" i="93" l="1"/>
  <c r="I96" i="92" l="1"/>
  <c r="I97" i="92"/>
  <c r="I99" i="92"/>
  <c r="I100" i="92"/>
  <c r="I101" i="92"/>
  <c r="I102" i="92"/>
  <c r="Z23" i="93" l="1"/>
  <c r="Z11" i="93"/>
  <c r="Z22" i="93"/>
  <c r="Z10" i="93"/>
  <c r="Z33" i="93"/>
  <c r="Z7" i="93"/>
  <c r="Z19" i="93"/>
  <c r="Z18" i="93"/>
  <c r="Z29" i="93"/>
  <c r="Z28" i="93"/>
  <c r="Z15" i="93"/>
  <c r="Z25" i="93"/>
  <c r="Z24" i="93"/>
  <c r="Z12" i="93"/>
  <c r="Z21" i="93"/>
  <c r="Z9" i="93"/>
  <c r="Z20" i="93"/>
  <c r="Z8" i="93"/>
  <c r="Z30" i="93"/>
  <c r="Z17" i="93"/>
  <c r="Z16" i="93"/>
  <c r="Z27" i="93"/>
  <c r="Z26" i="93"/>
  <c r="Z32" i="93"/>
  <c r="Z13" i="93"/>
  <c r="Z14" i="93"/>
  <c r="I64" i="92"/>
  <c r="Z35" i="93" l="1"/>
  <c r="H11" i="92"/>
  <c r="H88" i="92"/>
  <c r="H86" i="92" l="1"/>
  <c r="I74" i="92"/>
  <c r="I72" i="92"/>
  <c r="I73" i="92"/>
  <c r="I71" i="92"/>
  <c r="H89" i="92"/>
  <c r="I78" i="92"/>
  <c r="H104" i="92" l="1"/>
  <c r="I77" i="92"/>
  <c r="I76" i="92"/>
  <c r="I75" i="92"/>
  <c r="I80" i="92" l="1"/>
  <c r="H9" i="92"/>
  <c r="I82" i="92" l="1"/>
  <c r="H31" i="92"/>
  <c r="I86" i="92" s="1"/>
  <c r="C16" i="5" l="1"/>
  <c r="C19" i="5"/>
  <c r="B17" i="3"/>
  <c r="B16" i="5"/>
  <c r="G17" i="88"/>
  <c r="G17" i="90"/>
  <c r="F28" i="90"/>
  <c r="E28" i="90"/>
  <c r="D28" i="90"/>
  <c r="D27" i="90"/>
  <c r="F28" i="88"/>
  <c r="E28" i="88"/>
  <c r="D28" i="88"/>
  <c r="D27" i="88"/>
  <c r="D19" i="90"/>
  <c r="D18" i="90"/>
  <c r="D17" i="90"/>
  <c r="D16" i="90"/>
  <c r="D12" i="90"/>
  <c r="D11" i="90"/>
  <c r="D19" i="88"/>
  <c r="D18" i="88"/>
  <c r="D17" i="88"/>
  <c r="D16" i="88"/>
  <c r="D12" i="88"/>
  <c r="D11" i="88"/>
  <c r="G40" i="90"/>
  <c r="G40" i="88"/>
  <c r="F21" i="90"/>
  <c r="D14" i="90"/>
  <c r="F21" i="88"/>
  <c r="D14" i="88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7" i="5"/>
  <c r="D30" i="88" s="1"/>
  <c r="B6" i="33"/>
  <c r="G49" i="33" s="1"/>
  <c r="H14" i="88"/>
  <c r="H14" i="90"/>
  <c r="G32" i="90"/>
  <c r="G30" i="90"/>
  <c r="G29" i="90"/>
  <c r="G27" i="90"/>
  <c r="D6" i="90"/>
  <c r="D5" i="90"/>
  <c r="H13" i="90"/>
  <c r="D7" i="90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9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7" i="7"/>
  <c r="G32" i="88"/>
  <c r="G30" i="88"/>
  <c r="G29" i="88"/>
  <c r="G27" i="88"/>
  <c r="D6" i="88"/>
  <c r="D5" i="88"/>
  <c r="H13" i="88"/>
  <c r="B22" i="3"/>
  <c r="B7" i="3"/>
  <c r="C8" i="3"/>
  <c r="C9" i="3"/>
  <c r="C10" i="3"/>
  <c r="C11" i="3"/>
  <c r="C12" i="3"/>
  <c r="C13" i="3"/>
  <c r="C14" i="3"/>
  <c r="C15" i="3"/>
  <c r="C16" i="3"/>
  <c r="C17" i="3"/>
  <c r="C18" i="3"/>
  <c r="C19" i="3"/>
  <c r="C7" i="3"/>
  <c r="C9" i="5"/>
  <c r="C10" i="7"/>
  <c r="C12" i="5"/>
  <c r="C24" i="5"/>
  <c r="B13" i="7"/>
  <c r="D13" i="7" s="1"/>
  <c r="B19" i="5"/>
  <c r="B20" i="7"/>
  <c r="D20" i="7" s="1"/>
  <c r="C32" i="5"/>
  <c r="D28" i="33"/>
  <c r="F28" i="33"/>
  <c r="G33" i="33"/>
  <c r="G30" i="33"/>
  <c r="G31" i="33"/>
  <c r="E14" i="33"/>
  <c r="G14" i="33"/>
  <c r="E15" i="33"/>
  <c r="G15" i="33"/>
  <c r="H16" i="33"/>
  <c r="E19" i="33"/>
  <c r="G19" i="33"/>
  <c r="E21" i="33"/>
  <c r="G21" i="33"/>
  <c r="G32" i="33"/>
  <c r="G34" i="33"/>
  <c r="G36" i="33"/>
  <c r="E2" i="5"/>
  <c r="F24" i="33"/>
  <c r="A3" i="33"/>
  <c r="A1" i="33"/>
  <c r="C32" i="33"/>
  <c r="D36" i="33"/>
  <c r="D34" i="33"/>
  <c r="D31" i="33"/>
  <c r="D30" i="33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2" i="7"/>
  <c r="A24" i="7"/>
  <c r="A25" i="7"/>
  <c r="A26" i="7"/>
  <c r="A7" i="7"/>
  <c r="E28" i="3"/>
  <c r="E27" i="7"/>
  <c r="E27" i="5"/>
  <c r="B7" i="33"/>
  <c r="C13" i="7"/>
  <c r="B8" i="5"/>
  <c r="B10" i="7"/>
  <c r="D10" i="7" s="1"/>
  <c r="B26" i="5"/>
  <c r="B18" i="3"/>
  <c r="B8" i="3"/>
  <c r="C13" i="5"/>
  <c r="C26" i="5"/>
  <c r="C26" i="7"/>
  <c r="B4" i="90"/>
  <c r="C15" i="7"/>
  <c r="C26" i="3"/>
  <c r="B26" i="7"/>
  <c r="B10" i="5"/>
  <c r="B4" i="88"/>
  <c r="C22" i="5"/>
  <c r="B13" i="5"/>
  <c r="C7" i="7"/>
  <c r="C15" i="5"/>
  <c r="C11" i="5"/>
  <c r="C16" i="7"/>
  <c r="C12" i="7"/>
  <c r="C14" i="5"/>
  <c r="D34" i="5"/>
  <c r="D34" i="7"/>
  <c r="B12" i="7"/>
  <c r="D12" i="7" s="1"/>
  <c r="B12" i="3"/>
  <c r="C19" i="7"/>
  <c r="C9" i="7"/>
  <c r="C11" i="7"/>
  <c r="B25" i="5"/>
  <c r="D25" i="5" s="1"/>
  <c r="B15" i="5"/>
  <c r="B13" i="3"/>
  <c r="B11" i="5"/>
  <c r="D33" i="33"/>
  <c r="B16" i="7"/>
  <c r="D16" i="7" s="1"/>
  <c r="B10" i="3"/>
  <c r="C18" i="5"/>
  <c r="B18" i="7"/>
  <c r="D18" i="7" s="1"/>
  <c r="B18" i="5"/>
  <c r="C18" i="7"/>
  <c r="C20" i="7"/>
  <c r="C20" i="3"/>
  <c r="C20" i="5"/>
  <c r="C14" i="7"/>
  <c r="B25" i="3"/>
  <c r="B3" i="88"/>
  <c r="G44" i="88" s="1"/>
  <c r="B25" i="7"/>
  <c r="D25" i="7" s="1"/>
  <c r="C7" i="5"/>
  <c r="D33" i="3"/>
  <c r="B23" i="7"/>
  <c r="D23" i="7" s="1"/>
  <c r="C22" i="3"/>
  <c r="B23" i="3"/>
  <c r="B23" i="5"/>
  <c r="D23" i="5" s="1"/>
  <c r="C23" i="5"/>
  <c r="C23" i="7"/>
  <c r="C23" i="3"/>
  <c r="C21" i="7"/>
  <c r="C21" i="5"/>
  <c r="C21" i="3"/>
  <c r="B24" i="7"/>
  <c r="D24" i="7" s="1"/>
  <c r="B15" i="7"/>
  <c r="D15" i="7" s="1"/>
  <c r="B15" i="3"/>
  <c r="C22" i="7"/>
  <c r="H15" i="90"/>
  <c r="H15" i="88"/>
  <c r="H21" i="33" l="1"/>
  <c r="G28" i="33"/>
  <c r="H19" i="33"/>
  <c r="H15" i="33"/>
  <c r="H14" i="33"/>
  <c r="B21" i="5"/>
  <c r="D21" i="5" s="1"/>
  <c r="B19" i="3"/>
  <c r="B19" i="7"/>
  <c r="D19" i="7" s="1"/>
  <c r="B17" i="5"/>
  <c r="B17" i="7"/>
  <c r="D17" i="7" s="1"/>
  <c r="B21" i="3"/>
  <c r="D30" i="90"/>
  <c r="B21" i="7"/>
  <c r="D21" i="7" s="1"/>
  <c r="B22" i="5"/>
  <c r="D22" i="5" s="1"/>
  <c r="B22" i="7"/>
  <c r="D22" i="7" s="1"/>
  <c r="C25" i="3"/>
  <c r="C25" i="7"/>
  <c r="B49" i="33"/>
  <c r="B9" i="3"/>
  <c r="B14" i="5"/>
  <c r="B9" i="5"/>
  <c r="B14" i="3"/>
  <c r="C17" i="5"/>
  <c r="B11" i="7"/>
  <c r="D11" i="7" s="1"/>
  <c r="B9" i="7"/>
  <c r="D9" i="7" s="1"/>
  <c r="C17" i="7"/>
  <c r="B16" i="3"/>
  <c r="B11" i="3"/>
  <c r="C25" i="5"/>
  <c r="B12" i="5"/>
  <c r="B8" i="88"/>
  <c r="B14" i="7"/>
  <c r="D14" i="7" s="1"/>
  <c r="B8" i="90"/>
  <c r="D8" i="88"/>
  <c r="H17" i="88" s="1"/>
  <c r="D7" i="88"/>
  <c r="C8" i="5"/>
  <c r="B8" i="7"/>
  <c r="D8" i="7" s="1"/>
  <c r="C8" i="7"/>
  <c r="D35" i="33"/>
  <c r="C10" i="5"/>
  <c r="B26" i="3"/>
  <c r="B3" i="90"/>
  <c r="G44" i="90" s="1"/>
  <c r="D29" i="33"/>
  <c r="G34" i="88"/>
  <c r="B44" i="88"/>
  <c r="B44" i="90"/>
  <c r="G31" i="90"/>
  <c r="G35" i="33"/>
  <c r="D26" i="90"/>
  <c r="C24" i="7"/>
  <c r="C24" i="3"/>
  <c r="B24" i="3"/>
  <c r="B24" i="5"/>
  <c r="D24" i="5" s="1"/>
  <c r="D26" i="88"/>
  <c r="B7" i="7"/>
  <c r="D7" i="7" s="1"/>
  <c r="B7" i="5"/>
  <c r="B20" i="5"/>
  <c r="B20" i="3"/>
  <c r="D31" i="88"/>
  <c r="H85" i="92" l="1"/>
  <c r="H23" i="33"/>
  <c r="H25" i="33" s="1"/>
  <c r="G11" i="88"/>
  <c r="H11" i="88" s="1"/>
  <c r="H20" i="88" s="1"/>
  <c r="H22" i="88" s="1"/>
  <c r="G19" i="88"/>
  <c r="H19" i="88" s="1"/>
  <c r="G18" i="88"/>
  <c r="H18" i="88" s="1"/>
  <c r="G12" i="88"/>
  <c r="H12" i="88" s="1"/>
  <c r="E16" i="88"/>
  <c r="E12" i="88"/>
  <c r="E17" i="88"/>
  <c r="E19" i="88"/>
  <c r="D25" i="88"/>
  <c r="G25" i="88" s="1"/>
  <c r="E11" i="88"/>
  <c r="E18" i="88"/>
  <c r="G16" i="88"/>
  <c r="H16" i="88" s="1"/>
  <c r="E17" i="90"/>
  <c r="E12" i="90"/>
  <c r="D25" i="90"/>
  <c r="G25" i="90" s="1"/>
  <c r="E19" i="90"/>
  <c r="E11" i="90"/>
  <c r="E18" i="90"/>
  <c r="E16" i="90"/>
  <c r="D8" i="90"/>
  <c r="G16" i="90" s="1"/>
  <c r="H16" i="90" s="1"/>
  <c r="G34" i="90"/>
  <c r="G31" i="88"/>
  <c r="D32" i="90"/>
  <c r="D32" i="88"/>
  <c r="D31" i="90"/>
  <c r="G11" i="90" l="1"/>
  <c r="H11" i="90" s="1"/>
  <c r="H20" i="90" s="1"/>
  <c r="H22" i="90" s="1"/>
  <c r="G18" i="90"/>
  <c r="H18" i="90" s="1"/>
  <c r="G12" i="90"/>
  <c r="H12" i="90" s="1"/>
  <c r="H17" i="90"/>
  <c r="G19" i="90"/>
  <c r="H19" i="90" s="1"/>
  <c r="G26" i="90" l="1"/>
  <c r="G35" i="90" s="1"/>
  <c r="H35" i="90" s="1"/>
  <c r="H37" i="90" s="1"/>
  <c r="F37" i="90" s="1"/>
  <c r="G29" i="33"/>
  <c r="G39" i="33" s="1"/>
  <c r="H41" i="33" s="1"/>
  <c r="F41" i="33" s="1"/>
  <c r="G26" i="88"/>
  <c r="G35" i="88" s="1"/>
  <c r="H35" i="88" s="1"/>
  <c r="H37" i="88" s="1"/>
  <c r="F37" i="88" s="1"/>
  <c r="G28" i="90"/>
  <c r="G28" i="8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C4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master: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<sst xmlns="http://schemas.openxmlformats.org/spreadsheetml/2006/main" count="437" uniqueCount="217">
  <si>
    <t>MASTER:</t>
  </si>
  <si>
    <t xml:space="preserve"> </t>
  </si>
  <si>
    <t>No</t>
  </si>
  <si>
    <t>Month / Year</t>
  </si>
  <si>
    <t>WAGES ACCOUNT</t>
  </si>
  <si>
    <t>hrs:</t>
  </si>
  <si>
    <t>TOTAL EARNINGS OF PERIOD</t>
  </si>
  <si>
    <t>CREDIT/DEBIT FM PREVIOUS ACCOUNTS</t>
  </si>
  <si>
    <t>TOTAL EARNINGS</t>
  </si>
  <si>
    <t>DEDUCTIONS</t>
  </si>
  <si>
    <t>TOTAL DEDUCTIONS</t>
  </si>
  <si>
    <t>CREDIT / DEBIT BALANCE</t>
  </si>
  <si>
    <t>Place:</t>
  </si>
  <si>
    <t>Date:</t>
  </si>
  <si>
    <t>RECIPIENT:</t>
  </si>
  <si>
    <t>USD</t>
  </si>
  <si>
    <t>usd</t>
  </si>
  <si>
    <t>No.</t>
  </si>
  <si>
    <t>Excess  O/T</t>
  </si>
  <si>
    <t>Cables</t>
  </si>
  <si>
    <t>Rate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</si>
  <si>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</si>
  <si>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</si>
  <si>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</si>
  <si>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</si>
  <si>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</si>
  <si>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</si>
  <si>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</si>
  <si>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</si>
  <si>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</si>
  <si>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</si>
  <si>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</si>
  <si>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</si>
  <si>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</si>
  <si>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</si>
  <si>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</si>
  <si>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</si>
  <si>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</si>
  <si>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</si>
  <si>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Total Basic Wages</t>
  </si>
  <si>
    <t>Fixed  O/T</t>
  </si>
  <si>
    <t>Extra 1</t>
  </si>
  <si>
    <t>Extra 2</t>
  </si>
  <si>
    <t>Leave Pay</t>
  </si>
  <si>
    <t>Other  Payments</t>
  </si>
  <si>
    <t>Company  Bonus</t>
  </si>
  <si>
    <t>Master's Bonus</t>
  </si>
  <si>
    <t>S.S.S.</t>
  </si>
  <si>
    <t>Allotment  2</t>
  </si>
  <si>
    <t>Allotment  1</t>
  </si>
  <si>
    <t>Allotment  3</t>
  </si>
  <si>
    <t>Cigarettes &amp; Spirits</t>
  </si>
  <si>
    <t>Advance  1</t>
  </si>
  <si>
    <t>Advance  2</t>
  </si>
  <si>
    <t>Advance  3</t>
  </si>
  <si>
    <t>Other Deductions</t>
  </si>
  <si>
    <t>Of:</t>
  </si>
  <si>
    <t>Rank :</t>
  </si>
  <si>
    <t>Wages Commence on the:</t>
  </si>
  <si>
    <t>Paid until :</t>
  </si>
  <si>
    <t>Total Monthly Wages :</t>
  </si>
  <si>
    <t>Months :</t>
  </si>
  <si>
    <t>Victualing Days :</t>
  </si>
  <si>
    <t>Days:</t>
  </si>
  <si>
    <t>Rate :</t>
  </si>
  <si>
    <t>m        d</t>
  </si>
  <si>
    <t xml:space="preserve"> m       d</t>
  </si>
  <si>
    <t>ALLOTMENT   2</t>
  </si>
  <si>
    <t>Paid by Owners or Agents</t>
  </si>
  <si>
    <t>I received my wages up to date in full settlement including overtimes, leave allowance etc., and
have no further claim whatsoever against the Vessel, her Owners, Master and/or any Agents thereof.</t>
  </si>
  <si>
    <t>No.: 19</t>
  </si>
  <si>
    <t>No.: 20</t>
  </si>
  <si>
    <t xml:space="preserve">AC </t>
  </si>
  <si>
    <t>31</t>
  </si>
  <si>
    <t>Balance to be remitted to  Bank's account respectively</t>
  </si>
  <si>
    <t>CASH ADVANCE  1</t>
  </si>
  <si>
    <t>CASH ADVANCE  3</t>
  </si>
  <si>
    <t>Rank</t>
  </si>
  <si>
    <t>Signature</t>
  </si>
  <si>
    <t>Name</t>
  </si>
  <si>
    <t>Master</t>
  </si>
  <si>
    <t>Total USD</t>
  </si>
  <si>
    <t xml:space="preserve">  Amount USD</t>
  </si>
  <si>
    <t>Master:</t>
  </si>
  <si>
    <t>17</t>
  </si>
  <si>
    <t>Subsistence Allowance</t>
  </si>
  <si>
    <t>Fitter</t>
  </si>
  <si>
    <t>Total Received</t>
  </si>
  <si>
    <t>Qty Consumed</t>
  </si>
  <si>
    <t>Qty Received</t>
  </si>
  <si>
    <t>Units</t>
  </si>
  <si>
    <t>Items</t>
  </si>
  <si>
    <t>Vessel:</t>
  </si>
  <si>
    <t>Fixed deduction</t>
  </si>
  <si>
    <t>Recipient:</t>
  </si>
  <si>
    <t>carton</t>
  </si>
  <si>
    <t>Total     Deductions</t>
  </si>
  <si>
    <t>Total:</t>
  </si>
  <si>
    <t>Total representation:</t>
  </si>
  <si>
    <t>Wages account</t>
  </si>
  <si>
    <t>Rank:</t>
  </si>
  <si>
    <t>Company Bonus</t>
  </si>
  <si>
    <t>Fixed O/T</t>
  </si>
  <si>
    <t>Paid until:</t>
  </si>
  <si>
    <t>Total Monthly Wages:</t>
  </si>
  <si>
    <t>Months:</t>
  </si>
  <si>
    <t>Victualing Days:</t>
  </si>
  <si>
    <t>Total earningh of period</t>
  </si>
  <si>
    <t>Credit / Debet from previous accounts</t>
  </si>
  <si>
    <t>Total earning</t>
  </si>
  <si>
    <t>Deductions</t>
  </si>
  <si>
    <t>Total deductions</t>
  </si>
  <si>
    <t>Credit / Debet balance</t>
  </si>
  <si>
    <t>hrs</t>
  </si>
  <si>
    <t>Allotment 1</t>
  </si>
  <si>
    <t>Allotment 2</t>
  </si>
  <si>
    <t>Advance 1</t>
  </si>
  <si>
    <t>Advance 2</t>
  </si>
  <si>
    <t>Advance 3</t>
  </si>
  <si>
    <t>Excess O/T</t>
  </si>
  <si>
    <t>Other Payments</t>
  </si>
  <si>
    <t>2nd Engineer</t>
  </si>
  <si>
    <t>4th Engineer</t>
  </si>
  <si>
    <t>AB 2</t>
  </si>
  <si>
    <t>Oiler 2</t>
  </si>
  <si>
    <t>Representation + Galley</t>
  </si>
  <si>
    <t>Ch.Engineer</t>
  </si>
  <si>
    <t>3rd.Engineer</t>
  </si>
  <si>
    <t>ETO</t>
  </si>
  <si>
    <t>AB 1</t>
  </si>
  <si>
    <t>Oiler 1</t>
  </si>
  <si>
    <t>Deck Cadet</t>
  </si>
  <si>
    <t>Pumpman</t>
  </si>
  <si>
    <t>AB 3</t>
  </si>
  <si>
    <t>BOSUN</t>
  </si>
  <si>
    <t>Ch Cook</t>
  </si>
  <si>
    <t>Tin</t>
  </si>
  <si>
    <t>Peanuts (150 gm)</t>
  </si>
  <si>
    <t>Listerine 1 Ltr</t>
  </si>
  <si>
    <t>Tooth Brush</t>
  </si>
  <si>
    <t>Tooth Paste</t>
  </si>
  <si>
    <t>Head &amp; Shoulder Shampoo</t>
  </si>
  <si>
    <t>Price USD</t>
  </si>
  <si>
    <t>TME</t>
  </si>
  <si>
    <t>Expiry Date</t>
  </si>
  <si>
    <t>Total sold to crew:</t>
  </si>
  <si>
    <t>Almonds</t>
  </si>
  <si>
    <t>Haldiram Bhujia Sev 150 gm</t>
  </si>
  <si>
    <t>SOLD TO CREW</t>
  </si>
  <si>
    <t>BALANCE C/F TO NEXT MONTH</t>
  </si>
  <si>
    <t>S.NO</t>
  </si>
  <si>
    <t>ITEM</t>
  </si>
  <si>
    <t>UNIT</t>
  </si>
  <si>
    <t>REP.</t>
  </si>
  <si>
    <t>QTY</t>
  </si>
  <si>
    <t>PRICE</t>
  </si>
  <si>
    <t>TOTAL</t>
  </si>
  <si>
    <t>NA</t>
  </si>
  <si>
    <t>Coke</t>
  </si>
  <si>
    <t>Sprite</t>
  </si>
  <si>
    <t>EXPIRED ITEM CONSUMPTION</t>
  </si>
  <si>
    <t>OS1</t>
  </si>
  <si>
    <t>OS2</t>
  </si>
  <si>
    <t>Case</t>
  </si>
  <si>
    <t>Slopchest Deductions</t>
  </si>
  <si>
    <t xml:space="preserve">         M.T ALMA</t>
  </si>
  <si>
    <t>Chief Officer</t>
  </si>
  <si>
    <t xml:space="preserve"> Marlboro Gold Cigarattes</t>
  </si>
  <si>
    <t>Pcs</t>
  </si>
  <si>
    <t>Pkt</t>
  </si>
  <si>
    <t>ON SIGNERS</t>
  </si>
  <si>
    <t>Cashew nuts (130 gm)</t>
  </si>
  <si>
    <t>Chocolate Mars (51 G)</t>
  </si>
  <si>
    <t>Chocolate Snickers (45 G)</t>
  </si>
  <si>
    <t>Fanta</t>
  </si>
  <si>
    <t>Pistachio (1 KG)</t>
  </si>
  <si>
    <t>Lays (170 gm)</t>
  </si>
  <si>
    <t>Doritos (190 G)</t>
  </si>
  <si>
    <t>Pringles Orignal (134 g)</t>
  </si>
  <si>
    <t>Pringles Sour Cream &amp; Onion (134 g)</t>
  </si>
  <si>
    <t>Tub</t>
  </si>
  <si>
    <t>Oiler 3</t>
  </si>
  <si>
    <t>Btl</t>
  </si>
  <si>
    <t xml:space="preserve"> Marlboro Gold Cigarattes / New</t>
  </si>
  <si>
    <t>TRAINEE GS</t>
  </si>
  <si>
    <t>Manchester Light Cigarattes</t>
  </si>
  <si>
    <t>Drinking Water 500ml</t>
  </si>
  <si>
    <t>case</t>
  </si>
  <si>
    <t xml:space="preserve"> Marlboro Gold Cigarattes / old</t>
  </si>
  <si>
    <t xml:space="preserve">Manchester Light Cigarattes / New </t>
  </si>
  <si>
    <t>Marlboro Gold Cigarattes / old</t>
  </si>
  <si>
    <t>Marlboro Gold Cigarattes / New</t>
  </si>
  <si>
    <t>Bonded Stores Account</t>
  </si>
  <si>
    <t>Balance B/Ffrom Last month:  NOV 25</t>
  </si>
  <si>
    <t>EXPIRED 25-DEC-2025</t>
  </si>
  <si>
    <t>EXPIRED 14-DEC-2025</t>
  </si>
  <si>
    <t>Representation expences DEC 2025</t>
  </si>
  <si>
    <t>TOTAL CONSUMPTION DURING THE MONTH OF DEC 2025</t>
  </si>
  <si>
    <t>BOND RECEIVED DURING THE MONTH OF DEC 2025</t>
  </si>
  <si>
    <t>Balance as on DEC 2025</t>
  </si>
  <si>
    <t>ARRIVAL/DEPARTURE PILOTS (YANGPU)</t>
  </si>
  <si>
    <t>Customs, Immigrations, Agent, Harbour Master(TANJUNG BERAKIT)</t>
  </si>
  <si>
    <t>2 SayBolt Surveyors &amp; 1 Sampling Person(TANJUNG BERAKIT)</t>
  </si>
  <si>
    <t xml:space="preserve">Coke </t>
  </si>
  <si>
    <t>Agent,Immigrations,Loading Master,Terminal Manager,Surveyors(YANGPU)</t>
  </si>
  <si>
    <t>DEC-2025</t>
  </si>
  <si>
    <t>2ND Officer</t>
  </si>
  <si>
    <t>ADD'L Chief officer</t>
  </si>
  <si>
    <t>Vessel Name : xxxx</t>
  </si>
  <si>
    <t>Numbers</t>
  </si>
  <si>
    <t>Unit price</t>
  </si>
  <si>
    <t>Total</t>
  </si>
  <si>
    <t>Expiry details</t>
  </si>
  <si>
    <r>
      <rPr>
        <sz val="1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</t>
    </r>
    <r>
      <rPr>
        <u/>
        <sz val="10"/>
        <rFont val="Times New Roman"/>
        <family val="1"/>
      </rPr>
      <t>Master Name</t>
    </r>
  </si>
  <si>
    <t>Vessel Name</t>
  </si>
  <si>
    <t>Master Name</t>
  </si>
  <si>
    <t>Vessel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</si>
</sst>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&quot;$&quot;#,##0_);\(&quot;$&quot;#,##0\)"/>
    <numFmt numFmtId="165" formatCode="&quot;$&quot;#,##0.00_);\(&quot;$&quot;#,##0.00\)"/>
    <numFmt numFmtId="166" formatCode="_(&quot;$&quot;* #,##0.00_);_(&quot;$&quot;* \(#,##0.00\);_(&quot;$&quot;* &quot;-&quot;??_);_(@_)"/>
    <numFmt numFmtId="167" formatCode="_ * #,##0_ ;_ * \-#,##0_ ;_ * &quot;-&quot;_ ;_ @_ "/>
    <numFmt numFmtId="168" formatCode="_ * #,##0.00_ ;_ * \-#,##0.00_ ;_ * &quot;-&quot;??_ ;_ @_ "/>
    <numFmt numFmtId="169" formatCode="&quot;$&quot;#,##0.00;\-&quot;$&quot;#,##0.00"/>
    <numFmt numFmtId="170" formatCode="_-&quot;$&quot;* #,##0.00_-;\-&quot;$&quot;* #,##0.00_-;_-&quot;$&quot;* &quot;-&quot;??_-;_-@_-"/>
    <numFmt numFmtId="171" formatCode="mm/dd/yy_)"/>
    <numFmt numFmtId="172" formatCode="dd\-mmm_)"/>
    <numFmt numFmtId="173" formatCode="mmm\-yy_)"/>
    <numFmt numFmtId="174" formatCode="0.00_)"/>
    <numFmt numFmtId="175" formatCode="0_)"/>
    <numFmt numFmtId="176" formatCode="#,##0.00_ ;\-#,##0.00\ "/>
    <numFmt numFmtId="177" formatCode="#,##0_ ;\-#,##0\ "/>
    <numFmt numFmtId="178" formatCode="&quot;$&quot;#,##0.00;[Red]&quot;$&quot;#,##0.00"/>
    <numFmt numFmtId="179" formatCode="#,##0.00;[Red]#,##0.00"/>
    <numFmt numFmtId="180" formatCode="#,##0.00_ ;[Red]\-#,##0.00\ "/>
    <numFmt numFmtId="181" formatCode="_-[$$-409]* #,##0.00_ ;_-[$$-409]* \-#,##0.00\ ;_-[$$-409]* &quot;-&quot;??_ ;_-@_ "/>
    <numFmt numFmtId="182" formatCode="0.000"/>
    <numFmt numFmtId="183" formatCode="[$-409]mmmm\-yy;@"/>
    <numFmt numFmtId="184" formatCode="#,##0;\-#,##0;&quot;-&quot;"/>
    <numFmt numFmtId="185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186" formatCode="[$-F800]dddd\,\ mmmm\ dd\,\ yyyy"/>
    <numFmt numFmtId="187" formatCode="#,##0.000"/>
    <numFmt numFmtId="188" formatCode="[$-409]d\-mmm;@"/>
    <numFmt numFmtId="189" formatCode="_-&quot;$&quot;* #,##0.000_-;\-&quot;$&quot;* #,##0.000_-;_-&quot;$&quot;* &quot;-&quot;??_-;_-@_-"/>
  </numFmts>
  <fonts count="10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u/>
      <sz val="11"/>
      <color indexed="8"/>
      <name val="Verdana"/>
      <family val="2"/>
    </font>
    <font>
      <b/>
      <i/>
      <u/>
      <sz val="11"/>
      <color indexed="8"/>
      <name val="Verdana"/>
      <family val="2"/>
    </font>
    <font>
      <b/>
      <i/>
      <sz val="11"/>
      <color indexed="8"/>
      <name val="Verdana"/>
      <family val="2"/>
    </font>
    <font>
      <sz val="9"/>
      <color indexed="8"/>
      <name val="Verdana"/>
      <family val="2"/>
    </font>
    <font>
      <sz val="11"/>
      <name val="Verdana"/>
      <family val="2"/>
    </font>
    <font>
      <b/>
      <sz val="12"/>
      <color indexed="8"/>
      <name val="Verdana"/>
      <family val="2"/>
    </font>
    <font>
      <b/>
      <sz val="9"/>
      <color indexed="8"/>
      <name val="Verdana"/>
      <family val="2"/>
    </font>
    <font>
      <sz val="10"/>
      <name val="Verdana"/>
      <family val="2"/>
    </font>
    <font>
      <sz val="8"/>
      <color indexed="8"/>
      <name val="Verdana"/>
      <family val="2"/>
    </font>
    <font>
      <b/>
      <sz val="16"/>
      <color indexed="8"/>
      <name val="Verdana"/>
      <family val="2"/>
    </font>
    <font>
      <b/>
      <u/>
      <sz val="10"/>
      <color indexed="8"/>
      <name val="Verdana"/>
      <family val="2"/>
    </font>
    <font>
      <b/>
      <i/>
      <sz val="12"/>
      <color indexed="8"/>
      <name val="Verdana"/>
      <family val="2"/>
    </font>
    <font>
      <b/>
      <u/>
      <sz val="14"/>
      <color indexed="8"/>
      <name val="Verdana"/>
      <family val="2"/>
      <charset val="161"/>
    </font>
    <font>
      <b/>
      <u/>
      <sz val="16"/>
      <color indexed="8"/>
      <name val="Verdana"/>
      <family val="2"/>
      <charset val="161"/>
    </font>
    <font>
      <b/>
      <i/>
      <u/>
      <sz val="12"/>
      <color indexed="8"/>
      <name val="Verdana"/>
      <family val="2"/>
    </font>
    <font>
      <b/>
      <u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6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b/>
      <u/>
      <sz val="11"/>
      <color indexed="8"/>
      <name val="Arial"/>
      <family val="2"/>
    </font>
    <font>
      <b/>
      <u/>
      <sz val="11"/>
      <name val="Arial"/>
      <family val="2"/>
    </font>
    <font>
      <sz val="10"/>
      <color theme="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8"/>
      <name val="Verdana"/>
      <family val="2"/>
      <charset val="204"/>
    </font>
    <font>
      <sz val="11"/>
      <name val="Verdana"/>
      <family val="2"/>
      <charset val="204"/>
    </font>
    <font>
      <b/>
      <sz val="11"/>
      <color indexed="8"/>
      <name val="Verdana"/>
      <family val="2"/>
      <charset val="204"/>
    </font>
    <font>
      <vertAlign val="superscript"/>
      <sz val="12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sz val="20"/>
      <color indexed="8"/>
      <name val="Verdana"/>
      <family val="2"/>
      <charset val="204"/>
    </font>
    <font>
      <b/>
      <u/>
      <sz val="11"/>
      <color indexed="8"/>
      <name val="Verdana"/>
      <family val="2"/>
      <charset val="204"/>
    </font>
    <font>
      <vertAlign val="superscript"/>
      <sz val="11"/>
      <color indexed="8"/>
      <name val="Verdana"/>
      <family val="2"/>
      <charset val="204"/>
    </font>
    <font>
      <sz val="10"/>
      <name val="Arial"/>
      <family val="2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0"/>
      <name val="Geneva"/>
      <family val="2"/>
    </font>
    <font>
      <sz val="8"/>
      <name val="Century Schoolbook"/>
      <family val="1"/>
    </font>
    <font>
      <sz val="12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4"/>
      <name val="Arial"/>
      <family val="2"/>
    </font>
    <font>
      <sz val="9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26"/>
      <name val="Arial"/>
      <family val="2"/>
    </font>
    <font>
      <b/>
      <sz val="28"/>
      <color indexed="8"/>
      <name val="Arial"/>
      <family val="2"/>
    </font>
    <font>
      <b/>
      <sz val="28"/>
      <name val="Arial"/>
      <family val="2"/>
    </font>
    <font>
      <b/>
      <sz val="28"/>
      <color rgb="FFFF0000"/>
      <name val="Arial"/>
      <family val="2"/>
    </font>
    <font>
      <b/>
      <sz val="28"/>
      <color indexed="10"/>
      <name val="Arial"/>
      <family val="2"/>
    </font>
    <font>
      <sz val="22"/>
      <color indexed="8"/>
      <name val="Arial"/>
      <family val="2"/>
    </font>
    <font>
      <u/>
      <sz val="16"/>
      <color indexed="8"/>
      <name val="Arial"/>
      <family val="2"/>
      <charset val="204"/>
    </font>
    <font>
      <b/>
      <sz val="16"/>
      <color indexed="8"/>
      <name val="Arial"/>
      <family val="2"/>
      <charset val="204"/>
    </font>
    <font>
      <b/>
      <sz val="48"/>
      <color indexed="8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12"/>
      <name val="Times New Roman"/>
      <family val="1"/>
    </font>
    <font>
      <sz val="10"/>
      <color indexed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rgb="FFFF0000"/>
      <name val="Times New Roman"/>
      <family val="1"/>
    </font>
    <font>
      <sz val="14"/>
      <color theme="1"/>
      <name val="Times New Roman"/>
      <family val="1"/>
    </font>
    <font>
      <u/>
      <sz val="10"/>
      <name val="Times New Roman"/>
      <family val="1"/>
    </font>
    <font>
      <vertAlign val="superscript"/>
      <sz val="12"/>
      <name val="Times New Roman"/>
      <family val="1"/>
    </font>
    <font>
      <u/>
      <vertAlign val="superscript"/>
      <sz val="10"/>
      <name val="Times New Roman"/>
      <family val="1"/>
    </font>
    <font>
      <vertAlign val="superscript"/>
      <sz val="10"/>
      <name val="Times New Roman"/>
      <family val="1"/>
    </font>
    <font>
      <b/>
      <sz val="9"/>
      <color rgb="FFFF0000"/>
      <name val="Times New Roman"/>
      <family val="1"/>
    </font>
    <font>
      <sz val="28"/>
      <color indexed="8"/>
      <name val="Arial"/>
      <family val="2"/>
    </font>
    <font>
      <b/>
      <sz val="12"/>
      <name val="Verdana"/>
      <family val="2"/>
    </font>
    <font>
      <b/>
      <sz val="10"/>
      <name val="Times New Roman"/>
      <family val="1"/>
    </font>
    <font>
      <b/>
      <u/>
      <sz val="20"/>
      <color indexed="8"/>
      <name val="Arial"/>
      <family val="2"/>
    </font>
    <font>
      <sz val="8"/>
      <name val="Times New Roman"/>
      <family val="1"/>
    </font>
    <font>
      <b/>
      <sz val="16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7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8"/>
      </left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64"/>
      </right>
      <top style="thin">
        <color indexed="8"/>
      </top>
      <bottom style="hair">
        <color indexed="8"/>
      </bottom>
      <diagonal/>
    </border>
    <border>
      <left style="double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64"/>
      </right>
      <top style="hair">
        <color indexed="8"/>
      </top>
      <bottom style="hair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64"/>
      </right>
      <top/>
      <bottom style="thin">
        <color indexed="8"/>
      </bottom>
      <diagonal/>
    </border>
    <border>
      <left style="double">
        <color indexed="64"/>
      </left>
      <right/>
      <top style="hair">
        <color indexed="8"/>
      </top>
      <bottom style="thin">
        <color indexed="8"/>
      </bottom>
      <diagonal/>
    </border>
    <border>
      <left style="medium">
        <color indexed="8"/>
      </left>
      <right style="double">
        <color indexed="64"/>
      </right>
      <top style="medium">
        <color indexed="8"/>
      </top>
      <bottom style="medium">
        <color indexed="8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8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8"/>
      </top>
      <bottom style="double">
        <color indexed="64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39" fillId="0" borderId="0"/>
    <xf numFmtId="170" fontId="4" fillId="0" borderId="0" applyFont="0" applyFill="0" applyBorder="0" applyAlignment="0" applyProtection="0"/>
    <xf numFmtId="0" fontId="40" fillId="0" borderId="0"/>
    <xf numFmtId="0" fontId="8" fillId="0" borderId="0"/>
    <xf numFmtId="184" fontId="7" fillId="0" borderId="0" applyFill="0" applyBorder="0" applyAlignment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55" fillId="0" borderId="0">
      <alignment horizontal="left"/>
    </xf>
    <xf numFmtId="0" fontId="38" fillId="0" borderId="83" applyNumberFormat="0" applyAlignment="0" applyProtection="0">
      <alignment horizontal="left" vertical="center"/>
    </xf>
    <xf numFmtId="0" fontId="38" fillId="0" borderId="64">
      <alignment horizontal="left" vertical="center"/>
    </xf>
    <xf numFmtId="0" fontId="4" fillId="0" borderId="0"/>
    <xf numFmtId="0" fontId="3" fillId="0" borderId="0"/>
    <xf numFmtId="0" fontId="61" fillId="0" borderId="0"/>
    <xf numFmtId="0" fontId="3" fillId="0" borderId="0"/>
    <xf numFmtId="4" fontId="55" fillId="0" borderId="0">
      <alignment horizontal="right"/>
    </xf>
    <xf numFmtId="4" fontId="56" fillId="0" borderId="0">
      <alignment horizontal="right"/>
    </xf>
    <xf numFmtId="0" fontId="57" fillId="0" borderId="0">
      <alignment horizontal="left"/>
    </xf>
    <xf numFmtId="0" fontId="58" fillId="0" borderId="0">
      <alignment horizontal="center"/>
    </xf>
    <xf numFmtId="4" fontId="59" fillId="0" borderId="0" applyFont="0" applyFill="0" applyBorder="0" applyAlignment="0" applyProtection="0"/>
    <xf numFmtId="167" fontId="4" fillId="0" borderId="0" applyFont="0" applyFill="0" applyBorder="0" applyAlignment="0" applyProtection="0"/>
    <xf numFmtId="4" fontId="60" fillId="0" borderId="0">
      <alignment horizontal="right"/>
    </xf>
    <xf numFmtId="166" fontId="4" fillId="0" borderId="0" applyFont="0" applyFill="0" applyBorder="0" applyAlignment="0" applyProtection="0"/>
    <xf numFmtId="185" fontId="59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50">
    <xf numFmtId="0" fontId="0" fillId="0" borderId="0" xfId="0"/>
    <xf numFmtId="0" fontId="8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175" fontId="13" fillId="0" borderId="0" xfId="0" applyNumberFormat="1" applyFont="1" applyAlignment="1">
      <alignment horizontal="center"/>
    </xf>
    <xf numFmtId="175" fontId="26" fillId="2" borderId="0" xfId="0" applyNumberFormat="1" applyFont="1" applyFill="1" applyAlignment="1" applyProtection="1">
      <alignment horizontal="center" vertical="center"/>
      <protection locked="0"/>
    </xf>
    <xf numFmtId="0" fontId="2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15" fontId="26" fillId="2" borderId="0" xfId="0" applyNumberFormat="1" applyFont="1" applyFill="1" applyAlignment="1" applyProtection="1">
      <alignment horizontal="center" vertical="center"/>
      <protection locked="0"/>
    </xf>
    <xf numFmtId="175" fontId="23" fillId="2" borderId="1" xfId="0" applyNumberFormat="1" applyFont="1" applyFill="1" applyBorder="1" applyAlignment="1" applyProtection="1">
      <alignment horizontal="right" vertical="center"/>
      <protection locked="0"/>
    </xf>
    <xf numFmtId="175" fontId="23" fillId="2" borderId="1" xfId="0" applyNumberFormat="1" applyFont="1" applyFill="1" applyBorder="1" applyAlignment="1" applyProtection="1">
      <alignment horizontal="left" vertical="center"/>
      <protection locked="0"/>
    </xf>
    <xf numFmtId="175" fontId="23" fillId="2" borderId="2" xfId="0" applyNumberFormat="1" applyFont="1" applyFill="1" applyBorder="1" applyAlignment="1" applyProtection="1">
      <alignment horizontal="left" vertical="center"/>
      <protection locked="0"/>
    </xf>
    <xf numFmtId="175" fontId="23" fillId="2" borderId="2" xfId="0" applyNumberFormat="1" applyFont="1" applyFill="1" applyBorder="1" applyAlignment="1" applyProtection="1">
      <alignment horizontal="right" vertical="center"/>
      <protection locked="0"/>
    </xf>
    <xf numFmtId="179" fontId="22" fillId="4" borderId="3" xfId="0" applyNumberFormat="1" applyFont="1" applyFill="1" applyBorder="1" applyAlignment="1">
      <alignment horizontal="right" vertical="center"/>
    </xf>
    <xf numFmtId="178" fontId="26" fillId="2" borderId="0" xfId="2" applyNumberFormat="1" applyFont="1" applyFill="1" applyAlignment="1" applyProtection="1">
      <alignment horizontal="left" vertical="center"/>
      <protection locked="0"/>
    </xf>
    <xf numFmtId="179" fontId="17" fillId="5" borderId="4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vertical="center"/>
    </xf>
    <xf numFmtId="179" fontId="23" fillId="2" borderId="2" xfId="0" applyNumberFormat="1" applyFont="1" applyFill="1" applyBorder="1" applyAlignment="1" applyProtection="1">
      <alignment horizontal="left" vertical="center"/>
      <protection locked="0"/>
    </xf>
    <xf numFmtId="179" fontId="23" fillId="2" borderId="1" xfId="0" applyNumberFormat="1" applyFont="1" applyFill="1" applyBorder="1" applyAlignment="1" applyProtection="1">
      <alignment horizontal="left" vertical="center"/>
      <protection locked="0"/>
    </xf>
    <xf numFmtId="179" fontId="17" fillId="6" borderId="5" xfId="0" applyNumberFormat="1" applyFont="1" applyFill="1" applyBorder="1" applyAlignment="1">
      <alignment horizontal="right" vertical="center"/>
    </xf>
    <xf numFmtId="179" fontId="17" fillId="6" borderId="4" xfId="0" applyNumberFormat="1" applyFont="1" applyFill="1" applyBorder="1" applyAlignment="1">
      <alignment horizontal="right" vertical="center"/>
    </xf>
    <xf numFmtId="178" fontId="23" fillId="2" borderId="1" xfId="0" applyNumberFormat="1" applyFont="1" applyFill="1" applyBorder="1" applyAlignment="1" applyProtection="1">
      <alignment horizontal="center" vertical="center"/>
      <protection locked="0"/>
    </xf>
    <xf numFmtId="0" fontId="26" fillId="7" borderId="0" xfId="0" applyFont="1" applyFill="1" applyAlignment="1">
      <alignment horizontal="center" vertical="center"/>
    </xf>
    <xf numFmtId="174" fontId="17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horizontal="right" vertical="center"/>
    </xf>
    <xf numFmtId="174" fontId="18" fillId="7" borderId="0" xfId="0" applyNumberFormat="1" applyFont="1" applyFill="1" applyAlignment="1">
      <alignment vertical="center"/>
    </xf>
    <xf numFmtId="174" fontId="16" fillId="7" borderId="0" xfId="0" applyNumberFormat="1" applyFont="1" applyFill="1" applyAlignment="1">
      <alignment vertical="center"/>
    </xf>
    <xf numFmtId="0" fontId="17" fillId="7" borderId="0" xfId="0" applyFont="1" applyFill="1" applyAlignment="1">
      <alignment horizontal="left" vertical="center"/>
    </xf>
    <xf numFmtId="174" fontId="31" fillId="7" borderId="0" xfId="0" applyNumberFormat="1" applyFont="1" applyFill="1" applyAlignment="1">
      <alignment horizontal="left" vertical="center"/>
    </xf>
    <xf numFmtId="174" fontId="16" fillId="7" borderId="0" xfId="0" applyNumberFormat="1" applyFont="1" applyFill="1" applyAlignment="1">
      <alignment horizontal="centerContinuous" vertical="center"/>
    </xf>
    <xf numFmtId="0" fontId="18" fillId="7" borderId="0" xfId="0" quotePrefix="1" applyFont="1" applyFill="1" applyAlignment="1">
      <alignment horizontal="right" vertical="center"/>
    </xf>
    <xf numFmtId="0" fontId="26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7" fillId="8" borderId="0" xfId="0" applyFont="1" applyFill="1" applyAlignment="1">
      <alignment vertical="center"/>
    </xf>
    <xf numFmtId="0" fontId="17" fillId="8" borderId="0" xfId="0" applyFont="1" applyFill="1" applyAlignment="1" applyProtection="1">
      <alignment vertical="center"/>
      <protection locked="0"/>
    </xf>
    <xf numFmtId="0" fontId="16" fillId="8" borderId="0" xfId="0" applyFont="1" applyFill="1" applyAlignment="1">
      <alignment vertical="center"/>
    </xf>
    <xf numFmtId="0" fontId="17" fillId="8" borderId="6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Continuous" vertical="center"/>
    </xf>
    <xf numFmtId="0" fontId="16" fillId="8" borderId="0" xfId="0" applyFont="1" applyFill="1" applyAlignment="1" applyProtection="1">
      <alignment horizontal="centerContinuous" vertical="center"/>
      <protection locked="0"/>
    </xf>
    <xf numFmtId="174" fontId="16" fillId="8" borderId="0" xfId="0" applyNumberFormat="1" applyFont="1" applyFill="1" applyAlignment="1">
      <alignment vertical="center"/>
    </xf>
    <xf numFmtId="0" fontId="23" fillId="8" borderId="7" xfId="0" applyFont="1" applyFill="1" applyBorder="1" applyAlignment="1">
      <alignment horizontal="left" vertical="center" indent="1"/>
    </xf>
    <xf numFmtId="0" fontId="23" fillId="8" borderId="2" xfId="0" applyFont="1" applyFill="1" applyBorder="1" applyAlignment="1">
      <alignment vertical="center"/>
    </xf>
    <xf numFmtId="174" fontId="23" fillId="8" borderId="2" xfId="0" applyNumberFormat="1" applyFont="1" applyFill="1" applyBorder="1" applyAlignment="1">
      <alignment horizontal="right" vertical="center"/>
    </xf>
    <xf numFmtId="0" fontId="23" fillId="8" borderId="8" xfId="0" applyFont="1" applyFill="1" applyBorder="1" applyAlignment="1">
      <alignment horizontal="left" vertical="center" indent="1"/>
    </xf>
    <xf numFmtId="0" fontId="23" fillId="8" borderId="1" xfId="0" applyFont="1" applyFill="1" applyBorder="1" applyAlignment="1">
      <alignment vertical="center"/>
    </xf>
    <xf numFmtId="174" fontId="23" fillId="8" borderId="1" xfId="0" applyNumberFormat="1" applyFon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right" vertical="center"/>
    </xf>
    <xf numFmtId="39" fontId="23" fillId="8" borderId="2" xfId="0" applyNumberFormat="1" applyFont="1" applyFill="1" applyBorder="1" applyAlignment="1">
      <alignment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left" vertical="center" indent="1"/>
    </xf>
    <xf numFmtId="174" fontId="23" fillId="8" borderId="1" xfId="0" applyNumberFormat="1" applyFont="1" applyFill="1" applyBorder="1" applyAlignment="1">
      <alignment vertical="center"/>
    </xf>
    <xf numFmtId="175" fontId="23" fillId="8" borderId="1" xfId="0" applyNumberFormat="1" applyFont="1" applyFill="1" applyBorder="1" applyAlignment="1">
      <alignment horizontal="right" vertical="center"/>
    </xf>
    <xf numFmtId="0" fontId="23" fillId="8" borderId="1" xfId="0" applyFont="1" applyFill="1" applyBorder="1" applyAlignment="1" applyProtection="1">
      <alignment vertical="center"/>
      <protection locked="0"/>
    </xf>
    <xf numFmtId="0" fontId="23" fillId="8" borderId="10" xfId="0" applyFont="1" applyFill="1" applyBorder="1" applyAlignment="1" applyProtection="1">
      <alignment vertical="center"/>
      <protection locked="0"/>
    </xf>
    <xf numFmtId="39" fontId="23" fillId="8" borderId="1" xfId="0" applyNumberFormat="1" applyFont="1" applyFill="1" applyBorder="1" applyAlignment="1" applyProtection="1">
      <alignment horizontal="left" vertical="center"/>
      <protection locked="0"/>
    </xf>
    <xf numFmtId="175" fontId="23" fillId="8" borderId="1" xfId="0" applyNumberFormat="1" applyFont="1" applyFill="1" applyBorder="1" applyAlignment="1" applyProtection="1">
      <alignment horizontal="right" vertical="center"/>
      <protection locked="0"/>
    </xf>
    <xf numFmtId="175" fontId="23" fillId="8" borderId="1" xfId="0" applyNumberFormat="1" applyFont="1" applyFill="1" applyBorder="1" applyAlignment="1" applyProtection="1">
      <alignment horizontal="left" vertical="center"/>
      <protection locked="0"/>
    </xf>
    <xf numFmtId="0" fontId="17" fillId="8" borderId="11" xfId="0" applyFont="1" applyFill="1" applyBorder="1" applyAlignment="1">
      <alignment horizontal="left" vertical="center"/>
    </xf>
    <xf numFmtId="0" fontId="17" fillId="8" borderId="12" xfId="0" applyFont="1" applyFill="1" applyBorder="1" applyAlignment="1">
      <alignment vertical="center"/>
    </xf>
    <xf numFmtId="0" fontId="17" fillId="8" borderId="12" xfId="0" applyFont="1" applyFill="1" applyBorder="1" applyAlignment="1" applyProtection="1">
      <alignment vertical="center"/>
      <protection locked="0"/>
    </xf>
    <xf numFmtId="0" fontId="19" fillId="8" borderId="11" xfId="0" applyFont="1" applyFill="1" applyBorder="1" applyAlignment="1">
      <alignment horizontal="left" vertical="center"/>
    </xf>
    <xf numFmtId="0" fontId="19" fillId="8" borderId="12" xfId="0" applyFont="1" applyFill="1" applyBorder="1" applyAlignment="1">
      <alignment vertical="center"/>
    </xf>
    <xf numFmtId="0" fontId="18" fillId="8" borderId="12" xfId="0" applyFont="1" applyFill="1" applyBorder="1" applyAlignment="1">
      <alignment vertical="center"/>
    </xf>
    <xf numFmtId="0" fontId="20" fillId="8" borderId="0" xfId="0" applyFont="1" applyFill="1" applyAlignment="1">
      <alignment horizontal="left" vertical="center"/>
    </xf>
    <xf numFmtId="169" fontId="16" fillId="8" borderId="0" xfId="0" applyNumberFormat="1" applyFont="1" applyFill="1" applyAlignment="1">
      <alignment vertical="center"/>
    </xf>
    <xf numFmtId="0" fontId="16" fillId="8" borderId="0" xfId="0" applyFont="1" applyFill="1" applyAlignment="1">
      <alignment horizontal="left" vertical="center"/>
    </xf>
    <xf numFmtId="169" fontId="17" fillId="8" borderId="0" xfId="0" applyNumberFormat="1" applyFont="1" applyFill="1" applyAlignment="1">
      <alignment horizontal="center" vertical="center"/>
    </xf>
    <xf numFmtId="169" fontId="17" fillId="8" borderId="6" xfId="0" applyNumberFormat="1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right" vertical="center"/>
    </xf>
    <xf numFmtId="179" fontId="23" fillId="8" borderId="2" xfId="0" applyNumberFormat="1" applyFont="1" applyFill="1" applyBorder="1" applyAlignment="1" applyProtection="1">
      <alignment horizontal="left" vertical="center"/>
      <protection locked="0"/>
    </xf>
    <xf numFmtId="175" fontId="23" fillId="8" borderId="2" xfId="0" applyNumberFormat="1" applyFont="1" applyFill="1" applyBorder="1" applyAlignment="1" applyProtection="1">
      <alignment horizontal="right" vertical="center"/>
      <protection locked="0"/>
    </xf>
    <xf numFmtId="0" fontId="23" fillId="8" borderId="2" xfId="0" applyFont="1" applyFill="1" applyBorder="1" applyAlignment="1">
      <alignment horizontal="left" vertical="center"/>
    </xf>
    <xf numFmtId="175" fontId="23" fillId="8" borderId="2" xfId="0" applyNumberFormat="1" applyFont="1" applyFill="1" applyBorder="1" applyAlignment="1" applyProtection="1">
      <alignment horizontal="left" vertical="center"/>
      <protection locked="0"/>
    </xf>
    <xf numFmtId="0" fontId="23" fillId="8" borderId="13" xfId="0" applyFont="1" applyFill="1" applyBorder="1" applyAlignment="1">
      <alignment horizontal="left" vertical="center" indent="1"/>
    </xf>
    <xf numFmtId="0" fontId="23" fillId="8" borderId="14" xfId="0" applyFont="1" applyFill="1" applyBorder="1" applyAlignment="1">
      <alignment vertical="center"/>
    </xf>
    <xf numFmtId="0" fontId="21" fillId="8" borderId="0" xfId="0" applyFont="1" applyFill="1" applyAlignment="1">
      <alignment vertical="center"/>
    </xf>
    <xf numFmtId="0" fontId="28" fillId="8" borderId="0" xfId="0" applyFont="1" applyFill="1" applyAlignment="1">
      <alignment horizontal="centerContinuous" vertical="center" wrapText="1"/>
    </xf>
    <xf numFmtId="0" fontId="24" fillId="8" borderId="0" xfId="0" applyFont="1" applyFill="1" applyAlignment="1">
      <alignment vertical="center"/>
    </xf>
    <xf numFmtId="175" fontId="17" fillId="8" borderId="0" xfId="0" applyNumberFormat="1" applyFont="1" applyFill="1" applyAlignment="1">
      <alignment horizontal="left" vertical="center"/>
    </xf>
    <xf numFmtId="0" fontId="26" fillId="8" borderId="0" xfId="0" applyFont="1" applyFill="1" applyAlignment="1" applyProtection="1">
      <alignment vertical="center"/>
      <protection locked="0"/>
    </xf>
    <xf numFmtId="0" fontId="23" fillId="8" borderId="0" xfId="0" applyFont="1" applyFill="1" applyAlignment="1">
      <alignment vertical="center"/>
    </xf>
    <xf numFmtId="0" fontId="17" fillId="8" borderId="0" xfId="0" applyFont="1" applyFill="1" applyAlignment="1" applyProtection="1">
      <alignment horizontal="right" vertical="center"/>
      <protection locked="0"/>
    </xf>
    <xf numFmtId="165" fontId="17" fillId="8" borderId="0" xfId="0" applyNumberFormat="1" applyFont="1" applyFill="1" applyAlignment="1" applyProtection="1">
      <alignment horizontal="right" vertical="center"/>
      <protection locked="0"/>
    </xf>
    <xf numFmtId="169" fontId="17" fillId="8" borderId="12" xfId="0" applyNumberFormat="1" applyFont="1" applyFill="1" applyBorder="1" applyAlignment="1" applyProtection="1">
      <alignment horizontal="left" vertical="center"/>
      <protection locked="0"/>
    </xf>
    <xf numFmtId="169" fontId="19" fillId="8" borderId="12" xfId="0" applyNumberFormat="1" applyFont="1" applyFill="1" applyBorder="1" applyAlignment="1">
      <alignment horizontal="left" vertical="center"/>
    </xf>
    <xf numFmtId="176" fontId="16" fillId="8" borderId="0" xfId="0" applyNumberFormat="1" applyFont="1" applyFill="1" applyAlignment="1">
      <alignment vertical="center"/>
    </xf>
    <xf numFmtId="0" fontId="23" fillId="8" borderId="1" xfId="0" applyFont="1" applyFill="1" applyBorder="1" applyAlignment="1">
      <alignment horizontal="left" vertical="center"/>
    </xf>
    <xf numFmtId="0" fontId="20" fillId="8" borderId="15" xfId="0" applyFont="1" applyFill="1" applyBorder="1" applyAlignment="1">
      <alignment vertical="center"/>
    </xf>
    <xf numFmtId="0" fontId="16" fillId="8" borderId="15" xfId="0" applyFont="1" applyFill="1" applyBorder="1" applyAlignment="1">
      <alignment vertical="center"/>
    </xf>
    <xf numFmtId="0" fontId="16" fillId="8" borderId="16" xfId="0" applyFont="1" applyFill="1" applyBorder="1" applyAlignment="1">
      <alignment vertical="center"/>
    </xf>
    <xf numFmtId="0" fontId="22" fillId="8" borderId="0" xfId="0" applyFont="1" applyFill="1" applyAlignment="1">
      <alignment horizontal="right" vertical="center"/>
    </xf>
    <xf numFmtId="176" fontId="22" fillId="8" borderId="0" xfId="0" applyNumberFormat="1" applyFont="1" applyFill="1" applyAlignment="1">
      <alignment horizontal="center" vertical="center"/>
    </xf>
    <xf numFmtId="179" fontId="16" fillId="2" borderId="17" xfId="0" applyNumberFormat="1" applyFont="1" applyFill="1" applyBorder="1" applyAlignment="1">
      <alignment horizontal="right" vertical="center"/>
    </xf>
    <xf numFmtId="179" fontId="16" fillId="2" borderId="17" xfId="0" applyNumberFormat="1" applyFont="1" applyFill="1" applyBorder="1" applyAlignment="1" applyProtection="1">
      <alignment horizontal="right" vertical="center"/>
      <protection locked="0"/>
    </xf>
    <xf numFmtId="179" fontId="16" fillId="2" borderId="18" xfId="0" applyNumberFormat="1" applyFont="1" applyFill="1" applyBorder="1" applyAlignment="1" applyProtection="1">
      <alignment horizontal="right" vertical="center"/>
      <protection locked="0"/>
    </xf>
    <xf numFmtId="179" fontId="16" fillId="2" borderId="19" xfId="0" applyNumberFormat="1" applyFont="1" applyFill="1" applyBorder="1" applyAlignment="1">
      <alignment horizontal="right" vertical="center"/>
    </xf>
    <xf numFmtId="179" fontId="16" fillId="2" borderId="20" xfId="0" applyNumberFormat="1" applyFont="1" applyFill="1" applyBorder="1" applyAlignment="1" applyProtection="1">
      <alignment horizontal="right" vertical="center"/>
      <protection locked="0"/>
    </xf>
    <xf numFmtId="179" fontId="16" fillId="8" borderId="17" xfId="0" applyNumberFormat="1" applyFont="1" applyFill="1" applyBorder="1" applyAlignment="1">
      <alignment horizontal="right" vertical="center"/>
    </xf>
    <xf numFmtId="179" fontId="16" fillId="8" borderId="19" xfId="0" applyNumberFormat="1" applyFont="1" applyFill="1" applyBorder="1" applyAlignment="1">
      <alignment horizontal="right" vertical="center"/>
    </xf>
    <xf numFmtId="179" fontId="16" fillId="6" borderId="5" xfId="0" applyNumberFormat="1" applyFont="1" applyFill="1" applyBorder="1" applyAlignment="1" applyProtection="1">
      <alignment horizontal="right" vertical="center"/>
      <protection locked="0"/>
    </xf>
    <xf numFmtId="0" fontId="16" fillId="0" borderId="0" xfId="0" applyFont="1" applyAlignment="1">
      <alignment vertical="center"/>
    </xf>
    <xf numFmtId="174" fontId="16" fillId="0" borderId="0" xfId="0" applyNumberFormat="1" applyFont="1" applyAlignment="1">
      <alignment vertical="center"/>
    </xf>
    <xf numFmtId="180" fontId="16" fillId="0" borderId="17" xfId="0" applyNumberFormat="1" applyFont="1" applyBorder="1" applyAlignment="1">
      <alignment horizontal="right" vertical="center"/>
    </xf>
    <xf numFmtId="0" fontId="17" fillId="0" borderId="12" xfId="0" applyFont="1" applyBorder="1" applyAlignment="1" applyProtection="1">
      <alignment vertical="center"/>
      <protection locked="0"/>
    </xf>
    <xf numFmtId="169" fontId="17" fillId="0" borderId="12" xfId="0" applyNumberFormat="1" applyFont="1" applyBorder="1" applyAlignment="1" applyProtection="1">
      <alignment horizontal="left" vertical="center"/>
      <protection locked="0"/>
    </xf>
    <xf numFmtId="0" fontId="19" fillId="0" borderId="12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169" fontId="19" fillId="0" borderId="12" xfId="0" applyNumberFormat="1" applyFont="1" applyBorder="1" applyAlignment="1">
      <alignment vertical="center"/>
    </xf>
    <xf numFmtId="169" fontId="17" fillId="0" borderId="0" xfId="0" applyNumberFormat="1" applyFont="1" applyAlignment="1">
      <alignment horizontal="center" vertical="center"/>
    </xf>
    <xf numFmtId="169" fontId="17" fillId="0" borderId="6" xfId="0" applyNumberFormat="1" applyFont="1" applyBorder="1" applyAlignment="1">
      <alignment horizontal="center" vertical="center"/>
    </xf>
    <xf numFmtId="174" fontId="31" fillId="0" borderId="22" xfId="0" applyNumberFormat="1" applyFont="1" applyBorder="1" applyAlignment="1">
      <alignment horizontal="left" vertical="center"/>
    </xf>
    <xf numFmtId="174" fontId="16" fillId="0" borderId="0" xfId="0" applyNumberFormat="1" applyFont="1" applyAlignment="1">
      <alignment horizontal="centerContinuous" vertical="center"/>
    </xf>
    <xf numFmtId="174" fontId="31" fillId="0" borderId="0" xfId="0" applyNumberFormat="1" applyFont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 applyProtection="1">
      <alignment vertical="center"/>
      <protection locked="0"/>
    </xf>
    <xf numFmtId="0" fontId="17" fillId="0" borderId="23" xfId="0" applyFont="1" applyBorder="1" applyAlignment="1" applyProtection="1">
      <alignment vertical="center"/>
      <protection locked="0"/>
    </xf>
    <xf numFmtId="0" fontId="17" fillId="0" borderId="23" xfId="0" applyFont="1" applyBorder="1" applyAlignment="1">
      <alignment vertical="center"/>
    </xf>
    <xf numFmtId="175" fontId="26" fillId="0" borderId="0" xfId="0" applyNumberFormat="1" applyFont="1" applyAlignment="1" applyProtection="1">
      <alignment horizontal="center" vertical="center"/>
      <protection locked="0"/>
    </xf>
    <xf numFmtId="0" fontId="16" fillId="0" borderId="23" xfId="0" applyFont="1" applyBorder="1" applyAlignment="1">
      <alignment vertical="center"/>
    </xf>
    <xf numFmtId="0" fontId="16" fillId="0" borderId="22" xfId="0" applyFont="1" applyBorder="1" applyAlignment="1">
      <alignment vertical="center"/>
    </xf>
    <xf numFmtId="0" fontId="17" fillId="0" borderId="24" xfId="0" applyFont="1" applyBorder="1" applyAlignment="1">
      <alignment horizontal="center" vertical="center"/>
    </xf>
    <xf numFmtId="0" fontId="19" fillId="0" borderId="29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169" fontId="16" fillId="0" borderId="0" xfId="0" applyNumberFormat="1" applyFont="1" applyAlignment="1">
      <alignment vertical="center"/>
    </xf>
    <xf numFmtId="0" fontId="16" fillId="0" borderId="22" xfId="0" applyFont="1" applyBorder="1" applyAlignment="1">
      <alignment horizontal="left" vertical="center"/>
    </xf>
    <xf numFmtId="169" fontId="16" fillId="0" borderId="23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71" fontId="17" fillId="0" borderId="0" xfId="0" applyNumberFormat="1" applyFont="1" applyAlignment="1" applyProtection="1">
      <alignment vertical="center"/>
      <protection locked="0"/>
    </xf>
    <xf numFmtId="171" fontId="16" fillId="0" borderId="0" xfId="0" applyNumberFormat="1" applyFont="1" applyAlignment="1" applyProtection="1">
      <alignment vertical="center"/>
      <protection locked="0"/>
    </xf>
    <xf numFmtId="179" fontId="16" fillId="0" borderId="17" xfId="0" applyNumberFormat="1" applyFont="1" applyBorder="1" applyAlignment="1">
      <alignment horizontal="right" vertical="center"/>
    </xf>
    <xf numFmtId="179" fontId="16" fillId="0" borderId="17" xfId="0" applyNumberFormat="1" applyFont="1" applyBorder="1" applyAlignment="1" applyProtection="1">
      <alignment horizontal="right" vertical="center"/>
      <protection locked="0"/>
    </xf>
    <xf numFmtId="179" fontId="16" fillId="0" borderId="18" xfId="0" applyNumberFormat="1" applyFont="1" applyBorder="1" applyAlignment="1" applyProtection="1">
      <alignment horizontal="right" vertical="center"/>
      <protection locked="0"/>
    </xf>
    <xf numFmtId="0" fontId="18" fillId="0" borderId="0" xfId="0" applyFont="1" applyAlignment="1" applyProtection="1">
      <alignment vertical="center"/>
      <protection locked="0"/>
    </xf>
    <xf numFmtId="179" fontId="16" fillId="0" borderId="26" xfId="0" applyNumberFormat="1" applyFont="1" applyBorder="1" applyAlignment="1">
      <alignment horizontal="right" vertical="center"/>
    </xf>
    <xf numFmtId="179" fontId="16" fillId="0" borderId="28" xfId="0" applyNumberFormat="1" applyFont="1" applyBorder="1" applyAlignment="1">
      <alignment horizontal="right" vertical="center"/>
    </xf>
    <xf numFmtId="179" fontId="16" fillId="0" borderId="28" xfId="0" applyNumberFormat="1" applyFont="1" applyBorder="1" applyAlignment="1" applyProtection="1">
      <alignment horizontal="right" vertical="center"/>
      <protection locked="0"/>
    </xf>
    <xf numFmtId="0" fontId="10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172" fontId="16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Continuous"/>
    </xf>
    <xf numFmtId="0" fontId="12" fillId="0" borderId="0" xfId="0" applyFont="1" applyAlignment="1" applyProtection="1">
      <alignment horizontal="centerContinuous"/>
      <protection locked="0"/>
    </xf>
    <xf numFmtId="0" fontId="13" fillId="0" borderId="0" xfId="0" applyFont="1"/>
    <xf numFmtId="0" fontId="13" fillId="0" borderId="0" xfId="0" applyFont="1" applyProtection="1">
      <protection locked="0"/>
    </xf>
    <xf numFmtId="0" fontId="12" fillId="0" borderId="0" xfId="0" applyFont="1" applyAlignment="1" applyProtection="1">
      <alignment horizontal="right"/>
      <protection locked="0"/>
    </xf>
    <xf numFmtId="39" fontId="12" fillId="0" borderId="0" xfId="0" applyNumberFormat="1" applyFont="1"/>
    <xf numFmtId="0" fontId="12" fillId="0" borderId="0" xfId="0" applyFont="1" applyAlignment="1" applyProtection="1">
      <alignment horizontal="left"/>
      <protection locked="0"/>
    </xf>
    <xf numFmtId="165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65" fontId="13" fillId="0" borderId="0" xfId="0" applyNumberFormat="1" applyFont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165" fontId="12" fillId="0" borderId="0" xfId="0" applyNumberFormat="1" applyFont="1" applyAlignment="1" applyProtection="1">
      <alignment horizontal="right"/>
      <protection locked="0"/>
    </xf>
    <xf numFmtId="174" fontId="12" fillId="0" borderId="0" xfId="0" applyNumberFormat="1" applyFont="1"/>
    <xf numFmtId="165" fontId="13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165" fontId="12" fillId="0" borderId="0" xfId="0" applyNumberFormat="1" applyFont="1"/>
    <xf numFmtId="0" fontId="12" fillId="0" borderId="0" xfId="0" applyFont="1" applyAlignment="1" applyProtection="1">
      <alignment horizontal="center"/>
      <protection locked="0"/>
    </xf>
    <xf numFmtId="0" fontId="9" fillId="0" borderId="0" xfId="0" applyFont="1"/>
    <xf numFmtId="171" fontId="13" fillId="0" borderId="0" xfId="0" applyNumberFormat="1" applyFont="1" applyProtection="1">
      <protection locked="0"/>
    </xf>
    <xf numFmtId="0" fontId="33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Protection="1">
      <protection locked="0"/>
    </xf>
    <xf numFmtId="0" fontId="5" fillId="0" borderId="0" xfId="0" applyFont="1" applyProtection="1">
      <protection locked="0"/>
    </xf>
    <xf numFmtId="164" fontId="9" fillId="0" borderId="0" xfId="0" applyNumberFormat="1" applyFont="1" applyProtection="1">
      <protection locked="0"/>
    </xf>
    <xf numFmtId="0" fontId="7" fillId="0" borderId="4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5" fillId="0" borderId="0" xfId="0" applyFont="1"/>
    <xf numFmtId="0" fontId="7" fillId="0" borderId="4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80" fontId="9" fillId="0" borderId="45" xfId="2" applyNumberFormat="1" applyFont="1" applyFill="1" applyBorder="1" applyAlignment="1" applyProtection="1">
      <alignment horizontal="center" vertical="center"/>
      <protection locked="0"/>
    </xf>
    <xf numFmtId="0" fontId="7" fillId="0" borderId="46" xfId="0" applyFont="1" applyBorder="1" applyAlignment="1">
      <alignment horizontal="center" vertical="center"/>
    </xf>
    <xf numFmtId="49" fontId="7" fillId="0" borderId="46" xfId="0" applyNumberFormat="1" applyFont="1" applyBorder="1" applyAlignment="1" applyProtection="1">
      <alignment horizontal="center" vertical="center"/>
      <protection locked="0"/>
    </xf>
    <xf numFmtId="180" fontId="9" fillId="0" borderId="47" xfId="2" applyNumberFormat="1" applyFont="1" applyFill="1" applyBorder="1" applyAlignment="1" applyProtection="1">
      <alignment horizontal="center" vertical="center"/>
      <protection locked="0"/>
    </xf>
    <xf numFmtId="49" fontId="7" fillId="0" borderId="42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180" fontId="7" fillId="0" borderId="45" xfId="0" applyNumberFormat="1" applyFont="1" applyBorder="1" applyAlignment="1" applyProtection="1">
      <alignment horizontal="center" vertical="center"/>
      <protection locked="0"/>
    </xf>
    <xf numFmtId="49" fontId="7" fillId="0" borderId="52" xfId="0" applyNumberFormat="1" applyFont="1" applyBorder="1" applyAlignment="1" applyProtection="1">
      <alignment horizontal="center" vertical="center"/>
      <protection locked="0"/>
    </xf>
    <xf numFmtId="180" fontId="7" fillId="0" borderId="48" xfId="0" applyNumberFormat="1" applyFont="1" applyBorder="1" applyAlignment="1" applyProtection="1">
      <alignment horizontal="center" vertical="center"/>
      <protection locked="0"/>
    </xf>
    <xf numFmtId="0" fontId="6" fillId="8" borderId="44" xfId="0" applyFont="1" applyFill="1" applyBorder="1" applyAlignment="1">
      <alignment horizontal="center" vertical="center"/>
    </xf>
    <xf numFmtId="0" fontId="6" fillId="8" borderId="43" xfId="0" applyFont="1" applyFill="1" applyBorder="1" applyAlignment="1">
      <alignment horizontal="center" vertical="center"/>
    </xf>
    <xf numFmtId="0" fontId="6" fillId="8" borderId="49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77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/>
    </xf>
    <xf numFmtId="0" fontId="36" fillId="0" borderId="0" xfId="0" applyFont="1"/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172" fontId="6" fillId="8" borderId="43" xfId="0" applyNumberFormat="1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80" fontId="6" fillId="0" borderId="4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6" fillId="0" borderId="0" xfId="0" applyFont="1" applyAlignment="1" applyProtection="1">
      <alignment vertical="center"/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>
      <alignment horizontal="right" vertical="center"/>
    </xf>
    <xf numFmtId="180" fontId="6" fillId="0" borderId="54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right" vertical="center"/>
    </xf>
    <xf numFmtId="172" fontId="12" fillId="0" borderId="0" xfId="0" applyNumberFormat="1" applyFont="1" applyAlignment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49" fontId="5" fillId="0" borderId="0" xfId="0" applyNumberFormat="1" applyFont="1" applyAlignment="1">
      <alignment horizontal="right"/>
    </xf>
    <xf numFmtId="0" fontId="6" fillId="0" borderId="52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1" fillId="0" borderId="0" xfId="0" applyFont="1"/>
    <xf numFmtId="180" fontId="6" fillId="0" borderId="48" xfId="0" applyNumberFormat="1" applyFont="1" applyBorder="1" applyAlignment="1" applyProtection="1">
      <alignment horizontal="center" vertical="center"/>
      <protection locked="0"/>
    </xf>
    <xf numFmtId="180" fontId="6" fillId="0" borderId="45" xfId="0" applyNumberFormat="1" applyFont="1" applyBorder="1" applyAlignment="1" applyProtection="1">
      <alignment horizontal="center" vertical="center"/>
      <protection locked="0"/>
    </xf>
    <xf numFmtId="180" fontId="6" fillId="0" borderId="47" xfId="0" applyNumberFormat="1" applyFont="1" applyBorder="1" applyAlignment="1" applyProtection="1">
      <alignment horizontal="center" vertical="center"/>
      <protection locked="0"/>
    </xf>
    <xf numFmtId="49" fontId="43" fillId="0" borderId="57" xfId="0" applyNumberFormat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80" fontId="9" fillId="0" borderId="49" xfId="2" applyNumberFormat="1" applyFont="1" applyFill="1" applyBorder="1" applyAlignment="1" applyProtection="1">
      <alignment horizontal="center" vertical="center"/>
    </xf>
    <xf numFmtId="179" fontId="24" fillId="0" borderId="19" xfId="0" applyNumberFormat="1" applyFont="1" applyBorder="1" applyAlignment="1">
      <alignment horizontal="right" vertical="center"/>
    </xf>
    <xf numFmtId="0" fontId="4" fillId="0" borderId="42" xfId="0" applyFont="1" applyBorder="1" applyAlignment="1">
      <alignment horizontal="center" vertical="center"/>
    </xf>
    <xf numFmtId="0" fontId="4" fillId="3" borderId="0" xfId="0" applyFont="1" applyFill="1"/>
    <xf numFmtId="49" fontId="4" fillId="0" borderId="42" xfId="0" applyNumberFormat="1" applyFont="1" applyBorder="1" applyAlignment="1" applyProtection="1">
      <alignment horizontal="center" vertical="center"/>
      <protection locked="0"/>
    </xf>
    <xf numFmtId="180" fontId="4" fillId="0" borderId="45" xfId="0" applyNumberFormat="1" applyFont="1" applyBorder="1" applyAlignment="1" applyProtection="1">
      <alignment horizontal="center" vertical="center"/>
      <protection locked="0"/>
    </xf>
    <xf numFmtId="180" fontId="0" fillId="0" borderId="0" xfId="0" applyNumberFormat="1"/>
    <xf numFmtId="180" fontId="8" fillId="0" borderId="45" xfId="2" applyNumberFormat="1" applyFont="1" applyFill="1" applyBorder="1" applyAlignment="1" applyProtection="1">
      <alignment horizontal="center" vertical="center"/>
      <protection locked="0"/>
    </xf>
    <xf numFmtId="0" fontId="4" fillId="0" borderId="40" xfId="0" applyFont="1" applyBorder="1" applyAlignment="1">
      <alignment horizontal="center" vertical="center"/>
    </xf>
    <xf numFmtId="180" fontId="8" fillId="0" borderId="48" xfId="2" applyNumberFormat="1" applyFont="1" applyFill="1" applyBorder="1" applyAlignment="1" applyProtection="1">
      <alignment horizontal="center" vertical="center"/>
      <protection locked="0"/>
    </xf>
    <xf numFmtId="49" fontId="4" fillId="0" borderId="40" xfId="0" applyNumberFormat="1" applyFont="1" applyBorder="1" applyAlignment="1">
      <alignment horizontal="center" vertical="center"/>
    </xf>
    <xf numFmtId="0" fontId="40" fillId="3" borderId="0" xfId="0" applyFont="1" applyFill="1"/>
    <xf numFmtId="180" fontId="14" fillId="0" borderId="45" xfId="0" applyNumberFormat="1" applyFont="1" applyBorder="1" applyAlignment="1" applyProtection="1">
      <alignment horizontal="center" vertical="center"/>
      <protection locked="0"/>
    </xf>
    <xf numFmtId="0" fontId="4" fillId="0" borderId="57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vertical="center"/>
    </xf>
    <xf numFmtId="0" fontId="40" fillId="0" borderId="0" xfId="0" applyFont="1"/>
    <xf numFmtId="0" fontId="7" fillId="0" borderId="42" xfId="0" applyFont="1" applyBorder="1" applyAlignment="1" applyProtection="1">
      <alignment horizontal="center" vertical="center"/>
      <protection locked="0"/>
    </xf>
    <xf numFmtId="0" fontId="4" fillId="0" borderId="46" xfId="0" applyFont="1" applyBorder="1" applyAlignment="1">
      <alignment horizontal="center" vertical="center"/>
    </xf>
    <xf numFmtId="49" fontId="4" fillId="0" borderId="46" xfId="0" applyNumberFormat="1" applyFont="1" applyBorder="1" applyAlignment="1" applyProtection="1">
      <alignment horizontal="center" vertical="center"/>
      <protection locked="0"/>
    </xf>
    <xf numFmtId="180" fontId="4" fillId="0" borderId="47" xfId="0" applyNumberFormat="1" applyFont="1" applyBorder="1" applyAlignment="1" applyProtection="1">
      <alignment horizontal="center" vertical="center"/>
      <protection locked="0"/>
    </xf>
    <xf numFmtId="0" fontId="4" fillId="0" borderId="0" xfId="3" applyFont="1" applyAlignment="1">
      <alignment vertical="center"/>
    </xf>
    <xf numFmtId="0" fontId="40" fillId="0" borderId="0" xfId="3" applyAlignment="1">
      <alignment vertical="center"/>
    </xf>
    <xf numFmtId="179" fontId="48" fillId="11" borderId="17" xfId="0" applyNumberFormat="1" applyFont="1" applyFill="1" applyBorder="1" applyAlignment="1">
      <alignment horizontal="right" vertical="center"/>
    </xf>
    <xf numFmtId="179" fontId="46" fillId="0" borderId="4" xfId="0" applyNumberFormat="1" applyFont="1" applyBorder="1" applyAlignment="1">
      <alignment horizontal="right" vertical="center"/>
    </xf>
    <xf numFmtId="179" fontId="46" fillId="0" borderId="30" xfId="0" applyNumberFormat="1" applyFont="1" applyBorder="1" applyAlignment="1" applyProtection="1">
      <alignment horizontal="right" vertical="center"/>
      <protection locked="0"/>
    </xf>
    <xf numFmtId="179" fontId="46" fillId="0" borderId="30" xfId="0" applyNumberFormat="1" applyFont="1" applyBorder="1" applyAlignment="1">
      <alignment horizontal="right" vertical="center"/>
    </xf>
    <xf numFmtId="179" fontId="46" fillId="0" borderId="31" xfId="0" applyNumberFormat="1" applyFont="1" applyBorder="1" applyAlignment="1">
      <alignment horizontal="right" vertical="center"/>
    </xf>
    <xf numFmtId="0" fontId="26" fillId="10" borderId="0" xfId="0" applyFont="1" applyFill="1" applyAlignment="1" applyProtection="1">
      <alignment horizontal="center" vertical="center"/>
      <protection locked="0"/>
    </xf>
    <xf numFmtId="0" fontId="46" fillId="0" borderId="22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34" xfId="0" applyFont="1" applyBorder="1" applyAlignment="1">
      <alignment vertical="center"/>
    </xf>
    <xf numFmtId="0" fontId="46" fillId="0" borderId="35" xfId="0" applyFont="1" applyBorder="1" applyAlignment="1">
      <alignment vertical="center"/>
    </xf>
    <xf numFmtId="0" fontId="47" fillId="0" borderId="35" xfId="0" applyFont="1" applyBorder="1" applyAlignment="1">
      <alignment vertical="center"/>
    </xf>
    <xf numFmtId="0" fontId="46" fillId="0" borderId="58" xfId="0" applyFont="1" applyBorder="1" applyAlignment="1">
      <alignment vertical="center"/>
    </xf>
    <xf numFmtId="0" fontId="46" fillId="0" borderId="72" xfId="0" applyFont="1" applyBorder="1" applyAlignment="1">
      <alignment vertical="center"/>
    </xf>
    <xf numFmtId="0" fontId="26" fillId="0" borderId="0" xfId="0" applyFont="1" applyAlignment="1" applyProtection="1">
      <alignment horizontal="center" vertical="center"/>
      <protection locked="0"/>
    </xf>
    <xf numFmtId="0" fontId="35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Font="1" applyAlignment="1">
      <alignment vertical="center"/>
    </xf>
    <xf numFmtId="0" fontId="5" fillId="0" borderId="0" xfId="3" applyFont="1" applyAlignment="1">
      <alignment horizontal="left" vertical="center"/>
    </xf>
    <xf numFmtId="0" fontId="6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3" fillId="0" borderId="0" xfId="3" applyFont="1" applyAlignment="1">
      <alignment horizontal="right" vertical="center"/>
    </xf>
    <xf numFmtId="0" fontId="19" fillId="0" borderId="22" xfId="0" applyFont="1" applyBorder="1" applyAlignment="1">
      <alignment horizontal="right" vertical="center"/>
    </xf>
    <xf numFmtId="0" fontId="52" fillId="0" borderId="22" xfId="0" applyFont="1" applyBorder="1" applyAlignment="1">
      <alignment vertical="center"/>
    </xf>
    <xf numFmtId="0" fontId="48" fillId="0" borderId="0" xfId="0" applyFont="1" applyAlignment="1">
      <alignment horizontal="right" vertical="center"/>
    </xf>
    <xf numFmtId="0" fontId="4" fillId="0" borderId="41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79" xfId="0" applyFont="1" applyBorder="1" applyAlignment="1" applyProtection="1">
      <alignment horizontal="center" vertical="center"/>
      <protection locked="0"/>
    </xf>
    <xf numFmtId="180" fontId="6" fillId="0" borderId="80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right" vertical="center"/>
    </xf>
    <xf numFmtId="14" fontId="26" fillId="0" borderId="0" xfId="0" applyNumberFormat="1" applyFont="1" applyAlignment="1" applyProtection="1">
      <alignment horizontal="center" vertical="center"/>
      <protection locked="0"/>
    </xf>
    <xf numFmtId="175" fontId="18" fillId="0" borderId="0" xfId="0" applyNumberFormat="1" applyFont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0" fontId="18" fillId="0" borderId="23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3" fontId="18" fillId="0" borderId="0" xfId="2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169" fontId="48" fillId="0" borderId="0" xfId="0" applyNumberFormat="1" applyFont="1" applyAlignment="1">
      <alignment horizontal="center" vertical="center"/>
    </xf>
    <xf numFmtId="179" fontId="48" fillId="0" borderId="33" xfId="0" applyNumberFormat="1" applyFont="1" applyBorder="1" applyAlignment="1">
      <alignment horizontal="right" vertical="center"/>
    </xf>
    <xf numFmtId="15" fontId="18" fillId="0" borderId="0" xfId="0" applyNumberFormat="1" applyFont="1" applyAlignment="1" applyProtection="1">
      <alignment horizontal="center" vertical="center"/>
      <protection locked="0"/>
    </xf>
    <xf numFmtId="174" fontId="19" fillId="0" borderId="2" xfId="0" applyNumberFormat="1" applyFont="1" applyBorder="1" applyAlignment="1">
      <alignment horizontal="right" vertical="center"/>
    </xf>
    <xf numFmtId="180" fontId="19" fillId="0" borderId="2" xfId="0" applyNumberFormat="1" applyFont="1" applyBorder="1" applyAlignment="1" applyProtection="1">
      <alignment horizontal="right" vertical="center"/>
      <protection locked="0"/>
    </xf>
    <xf numFmtId="175" fontId="19" fillId="0" borderId="2" xfId="0" applyNumberFormat="1" applyFont="1" applyBorder="1" applyAlignment="1" applyProtection="1">
      <alignment horizontal="right" vertical="center"/>
      <protection locked="0"/>
    </xf>
    <xf numFmtId="175" fontId="19" fillId="0" borderId="2" xfId="0" applyNumberFormat="1" applyFont="1" applyBorder="1" applyAlignment="1" applyProtection="1">
      <alignment horizontal="left" vertical="center"/>
      <protection locked="0"/>
    </xf>
    <xf numFmtId="174" fontId="19" fillId="0" borderId="1" xfId="0" applyNumberFormat="1" applyFont="1" applyBorder="1" applyAlignment="1">
      <alignment horizontal="right" vertical="center"/>
    </xf>
    <xf numFmtId="180" fontId="19" fillId="0" borderId="1" xfId="0" applyNumberFormat="1" applyFont="1" applyBorder="1" applyAlignment="1" applyProtection="1">
      <alignment horizontal="right" vertical="center"/>
      <protection locked="0"/>
    </xf>
    <xf numFmtId="175" fontId="19" fillId="0" borderId="1" xfId="0" applyNumberFormat="1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>
      <alignment horizontal="left" vertical="center"/>
    </xf>
    <xf numFmtId="175" fontId="19" fillId="0" borderId="1" xfId="0" applyNumberFormat="1" applyFont="1" applyBorder="1" applyAlignment="1" applyProtection="1">
      <alignment horizontal="left" vertical="center"/>
      <protection locked="0"/>
    </xf>
    <xf numFmtId="0" fontId="19" fillId="0" borderId="1" xfId="0" applyFont="1" applyBorder="1" applyAlignment="1">
      <alignment horizontal="right" vertical="center"/>
    </xf>
    <xf numFmtId="0" fontId="18" fillId="0" borderId="1" xfId="0" applyFont="1" applyBorder="1" applyAlignment="1" applyProtection="1">
      <alignment horizontal="left" vertical="center"/>
      <protection locked="0"/>
    </xf>
    <xf numFmtId="165" fontId="18" fillId="0" borderId="1" xfId="0" applyNumberFormat="1" applyFont="1" applyBorder="1" applyAlignment="1" applyProtection="1">
      <alignment horizontal="lef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175" fontId="19" fillId="0" borderId="1" xfId="0" applyNumberFormat="1" applyFont="1" applyBorder="1" applyAlignment="1">
      <alignment horizontal="right" vertical="center"/>
    </xf>
    <xf numFmtId="174" fontId="19" fillId="0" borderId="1" xfId="0" applyNumberFormat="1" applyFont="1" applyBorder="1" applyAlignment="1">
      <alignment horizontal="left" vertical="center"/>
    </xf>
    <xf numFmtId="0" fontId="19" fillId="0" borderId="14" xfId="0" applyFont="1" applyBorder="1" applyAlignment="1" applyProtection="1">
      <alignment horizontal="left" vertical="center"/>
      <protection locked="0"/>
    </xf>
    <xf numFmtId="0" fontId="19" fillId="0" borderId="25" xfId="0" applyFont="1" applyBorder="1" applyAlignment="1">
      <alignment horizontal="left" vertical="center" indent="1"/>
    </xf>
    <xf numFmtId="0" fontId="19" fillId="0" borderId="2" xfId="0" applyFont="1" applyBorder="1" applyAlignment="1">
      <alignment horizontal="right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 applyProtection="1">
      <alignment horizontal="left" vertical="center"/>
      <protection locked="0"/>
    </xf>
    <xf numFmtId="173" fontId="19" fillId="0" borderId="1" xfId="0" applyNumberFormat="1" applyFont="1" applyBorder="1" applyAlignment="1">
      <alignment horizontal="center" vertical="center"/>
    </xf>
    <xf numFmtId="173" fontId="19" fillId="0" borderId="1" xfId="0" applyNumberFormat="1" applyFont="1" applyBorder="1" applyAlignment="1">
      <alignment vertical="center"/>
    </xf>
    <xf numFmtId="173" fontId="19" fillId="0" borderId="39" xfId="0" applyNumberFormat="1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39" xfId="0" applyFont="1" applyBorder="1" applyAlignment="1">
      <alignment horizontal="left" vertical="center"/>
    </xf>
    <xf numFmtId="0" fontId="19" fillId="0" borderId="22" xfId="0" applyFont="1" applyBorder="1" applyAlignment="1">
      <alignment horizontal="right" vertical="top"/>
    </xf>
    <xf numFmtId="0" fontId="26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right" vertical="top"/>
    </xf>
    <xf numFmtId="0" fontId="40" fillId="0" borderId="0" xfId="3" applyAlignment="1">
      <alignment horizontal="center" vertical="center"/>
    </xf>
    <xf numFmtId="0" fontId="19" fillId="0" borderId="82" xfId="0" applyFont="1" applyBorder="1" applyAlignment="1">
      <alignment horizontal="right" vertical="center"/>
    </xf>
    <xf numFmtId="0" fontId="19" fillId="0" borderId="82" xfId="0" applyFont="1" applyBorder="1" applyAlignment="1">
      <alignment horizontal="center" vertical="center"/>
    </xf>
    <xf numFmtId="0" fontId="19" fillId="0" borderId="82" xfId="0" applyFont="1" applyBorder="1" applyAlignment="1">
      <alignment horizontal="left" vertical="center"/>
    </xf>
    <xf numFmtId="0" fontId="16" fillId="0" borderId="58" xfId="0" applyFont="1" applyBorder="1" applyAlignment="1">
      <alignment vertical="center"/>
    </xf>
    <xf numFmtId="0" fontId="63" fillId="0" borderId="0" xfId="3" applyFont="1"/>
    <xf numFmtId="0" fontId="4" fillId="0" borderId="0" xfId="3" applyFont="1"/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/>
    </xf>
    <xf numFmtId="0" fontId="4" fillId="10" borderId="51" xfId="3" applyFont="1" applyFill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2" fontId="4" fillId="0" borderId="0" xfId="3" applyNumberFormat="1" applyFont="1"/>
    <xf numFmtId="0" fontId="43" fillId="0" borderId="0" xfId="3" applyFont="1" applyAlignment="1">
      <alignment horizontal="right" vertical="center"/>
    </xf>
    <xf numFmtId="2" fontId="43" fillId="0" borderId="0" xfId="3" applyNumberFormat="1" applyFont="1" applyAlignment="1">
      <alignment horizontal="right"/>
    </xf>
    <xf numFmtId="2" fontId="43" fillId="0" borderId="0" xfId="3" applyNumberFormat="1" applyFont="1" applyAlignment="1">
      <alignment horizontal="center" vertical="center"/>
    </xf>
    <xf numFmtId="0" fontId="43" fillId="0" borderId="0" xfId="3" applyFont="1" applyAlignment="1">
      <alignment horizontal="right"/>
    </xf>
    <xf numFmtId="0" fontId="4" fillId="10" borderId="0" xfId="3" applyFont="1" applyFill="1"/>
    <xf numFmtId="0" fontId="65" fillId="10" borderId="0" xfId="3" applyFont="1" applyFill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0" fontId="62" fillId="0" borderId="0" xfId="3" applyFont="1" applyAlignment="1">
      <alignment horizontal="center" vertical="center"/>
    </xf>
    <xf numFmtId="0" fontId="65" fillId="0" borderId="0" xfId="3" applyFont="1" applyAlignment="1">
      <alignment horizontal="center" vertical="center"/>
    </xf>
    <xf numFmtId="183" fontId="13" fillId="0" borderId="0" xfId="3" applyNumberFormat="1" applyFont="1" applyAlignment="1">
      <alignment horizontal="center" vertical="center"/>
    </xf>
    <xf numFmtId="170" fontId="65" fillId="10" borderId="0" xfId="9" applyNumberFormat="1" applyFont="1" applyFill="1" applyBorder="1" applyAlignment="1">
      <alignment vertical="center"/>
    </xf>
    <xf numFmtId="170" fontId="62" fillId="0" borderId="0" xfId="9" applyNumberFormat="1" applyFont="1" applyFill="1" applyBorder="1" applyAlignment="1">
      <alignment vertical="center"/>
    </xf>
    <xf numFmtId="0" fontId="14" fillId="0" borderId="0" xfId="3" applyFont="1" applyAlignment="1">
      <alignment vertical="center"/>
    </xf>
    <xf numFmtId="1" fontId="70" fillId="10" borderId="62" xfId="3" applyNumberFormat="1" applyFont="1" applyFill="1" applyBorder="1" applyAlignment="1" applyProtection="1">
      <alignment horizontal="center" vertical="center"/>
      <protection locked="0"/>
    </xf>
    <xf numFmtId="0" fontId="74" fillId="0" borderId="0" xfId="3" applyFont="1" applyAlignment="1">
      <alignment horizontal="right" vertical="center"/>
    </xf>
    <xf numFmtId="0" fontId="74" fillId="0" borderId="0" xfId="3" applyFont="1" applyAlignment="1">
      <alignment vertical="center"/>
    </xf>
    <xf numFmtId="181" fontId="71" fillId="6" borderId="74" xfId="3" applyNumberFormat="1" applyFont="1" applyFill="1" applyBorder="1" applyAlignment="1">
      <alignment horizontal="center" vertical="center" wrapText="1"/>
    </xf>
    <xf numFmtId="0" fontId="50" fillId="0" borderId="0" xfId="3" applyFont="1" applyAlignment="1">
      <alignment vertical="center"/>
    </xf>
    <xf numFmtId="15" fontId="13" fillId="0" borderId="0" xfId="3" applyNumberFormat="1" applyFont="1" applyAlignment="1">
      <alignment horizontal="center"/>
    </xf>
    <xf numFmtId="0" fontId="11" fillId="0" borderId="0" xfId="3" applyFont="1" applyAlignment="1">
      <alignment horizontal="right"/>
    </xf>
    <xf numFmtId="0" fontId="76" fillId="0" borderId="0" xfId="3" applyFont="1" applyAlignment="1">
      <alignment horizontal="center" vertical="center"/>
    </xf>
    <xf numFmtId="4" fontId="62" fillId="0" borderId="0" xfId="3" applyNumberFormat="1" applyFont="1" applyAlignment="1">
      <alignment horizontal="center" vertical="center"/>
    </xf>
    <xf numFmtId="0" fontId="78" fillId="14" borderId="62" xfId="3" applyFont="1" applyFill="1" applyBorder="1" applyAlignment="1">
      <alignment horizontal="center" vertical="center" wrapText="1"/>
    </xf>
    <xf numFmtId="2" fontId="43" fillId="13" borderId="0" xfId="3" applyNumberFormat="1" applyFont="1" applyFill="1" applyAlignment="1">
      <alignment vertical="center"/>
    </xf>
    <xf numFmtId="0" fontId="79" fillId="10" borderId="71" xfId="3" applyFont="1" applyFill="1" applyBorder="1" applyAlignment="1">
      <alignment horizontal="center" vertical="center"/>
    </xf>
    <xf numFmtId="0" fontId="79" fillId="10" borderId="59" xfId="3" applyFont="1" applyFill="1" applyBorder="1" applyAlignment="1">
      <alignment horizontal="center" vertical="center"/>
    </xf>
    <xf numFmtId="0" fontId="55" fillId="0" borderId="62" xfId="3" applyFont="1" applyBorder="1" applyAlignment="1">
      <alignment horizontal="center" vertical="center"/>
    </xf>
    <xf numFmtId="170" fontId="55" fillId="0" borderId="62" xfId="9" applyNumberFormat="1" applyFont="1" applyFill="1" applyBorder="1" applyAlignment="1">
      <alignment vertical="center"/>
    </xf>
    <xf numFmtId="0" fontId="79" fillId="10" borderId="60" xfId="3" applyFont="1" applyFill="1" applyBorder="1" applyAlignment="1">
      <alignment horizontal="center" vertical="center"/>
    </xf>
    <xf numFmtId="0" fontId="79" fillId="10" borderId="62" xfId="3" applyFont="1" applyFill="1" applyBorder="1" applyAlignment="1">
      <alignment horizontal="center" vertical="center"/>
    </xf>
    <xf numFmtId="0" fontId="79" fillId="0" borderId="59" xfId="3" applyFont="1" applyBorder="1" applyAlignment="1">
      <alignment horizontal="center" vertical="center"/>
    </xf>
    <xf numFmtId="170" fontId="82" fillId="10" borderId="62" xfId="9" applyNumberFormat="1" applyFont="1" applyFill="1" applyBorder="1" applyAlignment="1">
      <alignment vertical="center"/>
    </xf>
    <xf numFmtId="0" fontId="79" fillId="0" borderId="60" xfId="3" applyFont="1" applyBorder="1" applyAlignment="1">
      <alignment horizontal="center" vertical="center"/>
    </xf>
    <xf numFmtId="170" fontId="82" fillId="0" borderId="62" xfId="9" applyNumberFormat="1" applyFont="1" applyFill="1" applyBorder="1" applyAlignment="1">
      <alignment vertical="center"/>
    </xf>
    <xf numFmtId="0" fontId="55" fillId="0" borderId="59" xfId="3" applyFont="1" applyBorder="1" applyAlignment="1">
      <alignment horizontal="center" vertical="center"/>
    </xf>
    <xf numFmtId="1" fontId="79" fillId="10" borderId="62" xfId="3" applyNumberFormat="1" applyFont="1" applyFill="1" applyBorder="1" applyAlignment="1">
      <alignment horizontal="center" vertical="center"/>
    </xf>
    <xf numFmtId="0" fontId="80" fillId="10" borderId="71" xfId="3" applyFont="1" applyFill="1" applyBorder="1" applyAlignment="1">
      <alignment horizontal="center" vertical="center"/>
    </xf>
    <xf numFmtId="0" fontId="80" fillId="10" borderId="59" xfId="3" applyFont="1" applyFill="1" applyBorder="1" applyAlignment="1">
      <alignment horizontal="center" vertical="center"/>
    </xf>
    <xf numFmtId="0" fontId="80" fillId="10" borderId="74" xfId="3" applyFont="1" applyFill="1" applyBorder="1" applyAlignment="1">
      <alignment horizontal="center" vertical="center"/>
    </xf>
    <xf numFmtId="170" fontId="80" fillId="0" borderId="62" xfId="9" applyNumberFormat="1" applyFont="1" applyFill="1" applyBorder="1" applyAlignment="1">
      <alignment vertical="center"/>
    </xf>
    <xf numFmtId="2" fontId="80" fillId="10" borderId="62" xfId="3" applyNumberFormat="1" applyFont="1" applyFill="1" applyBorder="1" applyAlignment="1">
      <alignment horizontal="center" vertical="center"/>
    </xf>
    <xf numFmtId="186" fontId="80" fillId="10" borderId="70" xfId="3" applyNumberFormat="1" applyFont="1" applyFill="1" applyBorder="1" applyAlignment="1">
      <alignment horizontal="center" vertical="center"/>
    </xf>
    <xf numFmtId="0" fontId="80" fillId="0" borderId="59" xfId="3" applyFont="1" applyBorder="1" applyAlignment="1">
      <alignment horizontal="center" vertical="center"/>
    </xf>
    <xf numFmtId="0" fontId="80" fillId="0" borderId="74" xfId="3" applyFont="1" applyBorder="1" applyAlignment="1">
      <alignment horizontal="center" vertical="center"/>
    </xf>
    <xf numFmtId="0" fontId="80" fillId="0" borderId="60" xfId="3" applyFont="1" applyBorder="1" applyAlignment="1">
      <alignment horizontal="center" vertical="center"/>
    </xf>
    <xf numFmtId="0" fontId="85" fillId="10" borderId="74" xfId="3" applyFont="1" applyFill="1" applyBorder="1" applyAlignment="1">
      <alignment horizontal="center" vertical="center"/>
    </xf>
    <xf numFmtId="0" fontId="85" fillId="0" borderId="74" xfId="3" applyFont="1" applyBorder="1" applyAlignment="1">
      <alignment horizontal="center" vertical="center"/>
    </xf>
    <xf numFmtId="170" fontId="80" fillId="10" borderId="62" xfId="9" applyNumberFormat="1" applyFont="1" applyFill="1" applyBorder="1" applyAlignment="1">
      <alignment vertical="center"/>
    </xf>
    <xf numFmtId="186" fontId="80" fillId="10" borderId="62" xfId="3" applyNumberFormat="1" applyFont="1" applyFill="1" applyBorder="1" applyAlignment="1">
      <alignment horizontal="center" vertical="center"/>
    </xf>
    <xf numFmtId="4" fontId="87" fillId="10" borderId="50" xfId="3" applyNumberFormat="1" applyFont="1" applyFill="1" applyBorder="1" applyAlignment="1">
      <alignment horizontal="center" vertical="center"/>
    </xf>
    <xf numFmtId="2" fontId="88" fillId="10" borderId="91" xfId="3" applyNumberFormat="1" applyFont="1" applyFill="1" applyBorder="1" applyAlignment="1">
      <alignment horizontal="center" vertical="center" wrapText="1"/>
    </xf>
    <xf numFmtId="0" fontId="89" fillId="0" borderId="38" xfId="3" applyFont="1" applyBorder="1" applyAlignment="1">
      <alignment horizontal="right" vertical="center"/>
    </xf>
    <xf numFmtId="0" fontId="89" fillId="0" borderId="62" xfId="3" applyFont="1" applyBorder="1" applyAlignment="1">
      <alignment horizontal="center" vertical="center"/>
    </xf>
    <xf numFmtId="168" fontId="89" fillId="0" borderId="62" xfId="3" applyNumberFormat="1" applyFont="1" applyBorder="1" applyAlignment="1">
      <alignment horizontal="center" vertical="center"/>
    </xf>
    <xf numFmtId="2" fontId="55" fillId="0" borderId="62" xfId="3" applyNumberFormat="1" applyFont="1" applyBorder="1" applyAlignment="1">
      <alignment horizontal="center" vertical="center"/>
    </xf>
    <xf numFmtId="2" fontId="87" fillId="0" borderId="50" xfId="3" applyNumberFormat="1" applyFont="1" applyBorder="1" applyAlignment="1">
      <alignment horizontal="center" vertical="center"/>
    </xf>
    <xf numFmtId="2" fontId="55" fillId="0" borderId="91" xfId="3" applyNumberFormat="1" applyFont="1" applyBorder="1" applyAlignment="1">
      <alignment horizontal="center" vertical="center"/>
    </xf>
    <xf numFmtId="2" fontId="87" fillId="0" borderId="37" xfId="3" applyNumberFormat="1" applyFont="1" applyBorder="1" applyAlignment="1">
      <alignment horizontal="center" vertical="center"/>
    </xf>
    <xf numFmtId="2" fontId="55" fillId="0" borderId="21" xfId="3" applyNumberFormat="1" applyFont="1" applyBorder="1" applyAlignment="1">
      <alignment horizontal="center" vertical="center"/>
    </xf>
    <xf numFmtId="0" fontId="89" fillId="10" borderId="38" xfId="3" applyFont="1" applyFill="1" applyBorder="1" applyAlignment="1">
      <alignment horizontal="right" vertical="center"/>
    </xf>
    <xf numFmtId="0" fontId="89" fillId="10" borderId="37" xfId="3" applyFont="1" applyFill="1" applyBorder="1" applyAlignment="1">
      <alignment horizontal="right" vertical="center"/>
    </xf>
    <xf numFmtId="4" fontId="91" fillId="10" borderId="37" xfId="3" applyNumberFormat="1" applyFont="1" applyFill="1" applyBorder="1" applyAlignment="1">
      <alignment horizontal="center" vertical="center"/>
    </xf>
    <xf numFmtId="2" fontId="88" fillId="10" borderId="21" xfId="3" applyNumberFormat="1" applyFont="1" applyFill="1" applyBorder="1" applyAlignment="1">
      <alignment horizontal="center" vertical="center"/>
    </xf>
    <xf numFmtId="0" fontId="79" fillId="10" borderId="69" xfId="3" applyFont="1" applyFill="1" applyBorder="1" applyAlignment="1">
      <alignment horizontal="center" vertical="center"/>
    </xf>
    <xf numFmtId="2" fontId="79" fillId="10" borderId="60" xfId="3" applyNumberFormat="1" applyFont="1" applyFill="1" applyBorder="1" applyAlignment="1">
      <alignment horizontal="center" vertical="center"/>
    </xf>
    <xf numFmtId="4" fontId="79" fillId="10" borderId="62" xfId="3" applyNumberFormat="1" applyFont="1" applyFill="1" applyBorder="1" applyAlignment="1">
      <alignment horizontal="center" vertical="center"/>
    </xf>
    <xf numFmtId="4" fontId="79" fillId="10" borderId="63" xfId="3" applyNumberFormat="1" applyFont="1" applyFill="1" applyBorder="1" applyAlignment="1">
      <alignment horizontal="center" vertical="center"/>
    </xf>
    <xf numFmtId="0" fontId="81" fillId="10" borderId="62" xfId="3" applyFont="1" applyFill="1" applyBorder="1" applyAlignment="1">
      <alignment horizontal="center" vertical="center"/>
    </xf>
    <xf numFmtId="4" fontId="88" fillId="10" borderId="50" xfId="3" applyNumberFormat="1" applyFont="1" applyFill="1" applyBorder="1" applyAlignment="1">
      <alignment horizontal="center" vertical="center"/>
    </xf>
    <xf numFmtId="4" fontId="87" fillId="6" borderId="91" xfId="3" applyNumberFormat="1" applyFont="1" applyFill="1" applyBorder="1" applyAlignment="1">
      <alignment horizontal="center" vertical="center"/>
    </xf>
    <xf numFmtId="170" fontId="55" fillId="10" borderId="62" xfId="9" applyNumberFormat="1" applyFont="1" applyFill="1" applyBorder="1" applyAlignment="1">
      <alignment vertical="top"/>
    </xf>
    <xf numFmtId="4" fontId="79" fillId="10" borderId="75" xfId="3" applyNumberFormat="1" applyFont="1" applyFill="1" applyBorder="1" applyAlignment="1">
      <alignment horizontal="center" vertical="center"/>
    </xf>
    <xf numFmtId="4" fontId="79" fillId="0" borderId="70" xfId="3" applyNumberFormat="1" applyFont="1" applyBorder="1" applyAlignment="1">
      <alignment horizontal="center" vertical="center"/>
    </xf>
    <xf numFmtId="1" fontId="79" fillId="0" borderId="62" xfId="3" applyNumberFormat="1" applyFont="1" applyBorder="1" applyAlignment="1">
      <alignment horizontal="center" vertical="center"/>
    </xf>
    <xf numFmtId="0" fontId="55" fillId="0" borderId="90" xfId="3" applyFont="1" applyBorder="1" applyAlignment="1">
      <alignment horizontal="center" vertical="center"/>
    </xf>
    <xf numFmtId="1" fontId="79" fillId="0" borderId="76" xfId="3" applyNumberFormat="1" applyFont="1" applyBorder="1" applyAlignment="1">
      <alignment horizontal="center" vertical="center"/>
    </xf>
    <xf numFmtId="4" fontId="79" fillId="10" borderId="76" xfId="3" applyNumberFormat="1" applyFont="1" applyFill="1" applyBorder="1" applyAlignment="1">
      <alignment horizontal="center" vertical="center"/>
    </xf>
    <xf numFmtId="4" fontId="79" fillId="0" borderId="62" xfId="3" applyNumberFormat="1" applyFont="1" applyBorder="1" applyAlignment="1">
      <alignment horizontal="center" vertical="center"/>
    </xf>
    <xf numFmtId="4" fontId="87" fillId="6" borderId="89" xfId="3" applyNumberFormat="1" applyFont="1" applyFill="1" applyBorder="1" applyAlignment="1">
      <alignment horizontal="center" vertical="center"/>
    </xf>
    <xf numFmtId="0" fontId="91" fillId="10" borderId="67" xfId="3" applyFont="1" applyFill="1" applyBorder="1" applyAlignment="1">
      <alignment horizontal="center" vertical="center"/>
    </xf>
    <xf numFmtId="0" fontId="91" fillId="10" borderId="66" xfId="3" applyFont="1" applyFill="1" applyBorder="1" applyAlignment="1">
      <alignment horizontal="center" vertical="center"/>
    </xf>
    <xf numFmtId="4" fontId="91" fillId="6" borderId="23" xfId="3" applyNumberFormat="1" applyFont="1" applyFill="1" applyBorder="1" applyAlignment="1">
      <alignment horizontal="center" vertical="center"/>
    </xf>
    <xf numFmtId="4" fontId="87" fillId="6" borderId="86" xfId="3" applyNumberFormat="1" applyFont="1" applyFill="1" applyBorder="1" applyAlignment="1">
      <alignment horizontal="center" vertical="center"/>
    </xf>
    <xf numFmtId="4" fontId="91" fillId="6" borderId="36" xfId="3" applyNumberFormat="1" applyFont="1" applyFill="1" applyBorder="1" applyAlignment="1">
      <alignment horizontal="center" vertical="center"/>
    </xf>
    <xf numFmtId="4" fontId="90" fillId="12" borderId="77" xfId="3" applyNumberFormat="1" applyFont="1" applyFill="1" applyBorder="1" applyAlignment="1">
      <alignment horizontal="center" vertical="center"/>
    </xf>
    <xf numFmtId="4" fontId="61" fillId="10" borderId="81" xfId="3" applyNumberFormat="1" applyFont="1" applyFill="1" applyBorder="1" applyAlignment="1">
      <alignment horizontal="center" vertical="center"/>
    </xf>
    <xf numFmtId="1" fontId="82" fillId="0" borderId="62" xfId="3" applyNumberFormat="1" applyFont="1" applyBorder="1" applyAlignment="1">
      <alignment horizontal="center" vertical="center"/>
    </xf>
    <xf numFmtId="2" fontId="82" fillId="10" borderId="62" xfId="3" applyNumberFormat="1" applyFont="1" applyFill="1" applyBorder="1" applyAlignment="1">
      <alignment horizontal="center" vertical="center"/>
    </xf>
    <xf numFmtId="170" fontId="55" fillId="0" borderId="74" xfId="9" applyNumberFormat="1" applyFont="1" applyFill="1" applyBorder="1" applyAlignment="1">
      <alignment vertical="center"/>
    </xf>
    <xf numFmtId="0" fontId="83" fillId="0" borderId="0" xfId="3" applyFont="1" applyAlignment="1">
      <alignment horizontal="center" vertical="center"/>
    </xf>
    <xf numFmtId="168" fontId="86" fillId="12" borderId="86" xfId="3" applyNumberFormat="1" applyFont="1" applyFill="1" applyBorder="1" applyAlignment="1">
      <alignment horizontal="center" vertical="center"/>
    </xf>
    <xf numFmtId="4" fontId="86" fillId="0" borderId="89" xfId="3" applyNumberFormat="1" applyFont="1" applyBorder="1" applyAlignment="1">
      <alignment horizontal="center" vertical="center"/>
    </xf>
    <xf numFmtId="0" fontId="79" fillId="0" borderId="0" xfId="3" applyFont="1"/>
    <xf numFmtId="2" fontId="79" fillId="0" borderId="0" xfId="3" applyNumberFormat="1" applyFont="1"/>
    <xf numFmtId="0" fontId="94" fillId="0" borderId="0" xfId="3" applyFont="1" applyAlignment="1">
      <alignment horizontal="center"/>
    </xf>
    <xf numFmtId="0" fontId="79" fillId="0" borderId="0" xfId="3" applyFont="1" applyAlignment="1">
      <alignment horizontal="right" vertical="center"/>
    </xf>
    <xf numFmtId="0" fontId="96" fillId="0" borderId="0" xfId="3" applyFont="1" applyAlignment="1">
      <alignment horizontal="center"/>
    </xf>
    <xf numFmtId="170" fontId="92" fillId="10" borderId="62" xfId="9" applyNumberFormat="1" applyFont="1" applyFill="1" applyBorder="1" applyAlignment="1">
      <alignment vertical="center"/>
    </xf>
    <xf numFmtId="2" fontId="92" fillId="10" borderId="62" xfId="3" applyNumberFormat="1" applyFont="1" applyFill="1" applyBorder="1" applyAlignment="1">
      <alignment horizontal="center" vertical="center"/>
    </xf>
    <xf numFmtId="0" fontId="98" fillId="10" borderId="62" xfId="3" applyFont="1" applyFill="1" applyBorder="1" applyAlignment="1">
      <alignment horizontal="center" vertical="center"/>
    </xf>
    <xf numFmtId="181" fontId="71" fillId="6" borderId="62" xfId="3" applyNumberFormat="1" applyFont="1" applyFill="1" applyBorder="1" applyAlignment="1">
      <alignment horizontal="center" vertical="center" wrapText="1"/>
    </xf>
    <xf numFmtId="0" fontId="62" fillId="0" borderId="0" xfId="3" applyFont="1" applyAlignment="1">
      <alignment horizontal="center" vertical="center" wrapText="1"/>
    </xf>
    <xf numFmtId="17" fontId="100" fillId="0" borderId="62" xfId="0" applyNumberFormat="1" applyFont="1" applyBorder="1" applyAlignment="1">
      <alignment horizontal="center" vertical="center" wrapText="1"/>
    </xf>
    <xf numFmtId="0" fontId="67" fillId="0" borderId="62" xfId="3" applyFont="1" applyBorder="1" applyAlignment="1" applyProtection="1">
      <alignment horizontal="left" vertical="center"/>
      <protection locked="0"/>
    </xf>
    <xf numFmtId="0" fontId="80" fillId="0" borderId="62" xfId="3" applyFont="1" applyBorder="1" applyAlignment="1">
      <alignment horizontal="center" vertical="center"/>
    </xf>
    <xf numFmtId="0" fontId="80" fillId="10" borderId="62" xfId="3" applyFont="1" applyFill="1" applyBorder="1" applyAlignment="1">
      <alignment horizontal="center" vertical="center"/>
    </xf>
    <xf numFmtId="0" fontId="101" fillId="10" borderId="69" xfId="3" applyFont="1" applyFill="1" applyBorder="1" applyAlignment="1">
      <alignment horizontal="center" vertical="center"/>
    </xf>
    <xf numFmtId="0" fontId="103" fillId="10" borderId="62" xfId="3" applyFont="1" applyFill="1" applyBorder="1" applyAlignment="1">
      <alignment horizontal="center" vertical="center" wrapText="1"/>
    </xf>
    <xf numFmtId="0" fontId="67" fillId="0" borderId="62" xfId="4" applyFont="1" applyBorder="1" applyAlignment="1">
      <alignment vertical="center" wrapText="1"/>
    </xf>
    <xf numFmtId="0" fontId="9" fillId="0" borderId="96" xfId="3" applyFont="1" applyBorder="1" applyAlignment="1">
      <alignment horizontal="center" vertical="center"/>
    </xf>
    <xf numFmtId="1" fontId="70" fillId="10" borderId="97" xfId="3" applyNumberFormat="1" applyFont="1" applyFill="1" applyBorder="1" applyAlignment="1" applyProtection="1">
      <alignment horizontal="center" vertical="center"/>
      <protection locked="0"/>
    </xf>
    <xf numFmtId="0" fontId="9" fillId="0" borderId="99" xfId="3" applyFont="1" applyBorder="1" applyAlignment="1">
      <alignment horizontal="center" vertical="center"/>
    </xf>
    <xf numFmtId="0" fontId="9" fillId="0" borderId="101" xfId="3" applyFont="1" applyBorder="1" applyAlignment="1">
      <alignment horizontal="center" vertical="center"/>
    </xf>
    <xf numFmtId="17" fontId="100" fillId="0" borderId="102" xfId="0" applyNumberFormat="1" applyFont="1" applyBorder="1" applyAlignment="1">
      <alignment horizontal="center" vertical="center" wrapText="1"/>
    </xf>
    <xf numFmtId="1" fontId="70" fillId="10" borderId="102" xfId="3" applyNumberFormat="1" applyFont="1" applyFill="1" applyBorder="1" applyAlignment="1" applyProtection="1">
      <alignment horizontal="center" vertical="center"/>
      <protection locked="0"/>
    </xf>
    <xf numFmtId="0" fontId="37" fillId="0" borderId="102" xfId="3" applyFont="1" applyBorder="1" applyAlignment="1">
      <alignment horizontal="center" vertical="center"/>
    </xf>
    <xf numFmtId="0" fontId="5" fillId="0" borderId="102" xfId="3" applyFont="1" applyBorder="1" applyAlignment="1">
      <alignment horizontal="center" vertical="center"/>
    </xf>
    <xf numFmtId="1" fontId="70" fillId="0" borderId="102" xfId="3" applyNumberFormat="1" applyFont="1" applyBorder="1" applyAlignment="1" applyProtection="1">
      <alignment horizontal="center" vertical="center"/>
      <protection locked="0"/>
    </xf>
    <xf numFmtId="181" fontId="71" fillId="6" borderId="97" xfId="3" applyNumberFormat="1" applyFont="1" applyFill="1" applyBorder="1" applyAlignment="1">
      <alignment horizontal="center" vertical="center" wrapText="1"/>
    </xf>
    <xf numFmtId="0" fontId="38" fillId="0" borderId="98" xfId="3" applyFont="1" applyBorder="1" applyAlignment="1">
      <alignment horizontal="center" vertical="center"/>
    </xf>
    <xf numFmtId="0" fontId="38" fillId="0" borderId="100" xfId="3" applyFont="1" applyBorder="1" applyAlignment="1">
      <alignment horizontal="center" vertical="center"/>
    </xf>
    <xf numFmtId="181" fontId="71" fillId="6" borderId="102" xfId="3" applyNumberFormat="1" applyFont="1" applyFill="1" applyBorder="1" applyAlignment="1">
      <alignment horizontal="center" vertical="center" wrapText="1"/>
    </xf>
    <xf numFmtId="0" fontId="38" fillId="0" borderId="103" xfId="3" applyFont="1" applyBorder="1" applyAlignment="1">
      <alignment horizontal="center" vertical="center"/>
    </xf>
    <xf numFmtId="0" fontId="9" fillId="0" borderId="104" xfId="3" applyFont="1" applyBorder="1" applyAlignment="1">
      <alignment horizontal="center" vertical="center"/>
    </xf>
    <xf numFmtId="0" fontId="67" fillId="0" borderId="74" xfId="4" applyFont="1" applyBorder="1" applyAlignment="1">
      <alignment vertical="center" wrapText="1"/>
    </xf>
    <xf numFmtId="17" fontId="100" fillId="0" borderId="74" xfId="0" applyNumberFormat="1" applyFont="1" applyBorder="1" applyAlignment="1">
      <alignment horizontal="center" vertical="center" wrapText="1"/>
    </xf>
    <xf numFmtId="1" fontId="70" fillId="10" borderId="74" xfId="3" applyNumberFormat="1" applyFont="1" applyFill="1" applyBorder="1" applyAlignment="1" applyProtection="1">
      <alignment horizontal="center" vertical="center"/>
      <protection locked="0"/>
    </xf>
    <xf numFmtId="0" fontId="38" fillId="0" borderId="105" xfId="3" applyFont="1" applyBorder="1" applyAlignment="1">
      <alignment horizontal="center" vertical="center"/>
    </xf>
    <xf numFmtId="0" fontId="5" fillId="9" borderId="97" xfId="3" applyFont="1" applyFill="1" applyBorder="1" applyAlignment="1">
      <alignment horizontal="center" vertical="center" wrapText="1"/>
    </xf>
    <xf numFmtId="2" fontId="68" fillId="0" borderId="102" xfId="3" applyNumberFormat="1" applyFont="1" applyBorder="1" applyAlignment="1">
      <alignment horizontal="center" vertical="center" wrapText="1"/>
    </xf>
    <xf numFmtId="181" fontId="72" fillId="6" borderId="102" xfId="3" applyNumberFormat="1" applyFont="1" applyFill="1" applyBorder="1" applyAlignment="1">
      <alignment horizontal="center" vertical="center"/>
    </xf>
    <xf numFmtId="4" fontId="73" fillId="6" borderId="87" xfId="3" applyNumberFormat="1" applyFont="1" applyFill="1" applyBorder="1" applyAlignment="1">
      <alignment horizontal="right" vertical="center"/>
    </xf>
    <xf numFmtId="4" fontId="73" fillId="6" borderId="83" xfId="3" applyNumberFormat="1" applyFont="1" applyFill="1" applyBorder="1" applyAlignment="1">
      <alignment horizontal="right" vertical="center"/>
    </xf>
    <xf numFmtId="4" fontId="73" fillId="6" borderId="83" xfId="3" applyNumberFormat="1" applyFont="1" applyFill="1" applyBorder="1" applyAlignment="1">
      <alignment vertical="center"/>
    </xf>
    <xf numFmtId="4" fontId="73" fillId="6" borderId="88" xfId="3" applyNumberFormat="1" applyFont="1" applyFill="1" applyBorder="1" applyAlignment="1">
      <alignment vertical="center"/>
    </xf>
    <xf numFmtId="181" fontId="69" fillId="6" borderId="86" xfId="3" applyNumberFormat="1" applyFont="1" applyFill="1" applyBorder="1" applyAlignment="1">
      <alignment vertical="center"/>
    </xf>
    <xf numFmtId="0" fontId="104" fillId="0" borderId="97" xfId="0" applyFont="1" applyBorder="1" applyAlignment="1">
      <alignment vertical="center" wrapText="1"/>
    </xf>
    <xf numFmtId="0" fontId="104" fillId="0" borderId="62" xfId="0" applyFont="1" applyBorder="1" applyAlignment="1">
      <alignment vertical="center" wrapText="1"/>
    </xf>
    <xf numFmtId="189" fontId="82" fillId="10" borderId="62" xfId="9" applyNumberFormat="1" applyFont="1" applyFill="1" applyBorder="1" applyAlignment="1">
      <alignment vertical="center"/>
    </xf>
    <xf numFmtId="0" fontId="101" fillId="10" borderId="74" xfId="3" applyFont="1" applyFill="1" applyBorder="1" applyAlignment="1">
      <alignment horizontal="center" vertical="center"/>
    </xf>
    <xf numFmtId="170" fontId="101" fillId="10" borderId="62" xfId="9" applyNumberFormat="1" applyFont="1" applyFill="1" applyBorder="1" applyAlignment="1">
      <alignment vertical="center"/>
    </xf>
    <xf numFmtId="2" fontId="101" fillId="10" borderId="62" xfId="3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65" fillId="10" borderId="0" xfId="3" applyFont="1" applyFill="1" applyAlignment="1">
      <alignment horizontal="center" vertical="center"/>
    </xf>
    <xf numFmtId="0" fontId="80" fillId="0" borderId="60" xfId="3" applyFont="1" applyBorder="1" applyAlignment="1">
      <alignment horizontal="left" vertical="center" wrapText="1"/>
    </xf>
    <xf numFmtId="0" fontId="80" fillId="0" borderId="61" xfId="3" applyFont="1" applyBorder="1" applyAlignment="1">
      <alignment horizontal="left" vertical="center" wrapText="1"/>
    </xf>
    <xf numFmtId="0" fontId="79" fillId="10" borderId="60" xfId="3" applyFont="1" applyFill="1" applyBorder="1" applyAlignment="1">
      <alignment horizontal="center" vertical="center" wrapText="1"/>
    </xf>
    <xf numFmtId="0" fontId="79" fillId="10" borderId="61" xfId="3" applyFont="1" applyFill="1" applyBorder="1" applyAlignment="1">
      <alignment horizontal="center" vertical="center" wrapText="1"/>
    </xf>
    <xf numFmtId="0" fontId="79" fillId="10" borderId="60" xfId="3" applyFont="1" applyFill="1" applyBorder="1" applyAlignment="1">
      <alignment horizontal="center" vertical="center"/>
    </xf>
    <xf numFmtId="0" fontId="79" fillId="10" borderId="61" xfId="3" applyFont="1" applyFill="1" applyBorder="1" applyAlignment="1">
      <alignment horizontal="center" vertical="center"/>
    </xf>
    <xf numFmtId="0" fontId="80" fillId="0" borderId="60" xfId="3" applyFont="1" applyBorder="1" applyAlignment="1">
      <alignment horizontal="center" vertical="center" wrapText="1"/>
    </xf>
    <xf numFmtId="0" fontId="80" fillId="0" borderId="61" xfId="3" applyFont="1" applyBorder="1" applyAlignment="1">
      <alignment horizontal="center" vertical="center" wrapText="1"/>
    </xf>
    <xf numFmtId="0" fontId="80" fillId="0" borderId="62" xfId="3" applyFont="1" applyBorder="1" applyAlignment="1">
      <alignment horizontal="center" vertical="center"/>
    </xf>
    <xf numFmtId="0" fontId="84" fillId="10" borderId="62" xfId="3" applyFont="1" applyFill="1" applyBorder="1" applyAlignment="1">
      <alignment horizontal="center" vertical="center"/>
    </xf>
    <xf numFmtId="0" fontId="80" fillId="10" borderId="62" xfId="3" applyFont="1" applyFill="1" applyBorder="1" applyAlignment="1">
      <alignment horizontal="center" vertical="center"/>
    </xf>
    <xf numFmtId="0" fontId="93" fillId="10" borderId="62" xfId="3" applyFont="1" applyFill="1" applyBorder="1" applyAlignment="1">
      <alignment horizontal="center" vertical="center" wrapText="1"/>
    </xf>
    <xf numFmtId="0" fontId="91" fillId="0" borderId="34" xfId="3" applyFont="1" applyBorder="1" applyAlignment="1">
      <alignment horizontal="right" vertical="center"/>
    </xf>
    <xf numFmtId="0" fontId="91" fillId="0" borderId="35" xfId="3" applyFont="1" applyBorder="1" applyAlignment="1">
      <alignment horizontal="right" vertical="center"/>
    </xf>
    <xf numFmtId="0" fontId="91" fillId="0" borderId="92" xfId="3" applyFont="1" applyBorder="1" applyAlignment="1">
      <alignment horizontal="right" vertical="center"/>
    </xf>
    <xf numFmtId="0" fontId="79" fillId="10" borderId="84" xfId="3" applyFont="1" applyFill="1" applyBorder="1" applyAlignment="1">
      <alignment horizontal="center" vertical="center"/>
    </xf>
    <xf numFmtId="0" fontId="79" fillId="10" borderId="85" xfId="3" applyFont="1" applyFill="1" applyBorder="1" applyAlignment="1">
      <alignment horizontal="center" vertical="center"/>
    </xf>
    <xf numFmtId="0" fontId="81" fillId="10" borderId="73" xfId="3" applyFont="1" applyFill="1" applyBorder="1" applyAlignment="1">
      <alignment horizontal="center" vertical="center"/>
    </xf>
    <xf numFmtId="0" fontId="81" fillId="10" borderId="58" xfId="3" applyFont="1" applyFill="1" applyBorder="1" applyAlignment="1">
      <alignment horizontal="center" vertical="center"/>
    </xf>
    <xf numFmtId="0" fontId="81" fillId="10" borderId="72" xfId="3" applyFont="1" applyFill="1" applyBorder="1" applyAlignment="1">
      <alignment horizontal="center" vertical="center"/>
    </xf>
    <xf numFmtId="0" fontId="65" fillId="10" borderId="0" xfId="3" applyFont="1" applyFill="1" applyAlignment="1">
      <alignment horizontal="left" vertical="center"/>
    </xf>
    <xf numFmtId="0" fontId="62" fillId="0" borderId="0" xfId="3" applyFont="1" applyAlignment="1">
      <alignment horizontal="left" vertical="center" wrapText="1"/>
    </xf>
    <xf numFmtId="0" fontId="62" fillId="0" borderId="0" xfId="3" applyFont="1" applyAlignment="1">
      <alignment horizontal="center" vertical="center"/>
    </xf>
    <xf numFmtId="0" fontId="4" fillId="0" borderId="0" xfId="3" applyFont="1" applyAlignment="1">
      <alignment horizontal="center"/>
    </xf>
    <xf numFmtId="0" fontId="94" fillId="0" borderId="0" xfId="3" applyFont="1" applyAlignment="1">
      <alignment horizontal="center"/>
    </xf>
    <xf numFmtId="0" fontId="79" fillId="10" borderId="60" xfId="3" applyFont="1" applyFill="1" applyBorder="1" applyAlignment="1">
      <alignment horizontal="left" vertical="center" wrapText="1"/>
    </xf>
    <xf numFmtId="0" fontId="79" fillId="10" borderId="61" xfId="3" applyFont="1" applyFill="1" applyBorder="1" applyAlignment="1">
      <alignment horizontal="left" vertical="center" wrapText="1"/>
    </xf>
    <xf numFmtId="0" fontId="95" fillId="0" borderId="58" xfId="3" applyFont="1" applyBorder="1" applyAlignment="1">
      <alignment horizontal="left"/>
    </xf>
    <xf numFmtId="0" fontId="97" fillId="0" borderId="0" xfId="3" applyFont="1" applyAlignment="1">
      <alignment horizontal="center"/>
    </xf>
    <xf numFmtId="0" fontId="82" fillId="10" borderId="76" xfId="3" applyFont="1" applyFill="1" applyBorder="1" applyAlignment="1">
      <alignment horizontal="left" vertical="center"/>
    </xf>
    <xf numFmtId="0" fontId="83" fillId="0" borderId="87" xfId="3" applyFont="1" applyBorder="1" applyAlignment="1">
      <alignment horizontal="center" vertical="center"/>
    </xf>
    <xf numFmtId="0" fontId="83" fillId="0" borderId="83" xfId="3" applyFont="1" applyBorder="1" applyAlignment="1">
      <alignment horizontal="center" vertical="center"/>
    </xf>
    <xf numFmtId="0" fontId="83" fillId="0" borderId="88" xfId="3" applyFont="1" applyBorder="1" applyAlignment="1">
      <alignment horizontal="center" vertical="center"/>
    </xf>
    <xf numFmtId="4" fontId="93" fillId="10" borderId="62" xfId="3" applyNumberFormat="1" applyFont="1" applyFill="1" applyBorder="1" applyAlignment="1">
      <alignment horizontal="center" vertical="center"/>
    </xf>
    <xf numFmtId="187" fontId="93" fillId="10" borderId="62" xfId="3" applyNumberFormat="1" applyFont="1" applyFill="1" applyBorder="1" applyAlignment="1">
      <alignment horizontal="center" vertical="center"/>
    </xf>
    <xf numFmtId="0" fontId="93" fillId="10" borderId="62" xfId="3" applyFont="1" applyFill="1" applyBorder="1" applyAlignment="1">
      <alignment horizontal="center" vertical="center"/>
    </xf>
    <xf numFmtId="0" fontId="55" fillId="0" borderId="60" xfId="3" applyFont="1" applyBorder="1" applyAlignment="1">
      <alignment vertical="center"/>
    </xf>
    <xf numFmtId="0" fontId="55" fillId="0" borderId="61" xfId="3" applyFont="1" applyBorder="1" applyAlignment="1">
      <alignment vertical="center"/>
    </xf>
    <xf numFmtId="0" fontId="66" fillId="10" borderId="0" xfId="3" applyFont="1" applyFill="1" applyAlignment="1">
      <alignment horizontal="center"/>
    </xf>
    <xf numFmtId="0" fontId="80" fillId="0" borderId="62" xfId="3" applyFont="1" applyBorder="1" applyAlignment="1">
      <alignment horizontal="center" vertical="center" wrapText="1"/>
    </xf>
    <xf numFmtId="0" fontId="64" fillId="10" borderId="38" xfId="3" applyFont="1" applyFill="1" applyBorder="1" applyAlignment="1">
      <alignment horizontal="center" vertical="center"/>
    </xf>
    <xf numFmtId="0" fontId="64" fillId="10" borderId="37" xfId="3" applyFont="1" applyFill="1" applyBorder="1" applyAlignment="1">
      <alignment horizontal="center" vertical="center"/>
    </xf>
    <xf numFmtId="0" fontId="64" fillId="10" borderId="21" xfId="3" applyFont="1" applyFill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38" fillId="0" borderId="0" xfId="3" applyFont="1" applyAlignment="1">
      <alignment horizontal="center"/>
    </xf>
    <xf numFmtId="0" fontId="61" fillId="10" borderId="38" xfId="3" applyFont="1" applyFill="1" applyBorder="1" applyAlignment="1">
      <alignment horizontal="center" vertical="center"/>
    </xf>
    <xf numFmtId="0" fontId="61" fillId="10" borderId="37" xfId="3" applyFont="1" applyFill="1" applyBorder="1" applyAlignment="1">
      <alignment horizontal="center" vertical="center"/>
    </xf>
    <xf numFmtId="0" fontId="61" fillId="10" borderId="21" xfId="3" applyFont="1" applyFill="1" applyBorder="1" applyAlignment="1">
      <alignment horizontal="center" vertical="center"/>
    </xf>
    <xf numFmtId="0" fontId="61" fillId="10" borderId="73" xfId="3" applyFont="1" applyFill="1" applyBorder="1" applyAlignment="1">
      <alignment horizontal="center" vertical="center"/>
    </xf>
    <xf numFmtId="0" fontId="61" fillId="10" borderId="58" xfId="3" applyFont="1" applyFill="1" applyBorder="1" applyAlignment="1">
      <alignment horizontal="center" vertical="center"/>
    </xf>
    <xf numFmtId="0" fontId="61" fillId="10" borderId="72" xfId="3" applyFont="1" applyFill="1" applyBorder="1" applyAlignment="1">
      <alignment horizontal="center" vertical="center"/>
    </xf>
    <xf numFmtId="0" fontId="90" fillId="0" borderId="34" xfId="3" applyFont="1" applyBorder="1" applyAlignment="1">
      <alignment horizontal="right" vertical="center"/>
    </xf>
    <xf numFmtId="0" fontId="90" fillId="0" borderId="35" xfId="3" applyFont="1" applyBorder="1" applyAlignment="1">
      <alignment horizontal="right" vertical="center"/>
    </xf>
    <xf numFmtId="0" fontId="90" fillId="0" borderId="92" xfId="3" applyFont="1" applyBorder="1" applyAlignment="1">
      <alignment horizontal="right" vertical="center"/>
    </xf>
    <xf numFmtId="0" fontId="82" fillId="10" borderId="62" xfId="3" applyFont="1" applyFill="1" applyBorder="1" applyAlignment="1">
      <alignment horizontal="center" vertical="center"/>
    </xf>
    <xf numFmtId="0" fontId="64" fillId="10" borderId="67" xfId="3" applyFont="1" applyFill="1" applyBorder="1" applyAlignment="1">
      <alignment horizontal="center" vertical="center"/>
    </xf>
    <xf numFmtId="0" fontId="64" fillId="10" borderId="66" xfId="3" applyFont="1" applyFill="1" applyBorder="1" applyAlignment="1">
      <alignment horizontal="center" vertical="center"/>
    </xf>
    <xf numFmtId="0" fontId="64" fillId="10" borderId="68" xfId="3" applyFont="1" applyFill="1" applyBorder="1" applyAlignment="1">
      <alignment horizontal="center" vertical="center"/>
    </xf>
    <xf numFmtId="0" fontId="86" fillId="10" borderId="34" xfId="3" applyFont="1" applyFill="1" applyBorder="1" applyAlignment="1">
      <alignment horizontal="right" vertical="center"/>
    </xf>
    <xf numFmtId="0" fontId="86" fillId="10" borderId="35" xfId="3" applyFont="1" applyFill="1" applyBorder="1" applyAlignment="1">
      <alignment horizontal="right" vertical="center"/>
    </xf>
    <xf numFmtId="0" fontId="86" fillId="10" borderId="92" xfId="3" applyFont="1" applyFill="1" applyBorder="1" applyAlignment="1">
      <alignment horizontal="right" vertical="center"/>
    </xf>
    <xf numFmtId="0" fontId="89" fillId="0" borderId="37" xfId="3" applyFont="1" applyBorder="1" applyAlignment="1">
      <alignment horizontal="center" vertical="center"/>
    </xf>
    <xf numFmtId="0" fontId="89" fillId="0" borderId="21" xfId="3" applyFont="1" applyBorder="1" applyAlignment="1">
      <alignment horizontal="center" vertical="center"/>
    </xf>
    <xf numFmtId="0" fontId="82" fillId="10" borderId="76" xfId="3" applyFont="1" applyFill="1" applyBorder="1" applyAlignment="1">
      <alignment horizontal="center" vertical="center"/>
    </xf>
    <xf numFmtId="0" fontId="82" fillId="10" borderId="62" xfId="3" applyFont="1" applyFill="1" applyBorder="1" applyAlignment="1">
      <alignment horizontal="left" vertical="center"/>
    </xf>
    <xf numFmtId="0" fontId="80" fillId="0" borderId="62" xfId="3" applyFont="1" applyBorder="1" applyAlignment="1">
      <alignment vertical="center" wrapText="1"/>
    </xf>
    <xf numFmtId="0" fontId="61" fillId="0" borderId="38" xfId="3" applyFont="1" applyBorder="1" applyAlignment="1">
      <alignment horizontal="right" vertical="center"/>
    </xf>
    <xf numFmtId="0" fontId="61" fillId="0" borderId="37" xfId="3" applyFont="1" applyBorder="1" applyAlignment="1">
      <alignment horizontal="right" vertical="center"/>
    </xf>
    <xf numFmtId="0" fontId="61" fillId="0" borderId="65" xfId="3" applyFont="1" applyBorder="1" applyAlignment="1">
      <alignment horizontal="right" vertical="center"/>
    </xf>
    <xf numFmtId="4" fontId="79" fillId="8" borderId="67" xfId="3" applyNumberFormat="1" applyFont="1" applyFill="1" applyBorder="1" applyAlignment="1">
      <alignment horizontal="center" vertical="center"/>
    </xf>
    <xf numFmtId="4" fontId="79" fillId="8" borderId="66" xfId="3" applyNumberFormat="1" applyFont="1" applyFill="1" applyBorder="1" applyAlignment="1">
      <alignment horizontal="center" vertical="center"/>
    </xf>
    <xf numFmtId="4" fontId="79" fillId="8" borderId="68" xfId="3" applyNumberFormat="1" applyFont="1" applyFill="1" applyBorder="1" applyAlignment="1">
      <alignment horizontal="center" vertical="center"/>
    </xf>
    <xf numFmtId="0" fontId="91" fillId="10" borderId="66" xfId="3" applyFont="1" applyFill="1" applyBorder="1" applyAlignment="1">
      <alignment horizontal="center" vertical="center"/>
    </xf>
    <xf numFmtId="0" fontId="91" fillId="10" borderId="34" xfId="3" applyFont="1" applyFill="1" applyBorder="1" applyAlignment="1">
      <alignment horizontal="center" vertical="center"/>
    </xf>
    <xf numFmtId="0" fontId="91" fillId="10" borderId="35" xfId="3" applyFont="1" applyFill="1" applyBorder="1" applyAlignment="1">
      <alignment horizontal="center" vertical="center"/>
    </xf>
    <xf numFmtId="0" fontId="55" fillId="0" borderId="60" xfId="3" applyFont="1" applyBorder="1" applyAlignment="1">
      <alignment vertical="center" wrapText="1"/>
    </xf>
    <xf numFmtId="0" fontId="55" fillId="0" borderId="61" xfId="3" applyFont="1" applyBorder="1" applyAlignment="1">
      <alignment vertical="center" wrapText="1"/>
    </xf>
    <xf numFmtId="0" fontId="78" fillId="13" borderId="93" xfId="3" applyFont="1" applyFill="1" applyBorder="1" applyAlignment="1">
      <alignment horizontal="center" vertical="center"/>
    </xf>
    <xf numFmtId="0" fontId="78" fillId="13" borderId="64" xfId="3" applyFont="1" applyFill="1" applyBorder="1" applyAlignment="1">
      <alignment horizontal="center" vertical="center"/>
    </xf>
    <xf numFmtId="0" fontId="78" fillId="13" borderId="94" xfId="3" applyFont="1" applyFill="1" applyBorder="1" applyAlignment="1">
      <alignment horizontal="center" vertical="center"/>
    </xf>
    <xf numFmtId="0" fontId="58" fillId="0" borderId="67" xfId="3" applyFont="1" applyBorder="1" applyAlignment="1">
      <alignment horizontal="center" vertical="center"/>
    </xf>
    <xf numFmtId="0" fontId="58" fillId="0" borderId="66" xfId="3" applyFont="1" applyBorder="1" applyAlignment="1">
      <alignment horizontal="center" vertical="center"/>
    </xf>
    <xf numFmtId="0" fontId="80" fillId="0" borderId="60" xfId="3" applyFont="1" applyBorder="1" applyAlignment="1">
      <alignment vertical="center" wrapText="1"/>
    </xf>
    <xf numFmtId="0" fontId="80" fillId="0" borderId="61" xfId="3" applyFont="1" applyBorder="1" applyAlignment="1">
      <alignment vertical="center" wrapText="1"/>
    </xf>
    <xf numFmtId="0" fontId="62" fillId="0" borderId="0" xfId="3" applyFont="1" applyAlignment="1">
      <alignment horizontal="center" vertical="center" wrapText="1"/>
    </xf>
    <xf numFmtId="182" fontId="81" fillId="10" borderId="67" xfId="3" applyNumberFormat="1" applyFont="1" applyFill="1" applyBorder="1" applyAlignment="1">
      <alignment horizontal="center" vertical="center"/>
    </xf>
    <xf numFmtId="182" fontId="81" fillId="10" borderId="66" xfId="3" applyNumberFormat="1" applyFont="1" applyFill="1" applyBorder="1" applyAlignment="1">
      <alignment horizontal="center" vertical="center"/>
    </xf>
    <xf numFmtId="182" fontId="81" fillId="10" borderId="68" xfId="3" applyNumberFormat="1" applyFont="1" applyFill="1" applyBorder="1" applyAlignment="1">
      <alignment horizontal="center" vertical="center"/>
    </xf>
    <xf numFmtId="0" fontId="49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7" fillId="0" borderId="0" xfId="3" applyFont="1" applyAlignment="1">
      <alignment horizontal="center" vertical="center"/>
    </xf>
    <xf numFmtId="0" fontId="75" fillId="0" borderId="0" xfId="3" applyFont="1" applyAlignment="1">
      <alignment horizontal="right" vertical="center"/>
    </xf>
    <xf numFmtId="0" fontId="5" fillId="0" borderId="0" xfId="3" applyFont="1" applyAlignment="1">
      <alignment horizontal="right" vertical="center"/>
    </xf>
    <xf numFmtId="0" fontId="5" fillId="6" borderId="97" xfId="3" applyFont="1" applyFill="1" applyBorder="1" applyAlignment="1">
      <alignment horizontal="center" vertical="center" wrapText="1"/>
    </xf>
    <xf numFmtId="0" fontId="5" fillId="6" borderId="62" xfId="3" applyFont="1" applyFill="1" applyBorder="1" applyAlignment="1">
      <alignment horizontal="center" vertical="center" wrapText="1"/>
    </xf>
    <xf numFmtId="0" fontId="5" fillId="6" borderId="102" xfId="3" applyFont="1" applyFill="1" applyBorder="1" applyAlignment="1">
      <alignment horizontal="center" vertical="center" wrapText="1"/>
    </xf>
    <xf numFmtId="0" fontId="5" fillId="8" borderId="98" xfId="3" applyFont="1" applyFill="1" applyBorder="1" applyAlignment="1">
      <alignment horizontal="center" vertical="center" wrapText="1"/>
    </xf>
    <xf numFmtId="0" fontId="5" fillId="8" borderId="100" xfId="3" applyFont="1" applyFill="1" applyBorder="1" applyAlignment="1">
      <alignment horizontal="center" vertical="center" wrapText="1"/>
    </xf>
    <xf numFmtId="0" fontId="5" fillId="8" borderId="103" xfId="3" applyFont="1" applyFill="1" applyBorder="1" applyAlignment="1">
      <alignment horizontal="center" vertical="center" wrapText="1"/>
    </xf>
    <xf numFmtId="0" fontId="5" fillId="9" borderId="97" xfId="3" applyFont="1" applyFill="1" applyBorder="1" applyAlignment="1">
      <alignment horizontal="center" vertical="center" wrapText="1"/>
    </xf>
    <xf numFmtId="0" fontId="5" fillId="8" borderId="97" xfId="3" applyFont="1" applyFill="1" applyBorder="1" applyAlignment="1">
      <alignment horizontal="center" vertical="center"/>
    </xf>
    <xf numFmtId="0" fontId="5" fillId="8" borderId="62" xfId="3" applyFont="1" applyFill="1" applyBorder="1" applyAlignment="1">
      <alignment horizontal="center" vertical="center"/>
    </xf>
    <xf numFmtId="0" fontId="5" fillId="8" borderId="102" xfId="3" applyFont="1" applyFill="1" applyBorder="1" applyAlignment="1">
      <alignment horizontal="center" vertical="center"/>
    </xf>
    <xf numFmtId="0" fontId="5" fillId="8" borderId="96" xfId="3" applyFont="1" applyFill="1" applyBorder="1" applyAlignment="1">
      <alignment horizontal="center" vertical="center"/>
    </xf>
    <xf numFmtId="0" fontId="5" fillId="8" borderId="99" xfId="3" applyFont="1" applyFill="1" applyBorder="1" applyAlignment="1">
      <alignment horizontal="center" vertical="center"/>
    </xf>
    <xf numFmtId="0" fontId="5" fillId="8" borderId="101" xfId="3" applyFont="1" applyFill="1" applyBorder="1" applyAlignment="1">
      <alignment horizontal="center" vertical="center"/>
    </xf>
    <xf numFmtId="188" fontId="102" fillId="0" borderId="0" xfId="3" quotePrefix="1" applyNumberFormat="1" applyFont="1" applyAlignment="1">
      <alignment horizontal="center" vertical="center"/>
    </xf>
    <xf numFmtId="188" fontId="102" fillId="0" borderId="0" xfId="3" applyNumberFormat="1" applyFont="1" applyAlignment="1">
      <alignment horizontal="center" vertical="center"/>
    </xf>
    <xf numFmtId="0" fontId="99" fillId="0" borderId="22" xfId="3" applyFont="1" applyBorder="1" applyAlignment="1">
      <alignment horizontal="center" vertical="center"/>
    </xf>
    <xf numFmtId="0" fontId="99" fillId="0" borderId="0" xfId="3" applyFont="1" applyAlignment="1">
      <alignment horizontal="center" vertical="center"/>
    </xf>
    <xf numFmtId="0" fontId="99" fillId="0" borderId="95" xfId="3" applyFont="1" applyBorder="1" applyAlignment="1">
      <alignment horizontal="center" vertical="center"/>
    </xf>
    <xf numFmtId="0" fontId="74" fillId="0" borderId="0" xfId="3" applyFont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39" xfId="0" applyFont="1" applyBorder="1" applyAlignment="1" applyProtection="1">
      <alignment horizontal="center" vertical="center"/>
      <protection locked="0"/>
    </xf>
    <xf numFmtId="174" fontId="51" fillId="0" borderId="38" xfId="0" applyNumberFormat="1" applyFont="1" applyBorder="1" applyAlignment="1">
      <alignment horizontal="center" vertical="center"/>
    </xf>
    <xf numFmtId="174" fontId="51" fillId="0" borderId="37" xfId="0" applyNumberFormat="1" applyFont="1" applyBorder="1" applyAlignment="1">
      <alignment horizontal="center" vertical="center"/>
    </xf>
    <xf numFmtId="174" fontId="51" fillId="0" borderId="21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/>
    </xf>
    <xf numFmtId="49" fontId="19" fillId="0" borderId="39" xfId="0" applyNumberFormat="1" applyFont="1" applyBorder="1" applyAlignment="1">
      <alignment horizontal="left" vertical="center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39" xfId="0" applyFont="1" applyBorder="1" applyAlignment="1" applyProtection="1">
      <alignment horizontal="left" vertical="center"/>
      <protection locked="0"/>
    </xf>
    <xf numFmtId="0" fontId="46" fillId="0" borderId="0" xfId="0" applyFont="1" applyAlignment="1">
      <alignment horizontal="right" vertical="center"/>
    </xf>
    <xf numFmtId="0" fontId="18" fillId="10" borderId="0" xfId="0" applyFont="1" applyFill="1" applyAlignment="1" applyProtection="1">
      <alignment horizontal="left" vertical="top"/>
      <protection locked="0"/>
    </xf>
    <xf numFmtId="0" fontId="18" fillId="10" borderId="23" xfId="0" applyFont="1" applyFill="1" applyBorder="1" applyAlignment="1" applyProtection="1">
      <alignment horizontal="left" vertical="top"/>
      <protection locked="0"/>
    </xf>
    <xf numFmtId="49" fontId="19" fillId="0" borderId="39" xfId="0" applyNumberFormat="1" applyFont="1" applyBorder="1" applyAlignment="1" applyProtection="1">
      <alignment horizontal="center" vertical="center"/>
      <protection locked="0"/>
    </xf>
    <xf numFmtId="173" fontId="19" fillId="0" borderId="1" xfId="0" applyNumberFormat="1" applyFont="1" applyBorder="1" applyAlignment="1">
      <alignment horizontal="left" vertical="center"/>
    </xf>
    <xf numFmtId="173" fontId="19" fillId="0" borderId="39" xfId="0" applyNumberFormat="1" applyFont="1" applyBorder="1" applyAlignment="1">
      <alignment horizontal="left" vertical="center"/>
    </xf>
    <xf numFmtId="0" fontId="53" fillId="0" borderId="35" xfId="0" applyFont="1" applyBorder="1" applyAlignment="1">
      <alignment horizontal="center" vertical="center"/>
    </xf>
    <xf numFmtId="175" fontId="53" fillId="0" borderId="35" xfId="0" applyNumberFormat="1" applyFont="1" applyBorder="1" applyAlignment="1">
      <alignment horizontal="center" vertical="center"/>
    </xf>
    <xf numFmtId="175" fontId="53" fillId="0" borderId="36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23" xfId="0" applyFont="1" applyBorder="1" applyAlignment="1">
      <alignment horizontal="center" vertical="top" wrapText="1"/>
    </xf>
    <xf numFmtId="0" fontId="19" fillId="0" borderId="14" xfId="0" applyFont="1" applyBorder="1" applyAlignment="1" applyProtection="1">
      <alignment horizontal="left" vertical="center"/>
      <protection locked="0"/>
    </xf>
    <xf numFmtId="0" fontId="19" fillId="0" borderId="56" xfId="0" applyFont="1" applyBorder="1" applyAlignment="1" applyProtection="1">
      <alignment horizontal="left" vertical="center"/>
      <protection locked="0"/>
    </xf>
    <xf numFmtId="0" fontId="26" fillId="0" borderId="0" xfId="0" applyFont="1" applyAlignment="1" applyProtection="1">
      <alignment horizontal="center" vertical="top"/>
      <protection locked="0"/>
    </xf>
    <xf numFmtId="173" fontId="23" fillId="2" borderId="1" xfId="0" applyNumberFormat="1" applyFont="1" applyFill="1" applyBorder="1" applyAlignment="1">
      <alignment horizontal="left" vertical="center"/>
    </xf>
    <xf numFmtId="173" fontId="23" fillId="2" borderId="39" xfId="0" applyNumberFormat="1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23" fillId="2" borderId="39" xfId="0" applyFont="1" applyFill="1" applyBorder="1" applyAlignment="1">
      <alignment horizontal="left" vertical="center"/>
    </xf>
    <xf numFmtId="0" fontId="26" fillId="2" borderId="0" xfId="0" applyFont="1" applyFill="1" applyAlignment="1" applyProtection="1">
      <alignment horizontal="center" vertical="center"/>
      <protection locked="0"/>
    </xf>
    <xf numFmtId="15" fontId="26" fillId="2" borderId="0" xfId="0" applyNumberFormat="1" applyFont="1" applyFill="1" applyAlignment="1" applyProtection="1">
      <alignment horizontal="center" vertical="center"/>
      <protection locked="0"/>
    </xf>
    <xf numFmtId="0" fontId="23" fillId="2" borderId="1" xfId="0" applyFont="1" applyFill="1" applyBorder="1" applyAlignment="1" applyProtection="1">
      <alignment horizontal="left" vertical="center"/>
      <protection locked="0"/>
    </xf>
    <xf numFmtId="0" fontId="23" fillId="2" borderId="39" xfId="0" applyFont="1" applyFill="1" applyBorder="1" applyAlignment="1" applyProtection="1">
      <alignment horizontal="left" vertical="center"/>
      <protection locked="0"/>
    </xf>
    <xf numFmtId="0" fontId="23" fillId="2" borderId="14" xfId="0" applyFont="1" applyFill="1" applyBorder="1" applyAlignment="1" applyProtection="1">
      <alignment horizontal="left" vertical="center"/>
      <protection locked="0"/>
    </xf>
    <xf numFmtId="0" fontId="23" fillId="2" borderId="56" xfId="0" applyFont="1" applyFill="1" applyBorder="1" applyAlignment="1" applyProtection="1">
      <alignment horizontal="left" vertical="center"/>
      <protection locked="0"/>
    </xf>
    <xf numFmtId="174" fontId="20" fillId="7" borderId="0" xfId="0" applyNumberFormat="1" applyFont="1" applyFill="1" applyAlignment="1">
      <alignment horizontal="center" vertical="center"/>
    </xf>
    <xf numFmtId="174" fontId="34" fillId="7" borderId="0" xfId="0" applyNumberFormat="1" applyFont="1" applyFill="1" applyAlignment="1">
      <alignment horizontal="center" vertical="center"/>
    </xf>
    <xf numFmtId="0" fontId="64" fillId="10" borderId="22" xfId="3" applyFont="1" applyFill="1" applyBorder="1" applyAlignment="1">
      <alignment horizontal="center" vertical="center"/>
    </xf>
    <xf numFmtId="0" fontId="64" fillId="10" borderId="0" xfId="3" applyFont="1" applyFill="1" applyBorder="1" applyAlignment="1">
      <alignment horizontal="center" vertical="center"/>
    </xf>
    <xf numFmtId="0" fontId="64" fillId="10" borderId="23" xfId="3" applyFont="1" applyFill="1" applyBorder="1" applyAlignment="1">
      <alignment horizontal="center" vertical="center"/>
    </xf>
    <xf numFmtId="0" fontId="64" fillId="10" borderId="106" xfId="3" applyFont="1" applyFill="1" applyBorder="1" applyAlignment="1">
      <alignment horizontal="center" vertical="center"/>
    </xf>
  </cellXfs>
  <cellStyles count="36">
    <cellStyle name="Calc Currency (0)" xfId="5" xr:uid="{00000000-0005-0000-0000-000000000000}"/>
    <cellStyle name="Comma 2" xfId="6" xr:uid="{00000000-0005-0000-0000-000001000000}"/>
    <cellStyle name="Comma 3" xfId="7" xr:uid="{00000000-0005-0000-0000-000002000000}"/>
    <cellStyle name="Currency" xfId="2" builtinId="4"/>
    <cellStyle name="Currency 2" xfId="9" xr:uid="{00000000-0005-0000-0000-000004000000}"/>
    <cellStyle name="Currency 2 2" xfId="10" xr:uid="{00000000-0005-0000-0000-000005000000}"/>
    <cellStyle name="Currency 3" xfId="11" xr:uid="{00000000-0005-0000-0000-000006000000}"/>
    <cellStyle name="Currency 4" xfId="8" xr:uid="{00000000-0005-0000-0000-000007000000}"/>
    <cellStyle name="Currency 4 2" xfId="29" xr:uid="{00000000-0005-0000-0000-000008000000}"/>
    <cellStyle name="entry" xfId="12" xr:uid="{00000000-0005-0000-0000-000009000000}"/>
    <cellStyle name="Header1" xfId="13" xr:uid="{00000000-0005-0000-0000-00000A000000}"/>
    <cellStyle name="Header2" xfId="14" xr:uid="{00000000-0005-0000-0000-00000B000000}"/>
    <cellStyle name="Normal" xfId="0" builtinId="0"/>
    <cellStyle name="Normal 2" xfId="15" xr:uid="{00000000-0005-0000-0000-00000D000000}"/>
    <cellStyle name="Normal 2 4" xfId="16" xr:uid="{00000000-0005-0000-0000-00000E000000}"/>
    <cellStyle name="Normal 2 4 2" xfId="30" xr:uid="{00000000-0005-0000-0000-00000F000000}"/>
    <cellStyle name="Normal 2 4 2 2" xfId="34" xr:uid="{00000000-0005-0000-0000-000010000000}"/>
    <cellStyle name="Normal 2 4 3" xfId="32" xr:uid="{00000000-0005-0000-0000-000011000000}"/>
    <cellStyle name="Normal 39" xfId="17" xr:uid="{00000000-0005-0000-0000-000012000000}"/>
    <cellStyle name="Normal 4" xfId="18" xr:uid="{00000000-0005-0000-0000-000013000000}"/>
    <cellStyle name="Normal 4 2" xfId="31" xr:uid="{00000000-0005-0000-0000-000014000000}"/>
    <cellStyle name="Normal 4 2 2" xfId="35" xr:uid="{00000000-0005-0000-0000-000015000000}"/>
    <cellStyle name="Normal 4 3" xfId="33" xr:uid="{00000000-0005-0000-0000-000016000000}"/>
    <cellStyle name="Normal_IMOCREW" xfId="4" xr:uid="{00000000-0005-0000-0000-000017000000}"/>
    <cellStyle name="Normale 2" xfId="1" xr:uid="{00000000-0005-0000-0000-000018000000}"/>
    <cellStyle name="Normale 2 2" xfId="28" xr:uid="{00000000-0005-0000-0000-000019000000}"/>
    <cellStyle name="price" xfId="19" xr:uid="{00000000-0005-0000-0000-00001A000000}"/>
    <cellStyle name="revised" xfId="20" xr:uid="{00000000-0005-0000-0000-00001B000000}"/>
    <cellStyle name="section" xfId="21" xr:uid="{00000000-0005-0000-0000-00001C000000}"/>
    <cellStyle name="title 2" xfId="22" xr:uid="{00000000-0005-0000-0000-00001D000000}"/>
    <cellStyle name="Обычный 2" xfId="3" xr:uid="{00000000-0005-0000-0000-00001E000000}"/>
    <cellStyle name="桁区切り [0.00]_１１月価格表" xfId="23" xr:uid="{00000000-0005-0000-0000-00001F000000}"/>
    <cellStyle name="桁区切り_１１月価格表" xfId="24" xr:uid="{00000000-0005-0000-0000-000020000000}"/>
    <cellStyle name="標準_１１月価格表" xfId="25" xr:uid="{00000000-0005-0000-0000-000021000000}"/>
    <cellStyle name="通貨 [0.00]_１１月価格表" xfId="26" xr:uid="{00000000-0005-0000-0000-000022000000}"/>
    <cellStyle name="通貨_１１月価格表" xfId="27" xr:uid="{00000000-0005-0000-0000-00002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57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BFFFF"/>
      <rgbColor rgb="00CCFFCC"/>
      <rgbColor rgb="00FDFFBB"/>
      <rgbColor rgb="00AFD7FF"/>
      <rgbColor rgb="00FFCDE1"/>
      <rgbColor rgb="00F0C9FF"/>
      <rgbColor rgb="00FFCC99"/>
      <rgbColor rgb="003366FF"/>
      <rgbColor rgb="0075DFDD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262890</xdr:colOff>
      <xdr:row>10</xdr:row>
      <xdr:rowOff>190500</xdr:rowOff>
    </xdr:from>
    <xdr:to>
      <xdr:col>4</xdr:col>
      <xdr:colOff>1005843</xdr:colOff>
      <xdr:row>14</xdr:row>
      <xdr:rowOff>0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5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676650" y="2809875"/>
          <a:ext cx="1857375" cy="9144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/>
            </a:rPr>
            <a:t>NIL</a:t>
          </a:r>
          <a:endParaRPr lang="ru-RU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/>
            <a:latin typeface="Arial Black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4">
    <pageSetUpPr autoPageBreaks="0"/>
  </sheetPr>
  <dimension ref="A1:I37"/>
  <sheetViews>
    <sheetView showGridLines="0" showZeros="0" showOutlineSymbols="0" defaultGridColor="0" colorId="8" zoomScaleNormal="75" zoomScaleSheetLayoutView="120" workbookViewId="0">
      <selection activeCell="B23" sqref="B23"/>
    </sheetView>
  </sheetViews>
  <sheetFormatPr defaultColWidth="9.7265625" defaultRowHeight="12.5"/>
  <cols>
    <col min="1" max="1" width="4.7265625" customWidth="1"/>
    <col min="2" max="2" width="32.7265625" customWidth="1"/>
    <col min="3" max="3" width="13.7265625" customWidth="1"/>
    <col min="4" max="4" width="16.7265625" customWidth="1"/>
    <col min="5" max="5" width="20.7265625" customWidth="1"/>
    <col min="6" max="10" width="0.7265625" customWidth="1"/>
  </cols>
  <sheetData>
    <row r="1" spans="1:9" ht="15.5">
      <c r="A1" s="102"/>
      <c r="B1" s="102"/>
      <c r="C1" s="102"/>
      <c r="D1" s="102"/>
      <c r="E1" s="102"/>
      <c r="F1" s="1"/>
      <c r="G1" s="1"/>
      <c r="H1" s="1"/>
      <c r="I1" s="1"/>
    </row>
    <row r="2" spans="1:9" ht="15.5">
      <c r="A2" s="116"/>
      <c r="B2" s="102"/>
      <c r="C2" s="102"/>
      <c r="D2" s="143"/>
      <c r="E2" s="148"/>
      <c r="F2" s="1"/>
      <c r="G2" s="1"/>
      <c r="H2" s="1"/>
      <c r="I2" s="1"/>
    </row>
    <row r="3" spans="1:9" ht="14.25" customHeight="1">
      <c r="A3" s="102"/>
      <c r="B3" s="144"/>
      <c r="C3" s="145"/>
      <c r="D3" s="146"/>
      <c r="E3" s="102"/>
      <c r="F3" s="1"/>
      <c r="G3" s="1"/>
      <c r="H3" s="1"/>
      <c r="I3" s="1"/>
    </row>
    <row r="4" spans="1:9" ht="17.5">
      <c r="A4" s="482" t="s">
        <v>67</v>
      </c>
      <c r="B4" s="482"/>
      <c r="C4" s="482"/>
      <c r="D4" s="482"/>
      <c r="E4" s="482"/>
      <c r="F4" s="1"/>
      <c r="G4" s="1"/>
      <c r="H4" s="1"/>
      <c r="I4" s="1"/>
    </row>
    <row r="5" spans="1:9" ht="16" thickBot="1">
      <c r="A5" s="102"/>
      <c r="B5" s="102"/>
      <c r="C5" s="102"/>
      <c r="D5" s="102"/>
      <c r="E5" s="147"/>
      <c r="F5" s="1"/>
      <c r="G5" s="1"/>
      <c r="H5" s="1"/>
      <c r="I5" s="1"/>
    </row>
    <row r="6" spans="1:9" ht="41.25" customHeight="1" thickTop="1" thickBot="1">
      <c r="A6" s="191" t="s">
        <v>2</v>
      </c>
      <c r="B6" s="192" t="s">
        <v>79</v>
      </c>
      <c r="C6" s="192" t="s">
        <v>77</v>
      </c>
      <c r="D6" s="204" t="s">
        <v>3</v>
      </c>
      <c r="E6" s="193" t="s">
        <v>82</v>
      </c>
      <c r="F6" s="1"/>
      <c r="G6" s="1"/>
      <c r="H6" s="1"/>
      <c r="I6" s="1"/>
    </row>
    <row r="7" spans="1:9" ht="22.15" customHeight="1" thickTop="1">
      <c r="A7" s="203">
        <v>1</v>
      </c>
      <c r="B7" s="175" t="e">
        <f>#REF!</f>
        <v>#REF!</v>
      </c>
      <c r="C7" s="179" t="e">
        <f>#REF!</f>
        <v>#REF!</v>
      </c>
      <c r="D7" s="185"/>
      <c r="E7" s="190"/>
      <c r="F7" s="1"/>
      <c r="G7" s="1"/>
      <c r="H7" s="1"/>
      <c r="I7" s="1"/>
    </row>
    <row r="8" spans="1:9" ht="22.15" customHeight="1">
      <c r="A8" s="202" t="s">
        <v>21</v>
      </c>
      <c r="B8" s="175" t="e">
        <f>#REF!</f>
        <v>#REF!</v>
      </c>
      <c r="C8" s="179" t="e">
        <f>#REF!</f>
        <v>#REF!</v>
      </c>
      <c r="D8" s="185"/>
      <c r="E8" s="188"/>
      <c r="F8" s="2"/>
      <c r="G8" s="2"/>
      <c r="H8" s="2"/>
      <c r="I8" s="149"/>
    </row>
    <row r="9" spans="1:9" ht="22.15" customHeight="1">
      <c r="A9" s="202" t="s">
        <v>22</v>
      </c>
      <c r="B9" s="175" t="e">
        <f>#REF!</f>
        <v>#REF!</v>
      </c>
      <c r="C9" s="179" t="e">
        <f>#REF!</f>
        <v>#REF!</v>
      </c>
      <c r="D9" s="185"/>
      <c r="E9" s="188"/>
      <c r="F9" s="2"/>
      <c r="G9" s="2"/>
      <c r="H9" s="2"/>
      <c r="I9" s="2"/>
    </row>
    <row r="10" spans="1:9" ht="22.15" customHeight="1">
      <c r="A10" s="202" t="s">
        <v>23</v>
      </c>
      <c r="B10" s="175" t="e">
        <f>#REF!</f>
        <v>#REF!</v>
      </c>
      <c r="C10" s="179" t="e">
        <f>#REF!</f>
        <v>#REF!</v>
      </c>
      <c r="D10" s="185"/>
      <c r="E10" s="188"/>
      <c r="F10" s="150"/>
      <c r="G10" s="150"/>
      <c r="H10" s="150"/>
      <c r="I10" s="151"/>
    </row>
    <row r="11" spans="1:9" ht="22.15" customHeight="1">
      <c r="A11" s="202" t="s">
        <v>24</v>
      </c>
      <c r="B11" s="175" t="e">
        <f>#REF!</f>
        <v>#REF!</v>
      </c>
      <c r="C11" s="179" t="e">
        <f>#REF!</f>
        <v>#REF!</v>
      </c>
      <c r="D11" s="185"/>
      <c r="E11" s="188"/>
      <c r="F11" s="150"/>
      <c r="G11" s="150"/>
      <c r="H11" s="150"/>
      <c r="I11" s="151"/>
    </row>
    <row r="12" spans="1:9" ht="22.15" customHeight="1">
      <c r="A12" s="202" t="s">
        <v>25</v>
      </c>
      <c r="B12" s="175" t="e">
        <f>#REF!</f>
        <v>#REF!</v>
      </c>
      <c r="C12" s="179" t="e">
        <f>#REF!</f>
        <v>#REF!</v>
      </c>
      <c r="D12" s="185"/>
      <c r="E12" s="188"/>
      <c r="F12" s="152"/>
      <c r="G12" s="152"/>
      <c r="H12" s="153"/>
      <c r="I12" s="153"/>
    </row>
    <row r="13" spans="1:9" ht="22.15" customHeight="1">
      <c r="A13" s="202" t="s">
        <v>26</v>
      </c>
      <c r="B13" s="175" t="e">
        <f>#REF!</f>
        <v>#REF!</v>
      </c>
      <c r="C13" s="179" t="e">
        <f>#REF!</f>
        <v>#REF!</v>
      </c>
      <c r="D13" s="185"/>
      <c r="E13" s="188"/>
      <c r="F13" s="152"/>
      <c r="G13" s="152"/>
      <c r="H13" s="152"/>
      <c r="I13" s="153"/>
    </row>
    <row r="14" spans="1:9" ht="22.15" customHeight="1">
      <c r="A14" s="202" t="s">
        <v>27</v>
      </c>
      <c r="B14" s="175" t="e">
        <f>#REF!</f>
        <v>#REF!</v>
      </c>
      <c r="C14" s="179" t="e">
        <f>#REF!</f>
        <v>#REF!</v>
      </c>
      <c r="D14" s="185"/>
      <c r="E14" s="188"/>
      <c r="F14" s="153"/>
      <c r="G14" s="153"/>
      <c r="H14" s="153"/>
      <c r="I14" s="152"/>
    </row>
    <row r="15" spans="1:9" ht="22.15" customHeight="1">
      <c r="A15" s="202" t="s">
        <v>28</v>
      </c>
      <c r="B15" s="175" t="e">
        <f>#REF!</f>
        <v>#REF!</v>
      </c>
      <c r="C15" s="179" t="e">
        <f>#REF!</f>
        <v>#REF!</v>
      </c>
      <c r="D15" s="185"/>
      <c r="E15" s="188"/>
      <c r="F15" s="153"/>
      <c r="G15" s="153"/>
      <c r="H15" s="153"/>
      <c r="I15" s="152"/>
    </row>
    <row r="16" spans="1:9" ht="22.15" customHeight="1">
      <c r="A16" s="202" t="s">
        <v>29</v>
      </c>
      <c r="B16" s="175" t="e">
        <f>#REF!</f>
        <v>#REF!</v>
      </c>
      <c r="C16" s="179" t="e">
        <f>#REF!</f>
        <v>#REF!</v>
      </c>
      <c r="D16" s="185"/>
      <c r="E16" s="188"/>
      <c r="F16" s="153"/>
      <c r="G16" s="153"/>
      <c r="H16" s="152"/>
      <c r="I16" s="152"/>
    </row>
    <row r="17" spans="1:9" ht="22.15" customHeight="1">
      <c r="A17" s="202" t="s">
        <v>30</v>
      </c>
      <c r="B17" s="175" t="e">
        <f>#REF!</f>
        <v>#REF!</v>
      </c>
      <c r="C17" s="179" t="e">
        <f>#REF!</f>
        <v>#REF!</v>
      </c>
      <c r="D17" s="185"/>
      <c r="E17" s="188"/>
      <c r="F17" s="3"/>
      <c r="G17" s="3"/>
      <c r="H17" s="3"/>
      <c r="I17" s="3"/>
    </row>
    <row r="18" spans="1:9" ht="22.15" customHeight="1">
      <c r="A18" s="202" t="s">
        <v>31</v>
      </c>
      <c r="B18" s="175" t="e">
        <f>#REF!</f>
        <v>#REF!</v>
      </c>
      <c r="C18" s="179" t="e">
        <f>#REF!</f>
        <v>#REF!</v>
      </c>
      <c r="D18" s="185"/>
      <c r="E18" s="188"/>
      <c r="F18" s="152"/>
      <c r="G18" s="152"/>
      <c r="H18" s="152"/>
      <c r="I18" s="3"/>
    </row>
    <row r="19" spans="1:9" ht="22.15" customHeight="1">
      <c r="A19" s="202" t="s">
        <v>32</v>
      </c>
      <c r="B19" s="175" t="e">
        <f>#REF!</f>
        <v>#REF!</v>
      </c>
      <c r="C19" s="179" t="e">
        <f>#REF!</f>
        <v>#REF!</v>
      </c>
      <c r="D19" s="185"/>
      <c r="E19" s="188"/>
      <c r="F19" s="3"/>
      <c r="G19" s="3"/>
      <c r="H19" s="3"/>
      <c r="I19" s="4"/>
    </row>
    <row r="20" spans="1:9" ht="22.15" customHeight="1">
      <c r="A20" s="202" t="s">
        <v>33</v>
      </c>
      <c r="B20" s="175" t="e">
        <f>#REF!</f>
        <v>#REF!</v>
      </c>
      <c r="C20" s="180" t="e">
        <f>#REF!</f>
        <v>#REF!</v>
      </c>
      <c r="D20" s="185"/>
      <c r="E20" s="188"/>
      <c r="F20" s="154"/>
      <c r="G20" s="155"/>
      <c r="H20" s="156"/>
      <c r="I20" s="157"/>
    </row>
    <row r="21" spans="1:9" ht="22.15" customHeight="1">
      <c r="A21" s="242" t="s">
        <v>34</v>
      </c>
      <c r="B21" s="175" t="e">
        <f>#REF!</f>
        <v>#REF!</v>
      </c>
      <c r="C21" s="231" t="e">
        <f>#REF!</f>
        <v>#REF!</v>
      </c>
      <c r="D21" s="236"/>
      <c r="E21" s="237"/>
      <c r="F21" s="154"/>
      <c r="G21" s="3"/>
      <c r="H21" s="156"/>
      <c r="I21" s="157"/>
    </row>
    <row r="22" spans="1:9" ht="22.15" customHeight="1">
      <c r="A22" s="242" t="s">
        <v>35</v>
      </c>
      <c r="B22" s="175" t="e">
        <f>#REF!</f>
        <v>#REF!</v>
      </c>
      <c r="C22" s="180" t="e">
        <f>#REF!</f>
        <v>#REF!</v>
      </c>
      <c r="D22" s="185"/>
      <c r="E22" s="188"/>
      <c r="F22" s="158"/>
      <c r="G22" s="159"/>
      <c r="H22" s="158"/>
      <c r="I22" s="157"/>
    </row>
    <row r="23" spans="1:9" ht="22.15" customHeight="1">
      <c r="A23" s="242" t="s">
        <v>84</v>
      </c>
      <c r="B23" s="175" t="e">
        <f>#REF!</f>
        <v>#REF!</v>
      </c>
      <c r="C23" s="231" t="e">
        <f>#REF!</f>
        <v>#REF!</v>
      </c>
      <c r="D23" s="236"/>
      <c r="E23" s="237"/>
      <c r="F23" s="160"/>
      <c r="G23" s="160"/>
      <c r="H23" s="156"/>
      <c r="I23" s="161"/>
    </row>
    <row r="24" spans="1:9" ht="22.15" customHeight="1">
      <c r="A24" s="242" t="s">
        <v>36</v>
      </c>
      <c r="B24" s="230" t="e">
        <f>#REF!</f>
        <v>#REF!</v>
      </c>
      <c r="C24" s="231" t="e">
        <f>#REF!</f>
        <v>#REF!</v>
      </c>
      <c r="D24" s="236"/>
      <c r="E24" s="237"/>
      <c r="F24" s="160"/>
      <c r="G24" s="160"/>
      <c r="H24" s="156"/>
      <c r="I24" s="161"/>
    </row>
    <row r="25" spans="1:9" ht="22.15" customHeight="1">
      <c r="A25" s="242" t="s">
        <v>37</v>
      </c>
      <c r="B25" s="230" t="e">
        <f>#REF!</f>
        <v>#REF!</v>
      </c>
      <c r="C25" s="231" t="e">
        <f>#REF!</f>
        <v>#REF!</v>
      </c>
      <c r="D25" s="236"/>
      <c r="E25" s="237"/>
      <c r="F25" s="154"/>
      <c r="G25" s="162"/>
      <c r="H25" s="156"/>
      <c r="I25" s="157"/>
    </row>
    <row r="26" spans="1:9" ht="22.15" customHeight="1">
      <c r="A26" s="242" t="s">
        <v>38</v>
      </c>
      <c r="B26" s="231" t="e">
        <f>#REF!</f>
        <v>#REF!</v>
      </c>
      <c r="C26" s="231" t="e">
        <f>#REF!</f>
        <v>#REF!</v>
      </c>
      <c r="D26" s="236"/>
      <c r="E26" s="237"/>
      <c r="F26" s="160"/>
      <c r="G26" s="160"/>
      <c r="H26" s="156"/>
      <c r="I26" s="161"/>
    </row>
    <row r="27" spans="1:9" ht="22.15" customHeight="1" thickBot="1">
      <c r="A27" s="228" t="s">
        <v>73</v>
      </c>
      <c r="B27" s="253"/>
      <c r="C27" s="253"/>
      <c r="D27" s="254"/>
      <c r="E27" s="255"/>
      <c r="F27" s="3"/>
      <c r="G27" s="3"/>
      <c r="H27" s="4"/>
      <c r="I27" s="3"/>
    </row>
    <row r="28" spans="1:9" ht="20.149999999999999" customHeight="1" thickTop="1" thickBot="1">
      <c r="A28" s="197"/>
      <c r="B28" s="197"/>
      <c r="C28" s="197"/>
      <c r="D28" s="205" t="s">
        <v>81</v>
      </c>
      <c r="E28" s="206">
        <f>SUM(E7:E27)</f>
        <v>0</v>
      </c>
      <c r="F28" s="164"/>
      <c r="G28" s="158"/>
      <c r="H28" s="157"/>
      <c r="I28" s="165"/>
    </row>
    <row r="29" spans="1:9" ht="20.149999999999999" customHeight="1" thickTop="1">
      <c r="A29" s="186"/>
      <c r="B29" s="198"/>
      <c r="C29" s="186"/>
      <c r="D29" s="195"/>
      <c r="E29" s="199"/>
      <c r="F29" s="166"/>
      <c r="G29" s="156"/>
      <c r="H29" s="161"/>
      <c r="I29" s="165"/>
    </row>
    <row r="30" spans="1:9" ht="14.25" customHeight="1">
      <c r="A30" s="170"/>
      <c r="B30" s="200"/>
      <c r="C30" s="170"/>
      <c r="D30" s="170"/>
      <c r="E30" s="170"/>
      <c r="F30" s="160"/>
      <c r="G30" s="156"/>
      <c r="H30" s="161"/>
      <c r="I30" s="165"/>
    </row>
    <row r="31" spans="1:9" ht="14.25" customHeight="1">
      <c r="A31" s="170"/>
      <c r="B31" s="201"/>
      <c r="C31" s="196"/>
      <c r="D31" s="196"/>
      <c r="E31" s="196"/>
      <c r="F31" s="3"/>
      <c r="G31" s="3"/>
      <c r="H31" s="163"/>
      <c r="I31" s="165"/>
    </row>
    <row r="32" spans="1:9" ht="10.15" customHeight="1">
      <c r="A32" s="178"/>
      <c r="B32" s="170"/>
      <c r="C32" s="171"/>
      <c r="D32" s="171"/>
      <c r="E32" s="196"/>
      <c r="F32" s="3"/>
      <c r="G32" s="168"/>
      <c r="H32" s="2"/>
      <c r="I32" s="3"/>
    </row>
    <row r="33" spans="1:9" ht="14">
      <c r="A33" s="178"/>
      <c r="B33" s="170"/>
      <c r="C33" s="152" t="s">
        <v>80</v>
      </c>
      <c r="D33" s="152" t="e">
        <f>#REF!</f>
        <v>#REF!</v>
      </c>
      <c r="E33" s="207"/>
      <c r="F33" s="3"/>
      <c r="G33" s="152"/>
      <c r="H33" s="3"/>
      <c r="I33" s="3"/>
    </row>
    <row r="34" spans="1:9" ht="15.5">
      <c r="A34" s="1"/>
      <c r="B34" s="3"/>
      <c r="C34" s="3"/>
      <c r="D34" s="3"/>
      <c r="E34" s="3"/>
      <c r="F34" s="3"/>
      <c r="G34" s="3"/>
      <c r="H34" s="3"/>
      <c r="I34" s="3"/>
    </row>
    <row r="35" spans="1:9" ht="15.5">
      <c r="A35" s="1"/>
      <c r="B35" s="152"/>
      <c r="C35" s="3"/>
      <c r="D35" s="3"/>
      <c r="E35" s="3"/>
      <c r="F35" s="3"/>
      <c r="G35" s="152"/>
      <c r="H35" s="3"/>
      <c r="I35" s="3"/>
    </row>
    <row r="36" spans="1:9" ht="15.5">
      <c r="A36" s="1"/>
      <c r="B36" s="152"/>
      <c r="C36" s="3"/>
      <c r="D36" s="3"/>
      <c r="E36" s="3"/>
      <c r="F36" s="3"/>
      <c r="G36" s="152"/>
      <c r="H36" s="3"/>
      <c r="I36" s="3"/>
    </row>
    <row r="37" spans="1:9" ht="15.5">
      <c r="A37" s="1"/>
      <c r="B37" s="3"/>
      <c r="C37" s="4"/>
      <c r="D37" s="3"/>
      <c r="E37" s="3"/>
      <c r="F37" s="3"/>
      <c r="G37" s="2"/>
      <c r="H37" s="5"/>
      <c r="I37" s="3"/>
    </row>
  </sheetData>
  <mergeCells count="1">
    <mergeCell ref="A4:E4"/>
  </mergeCells>
  <phoneticPr fontId="0" type="noConversion"/>
  <pageMargins left="0.98425196850393704" right="0.19685039370078741" top="0.39370078740157483" bottom="0" header="0" footer="0"/>
  <pageSetup paperSize="9" orientation="portrait" blackAndWhite="1" horizontalDpi="360" verticalDpi="300" copies="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Sheet5">
    <pageSetUpPr autoPageBreaks="0"/>
  </sheetPr>
  <dimension ref="A1:O38"/>
  <sheetViews>
    <sheetView showGridLines="0" showZeros="0" showOutlineSymbols="0" defaultGridColor="0" colorId="8" zoomScaleNormal="75" zoomScaleSheetLayoutView="120" workbookViewId="0">
      <selection activeCell="E7" sqref="E7"/>
    </sheetView>
  </sheetViews>
  <sheetFormatPr defaultColWidth="9.7265625" defaultRowHeight="12.5"/>
  <cols>
    <col min="1" max="1" width="4.7265625" customWidth="1"/>
    <col min="2" max="2" width="33.7265625" customWidth="1"/>
    <col min="3" max="3" width="14.7265625" customWidth="1"/>
    <col min="4" max="4" width="16.7265625" customWidth="1"/>
    <col min="5" max="5" width="18.7265625" customWidth="1"/>
    <col min="6" max="8" width="1.7265625" customWidth="1"/>
  </cols>
  <sheetData>
    <row r="1" spans="1:15" ht="15" customHeight="1">
      <c r="A1" s="102"/>
      <c r="B1" s="102"/>
      <c r="C1" s="102"/>
      <c r="D1" s="102"/>
      <c r="E1" s="102"/>
      <c r="F1" s="1"/>
      <c r="J1" s="8"/>
      <c r="K1" s="8"/>
    </row>
    <row r="2" spans="1:15" ht="15" customHeight="1">
      <c r="A2" s="116"/>
      <c r="B2" s="102"/>
      <c r="C2" s="102"/>
      <c r="D2" s="143"/>
      <c r="E2" s="169" t="e">
        <f>#REF!</f>
        <v>#REF!</v>
      </c>
      <c r="F2" s="1"/>
      <c r="J2" s="8"/>
      <c r="K2" s="8"/>
    </row>
    <row r="3" spans="1:15" ht="20.149999999999999" customHeight="1">
      <c r="A3" s="102"/>
      <c r="B3" s="144"/>
      <c r="C3" s="145"/>
      <c r="D3" s="146"/>
      <c r="E3" s="102"/>
      <c r="F3" s="1"/>
      <c r="J3" s="8"/>
      <c r="K3" s="8"/>
    </row>
    <row r="4" spans="1:15" ht="18" customHeight="1">
      <c r="A4" s="482" t="s">
        <v>75</v>
      </c>
      <c r="B4" s="482"/>
      <c r="C4" s="482"/>
      <c r="D4" s="482"/>
      <c r="E4" s="482"/>
      <c r="F4" s="1"/>
      <c r="J4" s="8"/>
      <c r="K4" s="243"/>
      <c r="L4" s="251"/>
    </row>
    <row r="5" spans="1:15" ht="10.15" customHeight="1" thickBot="1">
      <c r="A5" s="102"/>
      <c r="B5" s="102"/>
      <c r="C5" s="102"/>
      <c r="D5" s="102"/>
      <c r="E5" s="102"/>
      <c r="F5" s="1"/>
      <c r="J5" s="8"/>
      <c r="K5" s="8"/>
    </row>
    <row r="6" spans="1:15" ht="39" customHeight="1" thickTop="1" thickBot="1">
      <c r="A6" s="191" t="s">
        <v>2</v>
      </c>
      <c r="B6" s="192" t="s">
        <v>79</v>
      </c>
      <c r="C6" s="192" t="s">
        <v>77</v>
      </c>
      <c r="D6" s="192" t="s">
        <v>3</v>
      </c>
      <c r="E6" s="193" t="s">
        <v>82</v>
      </c>
      <c r="F6" s="1"/>
      <c r="J6" s="8"/>
      <c r="K6" s="8"/>
    </row>
    <row r="7" spans="1:15" ht="22.15" customHeight="1" thickTop="1">
      <c r="A7" s="176">
        <v>1</v>
      </c>
      <c r="B7" s="177" t="e">
        <f>#REF!</f>
        <v>#REF!</v>
      </c>
      <c r="C7" s="179" t="e">
        <f>#REF!</f>
        <v>#REF!</v>
      </c>
      <c r="D7" s="252" t="e">
        <f>#REF!</f>
        <v>#REF!</v>
      </c>
      <c r="E7" s="225"/>
      <c r="F7" s="1"/>
      <c r="J7" s="8"/>
      <c r="K7" s="8"/>
    </row>
    <row r="8" spans="1:15" ht="22.15" customHeight="1">
      <c r="A8" s="174">
        <v>2</v>
      </c>
      <c r="B8" s="175" t="e">
        <f>#REF!</f>
        <v>#REF!</v>
      </c>
      <c r="C8" s="180" t="e">
        <f>#REF!</f>
        <v>#REF!</v>
      </c>
      <c r="D8" s="252" t="e">
        <f>#REF!</f>
        <v>#REF!</v>
      </c>
      <c r="E8" s="226"/>
      <c r="F8" s="1"/>
      <c r="J8" s="8"/>
      <c r="K8" s="8"/>
    </row>
    <row r="9" spans="1:15" ht="22.15" customHeight="1">
      <c r="A9" s="174">
        <v>3</v>
      </c>
      <c r="B9" s="175" t="e">
        <f>#REF!</f>
        <v>#REF!</v>
      </c>
      <c r="C9" s="180" t="e">
        <f>#REF!</f>
        <v>#REF!</v>
      </c>
      <c r="D9" s="252" t="e">
        <f>#REF!</f>
        <v>#REF!</v>
      </c>
      <c r="E9" s="226"/>
      <c r="F9" s="1"/>
      <c r="J9" s="8"/>
      <c r="K9" s="8"/>
    </row>
    <row r="10" spans="1:15" ht="22.15" customHeight="1">
      <c r="A10" s="174">
        <v>4</v>
      </c>
      <c r="B10" s="175" t="e">
        <f>#REF!</f>
        <v>#REF!</v>
      </c>
      <c r="C10" s="180" t="e">
        <f>#REF!</f>
        <v>#REF!</v>
      </c>
      <c r="D10" s="252" t="e">
        <f>#REF!</f>
        <v>#REF!</v>
      </c>
      <c r="E10" s="226"/>
      <c r="F10" s="1"/>
      <c r="J10" s="8"/>
      <c r="K10" s="8"/>
    </row>
    <row r="11" spans="1:15" ht="22.15" customHeight="1">
      <c r="A11" s="174">
        <v>5</v>
      </c>
      <c r="B11" s="175" t="e">
        <f>#REF!</f>
        <v>#REF!</v>
      </c>
      <c r="C11" s="180" t="e">
        <f>#REF!</f>
        <v>#REF!</v>
      </c>
      <c r="D11" s="252" t="e">
        <f>#REF!</f>
        <v>#REF!</v>
      </c>
      <c r="E11" s="226"/>
      <c r="F11" s="1"/>
      <c r="J11" s="8"/>
      <c r="K11" s="8"/>
    </row>
    <row r="12" spans="1:15" ht="22.15" customHeight="1">
      <c r="A12" s="174">
        <v>6</v>
      </c>
      <c r="B12" s="175" t="e">
        <f>#REF!</f>
        <v>#REF!</v>
      </c>
      <c r="C12" s="180" t="e">
        <f>#REF!</f>
        <v>#REF!</v>
      </c>
      <c r="D12" s="252" t="e">
        <f>#REF!</f>
        <v>#REF!</v>
      </c>
      <c r="E12" s="226"/>
      <c r="F12" s="1"/>
      <c r="I12" s="8"/>
      <c r="J12" s="8"/>
      <c r="K12" s="235"/>
      <c r="O12" s="238"/>
    </row>
    <row r="13" spans="1:15" ht="22.15" customHeight="1">
      <c r="A13" s="174">
        <v>7</v>
      </c>
      <c r="B13" s="175" t="e">
        <f>#REF!</f>
        <v>#REF!</v>
      </c>
      <c r="C13" s="180" t="e">
        <f>#REF!</f>
        <v>#REF!</v>
      </c>
      <c r="D13" s="252" t="e">
        <f>#REF!</f>
        <v>#REF!</v>
      </c>
      <c r="E13" s="226"/>
      <c r="F13" s="1"/>
      <c r="I13" s="8"/>
      <c r="J13" s="8"/>
      <c r="K13" s="235"/>
      <c r="O13" s="238"/>
    </row>
    <row r="14" spans="1:15" ht="22.15" customHeight="1">
      <c r="A14" s="174">
        <v>8</v>
      </c>
      <c r="B14" s="175" t="e">
        <f>#REF!</f>
        <v>#REF!</v>
      </c>
      <c r="C14" s="180" t="e">
        <f>#REF!</f>
        <v>#REF!</v>
      </c>
      <c r="D14" s="252" t="e">
        <f>#REF!</f>
        <v>#REF!</v>
      </c>
      <c r="E14" s="226"/>
      <c r="F14" s="1"/>
      <c r="I14" s="8"/>
      <c r="J14" s="8"/>
      <c r="K14" s="235"/>
      <c r="O14" s="238"/>
    </row>
    <row r="15" spans="1:15" ht="22.15" customHeight="1">
      <c r="A15" s="174">
        <v>9</v>
      </c>
      <c r="B15" s="175" t="e">
        <f>#REF!</f>
        <v>#REF!</v>
      </c>
      <c r="C15" s="180" t="e">
        <f>#REF!</f>
        <v>#REF!</v>
      </c>
      <c r="D15" s="252" t="e">
        <f>#REF!</f>
        <v>#REF!</v>
      </c>
      <c r="E15" s="226"/>
      <c r="F15" s="1"/>
      <c r="I15" s="8"/>
      <c r="J15" s="8"/>
      <c r="K15" s="235"/>
      <c r="O15" s="238"/>
    </row>
    <row r="16" spans="1:15" ht="22.15" customHeight="1">
      <c r="A16" s="174">
        <v>10</v>
      </c>
      <c r="B16" s="175" t="e">
        <f>#REF!</f>
        <v>#REF!</v>
      </c>
      <c r="C16" s="180" t="e">
        <f>#REF!</f>
        <v>#REF!</v>
      </c>
      <c r="D16" s="252" t="e">
        <f>#REF!</f>
        <v>#REF!</v>
      </c>
      <c r="E16" s="226"/>
      <c r="F16" s="1"/>
      <c r="I16" s="8"/>
      <c r="J16" s="8"/>
      <c r="K16" s="235"/>
      <c r="O16" s="238"/>
    </row>
    <row r="17" spans="1:15" ht="22.15" customHeight="1">
      <c r="A17" s="174">
        <v>11</v>
      </c>
      <c r="B17" s="175" t="e">
        <f>#REF!</f>
        <v>#REF!</v>
      </c>
      <c r="C17" s="180" t="e">
        <f>#REF!</f>
        <v>#REF!</v>
      </c>
      <c r="D17" s="252" t="e">
        <f>#REF!</f>
        <v>#REF!</v>
      </c>
      <c r="E17" s="226"/>
      <c r="F17" s="1"/>
      <c r="I17" s="8"/>
      <c r="J17" s="8"/>
      <c r="K17" s="235"/>
      <c r="O17" s="238"/>
    </row>
    <row r="18" spans="1:15" ht="22.15" customHeight="1">
      <c r="A18" s="174">
        <v>12</v>
      </c>
      <c r="B18" s="175" t="e">
        <f>#REF!</f>
        <v>#REF!</v>
      </c>
      <c r="C18" s="180" t="e">
        <f>#REF!</f>
        <v>#REF!</v>
      </c>
      <c r="D18" s="252" t="e">
        <f>#REF!</f>
        <v>#REF!</v>
      </c>
      <c r="E18" s="226"/>
      <c r="F18" s="1"/>
      <c r="I18" s="8"/>
      <c r="J18" s="8"/>
      <c r="K18" s="235"/>
      <c r="O18" s="238"/>
    </row>
    <row r="19" spans="1:15" ht="22.15" customHeight="1">
      <c r="A19" s="174">
        <v>13</v>
      </c>
      <c r="B19" s="175" t="e">
        <f>#REF!</f>
        <v>#REF!</v>
      </c>
      <c r="C19" s="180" t="e">
        <f>#REF!</f>
        <v>#REF!</v>
      </c>
      <c r="D19" s="252" t="e">
        <f>#REF!</f>
        <v>#REF!</v>
      </c>
      <c r="E19" s="226"/>
      <c r="F19" s="1"/>
      <c r="I19" s="8"/>
      <c r="J19" s="8"/>
      <c r="K19" s="235"/>
      <c r="O19" s="238"/>
    </row>
    <row r="20" spans="1:15" ht="22.15" customHeight="1" thickBot="1">
      <c r="A20" s="283">
        <v>14</v>
      </c>
      <c r="B20" s="284" t="e">
        <f>#REF!</f>
        <v>#REF!</v>
      </c>
      <c r="C20" s="285" t="e">
        <f>#REF!</f>
        <v>#REF!</v>
      </c>
      <c r="D20" s="286" t="e">
        <f>#REF!</f>
        <v>#REF!</v>
      </c>
      <c r="E20" s="287"/>
      <c r="F20" s="1"/>
      <c r="I20" s="8"/>
      <c r="J20" s="8"/>
      <c r="K20" s="235"/>
      <c r="O20" s="238"/>
    </row>
    <row r="21" spans="1:15" ht="22.15" customHeight="1">
      <c r="A21" s="282">
        <v>15</v>
      </c>
      <c r="B21" s="177" t="e">
        <f>#REF!</f>
        <v>#REF!</v>
      </c>
      <c r="C21" s="179" t="e">
        <f>#REF!</f>
        <v>#REF!</v>
      </c>
      <c r="D21" s="252" t="e">
        <f>IF(B21="","",#REF!)</f>
        <v>#REF!</v>
      </c>
      <c r="E21" s="225"/>
      <c r="F21" s="1"/>
      <c r="I21" s="8"/>
      <c r="J21" s="8"/>
      <c r="K21" s="235"/>
      <c r="L21" s="8"/>
      <c r="O21" s="238"/>
    </row>
    <row r="22" spans="1:15" ht="22.15" customHeight="1">
      <c r="A22" s="240">
        <v>16</v>
      </c>
      <c r="B22" s="175" t="e">
        <f>#REF!</f>
        <v>#REF!</v>
      </c>
      <c r="C22" s="180" t="e">
        <f>#REF!</f>
        <v>#REF!</v>
      </c>
      <c r="D22" s="252" t="e">
        <f>IF(B22="","",#REF!)</f>
        <v>#REF!</v>
      </c>
      <c r="E22" s="244"/>
      <c r="F22" s="1"/>
      <c r="I22" s="8"/>
      <c r="J22" s="8"/>
      <c r="K22" s="235"/>
      <c r="O22" s="238"/>
    </row>
    <row r="23" spans="1:15" ht="22.15" customHeight="1">
      <c r="A23" s="240">
        <v>17</v>
      </c>
      <c r="B23" s="175" t="e">
        <f>#REF!</f>
        <v>#REF!</v>
      </c>
      <c r="C23" s="180" t="e">
        <f>#REF!</f>
        <v>#REF!</v>
      </c>
      <c r="D23" s="252" t="e">
        <f>IF(B23="","",#REF!)</f>
        <v>#REF!</v>
      </c>
      <c r="E23" s="244"/>
      <c r="F23" s="1"/>
      <c r="J23" s="8"/>
      <c r="K23" s="8"/>
      <c r="O23" s="238"/>
    </row>
    <row r="24" spans="1:15" ht="22.15" customHeight="1">
      <c r="A24" s="240">
        <v>18</v>
      </c>
      <c r="B24" s="175" t="e">
        <f>#REF!</f>
        <v>#REF!</v>
      </c>
      <c r="C24" s="180" t="e">
        <f>#REF!</f>
        <v>#REF!</v>
      </c>
      <c r="D24" s="252" t="e">
        <f>IF(B24="","",#REF!)</f>
        <v>#REF!</v>
      </c>
      <c r="E24" s="226"/>
      <c r="F24" s="1"/>
      <c r="J24" s="8"/>
      <c r="K24" s="8"/>
      <c r="O24" s="238"/>
    </row>
    <row r="25" spans="1:15" ht="22.15" customHeight="1">
      <c r="A25" s="240">
        <v>19</v>
      </c>
      <c r="B25" s="175" t="e">
        <f>#REF!</f>
        <v>#REF!</v>
      </c>
      <c r="C25" s="180" t="e">
        <f>#REF!</f>
        <v>#REF!</v>
      </c>
      <c r="D25" s="252" t="e">
        <f>IF(B25="","",#REF!)</f>
        <v>#REF!</v>
      </c>
      <c r="E25" s="226"/>
      <c r="F25" s="1"/>
      <c r="J25" s="8"/>
      <c r="K25" s="8"/>
      <c r="O25" s="238"/>
    </row>
    <row r="26" spans="1:15" ht="22.15" customHeight="1" thickBot="1">
      <c r="A26" s="245">
        <v>20</v>
      </c>
      <c r="B26" s="219" t="e">
        <f>#REF!</f>
        <v>#REF!</v>
      </c>
      <c r="C26" s="182" t="e">
        <f>#REF!</f>
        <v>#REF!</v>
      </c>
      <c r="D26" s="189"/>
      <c r="E26" s="227"/>
      <c r="F26" s="1"/>
      <c r="J26" s="8"/>
      <c r="K26" s="8"/>
      <c r="O26" s="238"/>
    </row>
    <row r="27" spans="1:15" ht="24" customHeight="1" thickTop="1" thickBot="1">
      <c r="A27" s="197"/>
      <c r="B27" s="197"/>
      <c r="C27" s="197"/>
      <c r="D27" s="194" t="s">
        <v>81</v>
      </c>
      <c r="E27" s="211">
        <f>SUM(E7:E26)</f>
        <v>0</v>
      </c>
      <c r="F27" s="1"/>
      <c r="J27" s="8"/>
      <c r="K27" s="8"/>
      <c r="L27" s="8"/>
      <c r="O27" s="238"/>
    </row>
    <row r="28" spans="1:15" ht="12.4" customHeight="1" thickTop="1">
      <c r="A28" s="186"/>
      <c r="B28" s="178"/>
      <c r="C28" s="186"/>
      <c r="D28" s="208"/>
      <c r="E28" s="209"/>
      <c r="F28" s="1"/>
      <c r="J28" s="8"/>
      <c r="K28" s="8"/>
    </row>
    <row r="29" spans="1:15" ht="12.4" customHeight="1">
      <c r="A29" s="186"/>
      <c r="B29" s="186"/>
      <c r="C29" s="483"/>
      <c r="D29" s="483"/>
      <c r="E29" s="187"/>
      <c r="F29" s="1"/>
      <c r="J29" s="8"/>
      <c r="K29" s="8"/>
    </row>
    <row r="30" spans="1:15" ht="12.4" customHeight="1">
      <c r="A30" s="186"/>
      <c r="B30" s="186"/>
      <c r="C30" s="186"/>
      <c r="D30" s="186"/>
      <c r="E30" s="186"/>
      <c r="F30" s="1"/>
      <c r="J30" s="8"/>
      <c r="K30" s="8"/>
    </row>
    <row r="31" spans="1:15" ht="12.4" customHeight="1">
      <c r="A31" s="186"/>
      <c r="B31" s="187"/>
      <c r="C31" s="186"/>
      <c r="D31" s="208"/>
      <c r="E31" s="209"/>
      <c r="F31" s="1"/>
      <c r="J31" s="8"/>
      <c r="K31" s="8"/>
    </row>
    <row r="32" spans="1:15" ht="13.15" customHeight="1">
      <c r="A32" s="186"/>
      <c r="B32" s="186"/>
      <c r="C32" s="483" t="e">
        <f>#REF!</f>
        <v>#REF!</v>
      </c>
      <c r="D32" s="483"/>
      <c r="E32" s="186"/>
      <c r="J32" s="8"/>
      <c r="K32" s="8"/>
    </row>
    <row r="33" spans="1:11">
      <c r="A33" s="186"/>
      <c r="B33" s="186"/>
      <c r="C33" s="186"/>
      <c r="D33" s="186"/>
      <c r="E33" s="186"/>
      <c r="J33" s="8"/>
      <c r="K33" s="8"/>
    </row>
    <row r="34" spans="1:11" ht="14">
      <c r="A34" s="186"/>
      <c r="B34" s="186"/>
      <c r="C34" s="250" t="s">
        <v>80</v>
      </c>
      <c r="D34" s="248" t="e">
        <f>#REF!</f>
        <v>#REF!</v>
      </c>
      <c r="E34" s="213"/>
      <c r="J34" s="8"/>
      <c r="K34" s="8"/>
    </row>
    <row r="35" spans="1:11">
      <c r="A35" s="170"/>
      <c r="B35" s="170"/>
      <c r="C35" s="170"/>
      <c r="D35" s="170"/>
      <c r="E35" s="170"/>
      <c r="J35" s="8"/>
      <c r="K35" s="8"/>
    </row>
    <row r="36" spans="1:11">
      <c r="A36" s="178"/>
      <c r="B36" s="178"/>
      <c r="C36" s="178"/>
      <c r="D36" s="178"/>
      <c r="E36" s="178"/>
    </row>
    <row r="37" spans="1:11">
      <c r="A37" s="178"/>
      <c r="B37" s="178"/>
      <c r="C37" s="178"/>
      <c r="D37" s="178"/>
      <c r="E37" s="178"/>
    </row>
    <row r="38" spans="1:11">
      <c r="A38" s="178"/>
      <c r="B38" s="178"/>
      <c r="C38" s="178"/>
      <c r="D38" s="178"/>
      <c r="E38" s="178"/>
    </row>
  </sheetData>
  <mergeCells count="3">
    <mergeCell ref="C29:D29"/>
    <mergeCell ref="C32:D32"/>
    <mergeCell ref="A4:E4"/>
  </mergeCells>
  <phoneticPr fontId="0" type="noConversion"/>
  <pageMargins left="0.98425196850393704" right="0.19685039370078741" top="0.39370078740157483" bottom="0" header="0" footer="0"/>
  <pageSetup paperSize="9" orientation="portrait" blackAndWhite="1" horizontalDpi="4294967295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 codeName="Sheet7"/>
  <dimension ref="A1:L34"/>
  <sheetViews>
    <sheetView showGridLines="0" showZeros="0" showOutlineSymbols="0" defaultGridColor="0" colorId="8" zoomScaleNormal="120" zoomScaleSheetLayoutView="120" workbookViewId="0">
      <selection activeCell="M19" sqref="M19"/>
    </sheetView>
  </sheetViews>
  <sheetFormatPr defaultColWidth="9.7265625" defaultRowHeight="12.5"/>
  <cols>
    <col min="1" max="1" width="4.7265625" customWidth="1"/>
    <col min="2" max="2" width="32.7265625" customWidth="1"/>
    <col min="3" max="3" width="14.7265625" customWidth="1"/>
    <col min="4" max="4" width="16.7265625" customWidth="1"/>
    <col min="5" max="5" width="18.7265625" customWidth="1"/>
    <col min="6" max="8" width="1.7265625" customWidth="1"/>
  </cols>
  <sheetData>
    <row r="1" spans="1:12" ht="20.149999999999999" customHeight="1">
      <c r="A1" s="214"/>
      <c r="B1" s="214"/>
      <c r="C1" s="214"/>
      <c r="D1" s="214"/>
      <c r="E1" s="214"/>
      <c r="F1" s="1"/>
      <c r="J1" s="8"/>
    </row>
    <row r="2" spans="1:12" ht="13.15" customHeight="1">
      <c r="A2" s="212"/>
      <c r="B2" s="214"/>
      <c r="C2" s="214"/>
      <c r="D2" s="210"/>
      <c r="E2" s="215"/>
      <c r="F2" s="1"/>
      <c r="J2" s="8"/>
    </row>
    <row r="3" spans="1:12" ht="14.25" customHeight="1">
      <c r="A3" s="214"/>
      <c r="B3" s="216"/>
      <c r="C3" s="217"/>
      <c r="D3" s="218"/>
      <c r="E3" s="214"/>
      <c r="F3" s="1"/>
      <c r="J3" s="8"/>
    </row>
    <row r="4" spans="1:12" ht="18" customHeight="1">
      <c r="A4" s="485" t="s">
        <v>76</v>
      </c>
      <c r="B4" s="485"/>
      <c r="C4" s="485"/>
      <c r="D4" s="485"/>
      <c r="E4" s="485"/>
      <c r="F4" s="1"/>
      <c r="J4" s="8"/>
    </row>
    <row r="5" spans="1:12" ht="13.15" customHeight="1" thickBot="1">
      <c r="A5" s="214"/>
      <c r="B5" s="214"/>
      <c r="C5" s="214"/>
      <c r="D5" s="214"/>
      <c r="E5" s="214"/>
      <c r="F5" s="1"/>
      <c r="J5" s="8"/>
    </row>
    <row r="6" spans="1:12" ht="36" customHeight="1" thickTop="1" thickBot="1">
      <c r="A6" s="191" t="s">
        <v>2</v>
      </c>
      <c r="B6" s="192" t="s">
        <v>79</v>
      </c>
      <c r="C6" s="192" t="s">
        <v>77</v>
      </c>
      <c r="D6" s="192" t="s">
        <v>3</v>
      </c>
      <c r="E6" s="193" t="s">
        <v>82</v>
      </c>
      <c r="F6" s="1"/>
      <c r="J6" s="243"/>
    </row>
    <row r="7" spans="1:12" ht="22.15" customHeight="1" thickTop="1">
      <c r="A7" s="176" t="e">
        <f>#REF!</f>
        <v>#REF!</v>
      </c>
      <c r="B7" s="177" t="e">
        <f>#REF!</f>
        <v>#REF!</v>
      </c>
      <c r="C7" s="179" t="e">
        <f>#REF!</f>
        <v>#REF!</v>
      </c>
      <c r="D7" s="252" t="e">
        <f>IF(B7="","",#REF!)</f>
        <v>#REF!</v>
      </c>
      <c r="E7" s="241"/>
      <c r="F7" s="1"/>
      <c r="J7" s="8">
        <f>I7*$I$6</f>
        <v>0</v>
      </c>
    </row>
    <row r="8" spans="1:12" ht="22.15" customHeight="1">
      <c r="A8" s="174" t="e">
        <f>#REF!</f>
        <v>#REF!</v>
      </c>
      <c r="B8" s="177" t="e">
        <f>#REF!</f>
        <v>#REF!</v>
      </c>
      <c r="C8" s="179" t="e">
        <f>#REF!</f>
        <v>#REF!</v>
      </c>
      <c r="D8" s="252" t="e">
        <f>IF(B8="","",#REF!)</f>
        <v>#REF!</v>
      </c>
      <c r="E8" s="241"/>
      <c r="F8" s="1"/>
      <c r="J8" s="8">
        <f t="shared" ref="J8:J22" si="0">I8*$I$6</f>
        <v>0</v>
      </c>
    </row>
    <row r="9" spans="1:12" ht="22.15" customHeight="1">
      <c r="A9" s="174" t="e">
        <f>#REF!</f>
        <v>#REF!</v>
      </c>
      <c r="B9" s="177" t="e">
        <f>#REF!</f>
        <v>#REF!</v>
      </c>
      <c r="C9" s="179" t="e">
        <f>#REF!</f>
        <v>#REF!</v>
      </c>
      <c r="D9" s="252" t="e">
        <f>IF(B9="","",#REF!)</f>
        <v>#REF!</v>
      </c>
      <c r="E9" s="241"/>
      <c r="F9" s="1"/>
      <c r="J9" s="8">
        <f t="shared" si="0"/>
        <v>0</v>
      </c>
      <c r="L9">
        <f>K9*$K$6</f>
        <v>0</v>
      </c>
    </row>
    <row r="10" spans="1:12" ht="22.15" customHeight="1">
      <c r="A10" s="174" t="e">
        <f>#REF!</f>
        <v>#REF!</v>
      </c>
      <c r="B10" s="177" t="e">
        <f>#REF!</f>
        <v>#REF!</v>
      </c>
      <c r="C10" s="179" t="e">
        <f>#REF!</f>
        <v>#REF!</v>
      </c>
      <c r="D10" s="252" t="e">
        <f>IF(B10="","",#REF!)</f>
        <v>#REF!</v>
      </c>
      <c r="E10" s="241"/>
      <c r="F10" s="1"/>
      <c r="J10" s="8">
        <f t="shared" si="0"/>
        <v>0</v>
      </c>
      <c r="L10">
        <f t="shared" ref="L10:L25" si="1">K10*$K$6</f>
        <v>0</v>
      </c>
    </row>
    <row r="11" spans="1:12" ht="22.15" customHeight="1">
      <c r="A11" s="174" t="e">
        <f>#REF!</f>
        <v>#REF!</v>
      </c>
      <c r="B11" s="177" t="e">
        <f>#REF!</f>
        <v>#REF!</v>
      </c>
      <c r="C11" s="179" t="e">
        <f>#REF!</f>
        <v>#REF!</v>
      </c>
      <c r="D11" s="252" t="e">
        <f>IF(B11="","",#REF!)</f>
        <v>#REF!</v>
      </c>
      <c r="E11" s="241"/>
      <c r="F11" s="1"/>
      <c r="J11" s="8">
        <f t="shared" si="0"/>
        <v>0</v>
      </c>
      <c r="L11">
        <f t="shared" si="1"/>
        <v>0</v>
      </c>
    </row>
    <row r="12" spans="1:12" ht="22.15" customHeight="1">
      <c r="A12" s="174" t="e">
        <f>#REF!</f>
        <v>#REF!</v>
      </c>
      <c r="B12" s="177" t="e">
        <f>#REF!</f>
        <v>#REF!</v>
      </c>
      <c r="C12" s="179" t="e">
        <f>#REF!</f>
        <v>#REF!</v>
      </c>
      <c r="D12" s="252" t="e">
        <f>IF(B12="","",#REF!)</f>
        <v>#REF!</v>
      </c>
      <c r="E12" s="241"/>
      <c r="F12" s="1"/>
      <c r="J12" s="8">
        <f t="shared" si="0"/>
        <v>0</v>
      </c>
      <c r="L12">
        <f t="shared" si="1"/>
        <v>0</v>
      </c>
    </row>
    <row r="13" spans="1:12" ht="22.15" customHeight="1">
      <c r="A13" s="174" t="e">
        <f>#REF!</f>
        <v>#REF!</v>
      </c>
      <c r="B13" s="177" t="e">
        <f>#REF!</f>
        <v>#REF!</v>
      </c>
      <c r="C13" s="179" t="e">
        <f>#REF!</f>
        <v>#REF!</v>
      </c>
      <c r="D13" s="252" t="e">
        <f>IF(B13="","",#REF!)</f>
        <v>#REF!</v>
      </c>
      <c r="E13" s="241"/>
      <c r="F13" s="1"/>
      <c r="J13" s="8">
        <f t="shared" si="0"/>
        <v>0</v>
      </c>
      <c r="L13">
        <f t="shared" si="1"/>
        <v>0</v>
      </c>
    </row>
    <row r="14" spans="1:12" ht="22.15" customHeight="1">
      <c r="A14" s="174" t="e">
        <f>#REF!</f>
        <v>#REF!</v>
      </c>
      <c r="B14" s="177" t="e">
        <f>#REF!</f>
        <v>#REF!</v>
      </c>
      <c r="C14" s="179" t="e">
        <f>#REF!</f>
        <v>#REF!</v>
      </c>
      <c r="D14" s="252" t="e">
        <f>IF(B14="","",#REF!)</f>
        <v>#REF!</v>
      </c>
      <c r="E14" s="241"/>
      <c r="F14" s="1"/>
      <c r="J14" s="8">
        <f t="shared" si="0"/>
        <v>0</v>
      </c>
      <c r="L14">
        <f t="shared" si="1"/>
        <v>0</v>
      </c>
    </row>
    <row r="15" spans="1:12" ht="22.15" customHeight="1">
      <c r="A15" s="174" t="e">
        <f>#REF!</f>
        <v>#REF!</v>
      </c>
      <c r="B15" s="177" t="e">
        <f>#REF!</f>
        <v>#REF!</v>
      </c>
      <c r="C15" s="179" t="e">
        <f>#REF!</f>
        <v>#REF!</v>
      </c>
      <c r="D15" s="252" t="e">
        <f>IF(B15="","",#REF!)</f>
        <v>#REF!</v>
      </c>
      <c r="E15" s="241"/>
      <c r="F15" s="1"/>
      <c r="J15" s="8">
        <f t="shared" si="0"/>
        <v>0</v>
      </c>
      <c r="L15">
        <f t="shared" si="1"/>
        <v>0</v>
      </c>
    </row>
    <row r="16" spans="1:12" ht="22.15" customHeight="1">
      <c r="A16" s="174" t="e">
        <f>#REF!</f>
        <v>#REF!</v>
      </c>
      <c r="B16" s="177" t="e">
        <f>#REF!</f>
        <v>#REF!</v>
      </c>
      <c r="C16" s="179" t="e">
        <f>#REF!</f>
        <v>#REF!</v>
      </c>
      <c r="D16" s="252" t="e">
        <f>IF(B16="","",#REF!)</f>
        <v>#REF!</v>
      </c>
      <c r="E16" s="241"/>
      <c r="F16" s="1"/>
      <c r="J16" s="8">
        <f t="shared" si="0"/>
        <v>0</v>
      </c>
      <c r="L16">
        <f t="shared" si="1"/>
        <v>0</v>
      </c>
    </row>
    <row r="17" spans="1:12" ht="22.15" customHeight="1">
      <c r="A17" s="174" t="e">
        <f>#REF!</f>
        <v>#REF!</v>
      </c>
      <c r="B17" s="177" t="e">
        <f>#REF!</f>
        <v>#REF!</v>
      </c>
      <c r="C17" s="179" t="e">
        <f>#REF!</f>
        <v>#REF!</v>
      </c>
      <c r="D17" s="252" t="e">
        <f>IF(B17="","",#REF!)</f>
        <v>#REF!</v>
      </c>
      <c r="E17" s="241"/>
      <c r="F17" s="1"/>
      <c r="J17" s="8">
        <f t="shared" si="0"/>
        <v>0</v>
      </c>
      <c r="L17">
        <f t="shared" si="1"/>
        <v>0</v>
      </c>
    </row>
    <row r="18" spans="1:12" ht="22.15" customHeight="1">
      <c r="A18" s="174" t="e">
        <f>#REF!</f>
        <v>#REF!</v>
      </c>
      <c r="B18" s="177" t="e">
        <f>#REF!</f>
        <v>#REF!</v>
      </c>
      <c r="C18" s="179" t="e">
        <f>#REF!</f>
        <v>#REF!</v>
      </c>
      <c r="D18" s="252" t="e">
        <f>IF(B18="","",#REF!)</f>
        <v>#REF!</v>
      </c>
      <c r="E18" s="241"/>
      <c r="F18" s="1"/>
      <c r="J18" s="8">
        <f t="shared" si="0"/>
        <v>0</v>
      </c>
      <c r="L18">
        <f t="shared" si="1"/>
        <v>0</v>
      </c>
    </row>
    <row r="19" spans="1:12" ht="22.15" customHeight="1">
      <c r="A19" s="174" t="e">
        <f>#REF!</f>
        <v>#REF!</v>
      </c>
      <c r="B19" s="177" t="e">
        <f>#REF!</f>
        <v>#REF!</v>
      </c>
      <c r="C19" s="179" t="e">
        <f>#REF!</f>
        <v>#REF!</v>
      </c>
      <c r="D19" s="252" t="e">
        <f>IF(B19="","",#REF!)</f>
        <v>#REF!</v>
      </c>
      <c r="E19" s="241"/>
      <c r="F19" s="1"/>
      <c r="J19" s="8">
        <f t="shared" si="0"/>
        <v>0</v>
      </c>
      <c r="L19">
        <f t="shared" si="1"/>
        <v>0</v>
      </c>
    </row>
    <row r="20" spans="1:12" ht="22.15" customHeight="1">
      <c r="A20" s="174" t="e">
        <f>#REF!</f>
        <v>#REF!</v>
      </c>
      <c r="B20" s="177" t="e">
        <f>#REF!</f>
        <v>#REF!</v>
      </c>
      <c r="C20" s="179" t="e">
        <f>#REF!</f>
        <v>#REF!</v>
      </c>
      <c r="D20" s="252" t="e">
        <f>IF(B20="","",#REF!)</f>
        <v>#REF!</v>
      </c>
      <c r="E20" s="241"/>
      <c r="F20" s="1"/>
      <c r="J20" s="8">
        <f t="shared" si="0"/>
        <v>0</v>
      </c>
      <c r="L20">
        <f t="shared" si="1"/>
        <v>0</v>
      </c>
    </row>
    <row r="21" spans="1:12" ht="22.15" customHeight="1">
      <c r="A21" s="240">
        <v>15</v>
      </c>
      <c r="B21" s="229" t="e">
        <f>#REF!</f>
        <v>#REF!</v>
      </c>
      <c r="C21" s="234" t="e">
        <f>#REF!</f>
        <v>#REF!</v>
      </c>
      <c r="D21" s="252" t="e">
        <f>IF(B21="","",#REF!)</f>
        <v>#REF!</v>
      </c>
      <c r="E21" s="241"/>
      <c r="F21" s="1"/>
      <c r="J21" s="8">
        <f t="shared" si="0"/>
        <v>0</v>
      </c>
      <c r="L21">
        <f t="shared" si="1"/>
        <v>0</v>
      </c>
    </row>
    <row r="22" spans="1:12" ht="22.15" customHeight="1">
      <c r="A22" s="240" t="e">
        <f>#REF!</f>
        <v>#REF!</v>
      </c>
      <c r="B22" s="229" t="e">
        <f>#REF!</f>
        <v>#REF!</v>
      </c>
      <c r="C22" s="234" t="e">
        <f>#REF!</f>
        <v>#REF!</v>
      </c>
      <c r="D22" s="252" t="e">
        <f>IF(B22="","",#REF!)</f>
        <v>#REF!</v>
      </c>
      <c r="E22" s="241"/>
      <c r="F22" s="1"/>
      <c r="J22" s="8">
        <f t="shared" si="0"/>
        <v>0</v>
      </c>
      <c r="L22">
        <f t="shared" si="1"/>
        <v>0</v>
      </c>
    </row>
    <row r="23" spans="1:12" ht="22.15" customHeight="1">
      <c r="A23" s="240">
        <v>17</v>
      </c>
      <c r="B23" s="229" t="e">
        <f>#REF!</f>
        <v>#REF!</v>
      </c>
      <c r="C23" s="234" t="e">
        <f>#REF!</f>
        <v>#REF!</v>
      </c>
      <c r="D23" s="252" t="e">
        <f>IF(B23="","",#REF!)</f>
        <v>#REF!</v>
      </c>
      <c r="E23" s="239"/>
      <c r="F23" s="1"/>
      <c r="J23" s="8"/>
      <c r="L23">
        <f t="shared" si="1"/>
        <v>0</v>
      </c>
    </row>
    <row r="24" spans="1:12" ht="22.15" customHeight="1">
      <c r="A24" s="240" t="e">
        <f>#REF!</f>
        <v>#REF!</v>
      </c>
      <c r="B24" s="229" t="e">
        <f>#REF!</f>
        <v>#REF!</v>
      </c>
      <c r="C24" s="234" t="e">
        <f>#REF!</f>
        <v>#REF!</v>
      </c>
      <c r="D24" s="252" t="e">
        <f>IF(B24="","",#REF!)</f>
        <v>#REF!</v>
      </c>
      <c r="E24" s="239"/>
      <c r="F24" s="1"/>
      <c r="J24" s="8"/>
      <c r="L24">
        <f t="shared" si="1"/>
        <v>0</v>
      </c>
    </row>
    <row r="25" spans="1:12" ht="22.15" customHeight="1">
      <c r="A25" s="240" t="e">
        <f>#REF!</f>
        <v>#REF!</v>
      </c>
      <c r="B25" s="177" t="e">
        <f>#REF!</f>
        <v>#REF!</v>
      </c>
      <c r="C25" s="179" t="e">
        <f>#REF!</f>
        <v>#REF!</v>
      </c>
      <c r="D25" s="252" t="e">
        <f>IF(B25="","",#REF!)</f>
        <v>#REF!</v>
      </c>
      <c r="E25" s="181"/>
      <c r="F25" s="1"/>
      <c r="J25" s="8"/>
      <c r="L25">
        <f t="shared" si="1"/>
        <v>0</v>
      </c>
    </row>
    <row r="26" spans="1:12" ht="22.15" customHeight="1" thickBot="1">
      <c r="A26" s="245" t="e">
        <f>#REF!</f>
        <v>#REF!</v>
      </c>
      <c r="B26" s="222" t="e">
        <f>#REF!</f>
        <v>#REF!</v>
      </c>
      <c r="C26" s="223" t="e">
        <f>#REF!</f>
        <v>#REF!</v>
      </c>
      <c r="D26" s="183"/>
      <c r="E26" s="184"/>
      <c r="F26" s="1"/>
      <c r="J26" s="8"/>
    </row>
    <row r="27" spans="1:12" ht="22.15" customHeight="1" thickTop="1" thickBot="1">
      <c r="A27" s="214"/>
      <c r="B27" s="214"/>
      <c r="C27" s="214"/>
      <c r="D27" s="220" t="s">
        <v>81</v>
      </c>
      <c r="E27" s="232">
        <f>SUM(E7:E26)</f>
        <v>0</v>
      </c>
      <c r="F27" s="1"/>
      <c r="J27" s="8"/>
    </row>
    <row r="28" spans="1:12" ht="13.15" customHeight="1" thickTop="1">
      <c r="A28" s="167"/>
      <c r="B28" s="167"/>
      <c r="C28" s="167"/>
      <c r="D28" s="172"/>
      <c r="E28" s="173"/>
      <c r="F28" s="1"/>
      <c r="J28" s="8"/>
    </row>
    <row r="29" spans="1:12" ht="13.15" customHeight="1">
      <c r="A29" s="167"/>
      <c r="B29" s="221"/>
      <c r="C29" s="167"/>
      <c r="D29" s="167"/>
      <c r="E29" s="167"/>
      <c r="F29" s="1"/>
      <c r="J29" s="8"/>
    </row>
    <row r="30" spans="1:12" ht="13.15" customHeight="1">
      <c r="A30" s="170"/>
      <c r="B30" s="170"/>
      <c r="C30" s="484"/>
      <c r="D30" s="484"/>
      <c r="E30" s="484"/>
      <c r="J30" s="8"/>
    </row>
    <row r="31" spans="1:12">
      <c r="A31" s="170"/>
      <c r="B31" s="170"/>
      <c r="C31" s="170"/>
      <c r="D31" s="170"/>
      <c r="E31" s="170"/>
      <c r="J31" s="8"/>
    </row>
    <row r="32" spans="1:12">
      <c r="A32" s="170"/>
      <c r="B32" s="170"/>
      <c r="C32" s="170"/>
      <c r="D32" s="170"/>
      <c r="E32" s="170"/>
      <c r="J32" s="8"/>
    </row>
    <row r="33" spans="1:10">
      <c r="A33" s="170"/>
      <c r="B33" s="170"/>
      <c r="C33" s="170"/>
      <c r="D33" s="170"/>
      <c r="E33" s="170"/>
      <c r="J33" s="8"/>
    </row>
    <row r="34" spans="1:10" ht="14">
      <c r="B34" s="224"/>
      <c r="C34" s="249" t="s">
        <v>80</v>
      </c>
      <c r="D34" s="248" t="e">
        <f>#REF!</f>
        <v>#REF!</v>
      </c>
      <c r="E34" s="4"/>
      <c r="F34" s="4"/>
      <c r="G34" s="4"/>
    </row>
  </sheetData>
  <mergeCells count="2">
    <mergeCell ref="C30:E30"/>
    <mergeCell ref="A4:E4"/>
  </mergeCells>
  <phoneticPr fontId="0" type="noConversion"/>
  <pageMargins left="0.98425196850393704" right="0.19685039370078741" top="0.39370078740157483" bottom="0" header="0" footer="0"/>
  <pageSetup paperSize="9" orientation="portrait" blackAndWhite="1" horizontalDpi="4294967293" vertic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S115"/>
  <sheetViews>
    <sheetView showGridLines="0" tabSelected="1" view="pageBreakPreview" topLeftCell="A22" zoomScale="85" zoomScaleNormal="85" zoomScaleSheetLayoutView="85" workbookViewId="0">
      <selection activeCell="L31" sqref="L31"/>
    </sheetView>
  </sheetViews>
  <sheetFormatPr defaultColWidth="9.26953125" defaultRowHeight="12.5"/>
  <cols>
    <col min="1" max="1" width="4.54296875" style="334" customWidth="1"/>
    <col min="2" max="2" width="15.7265625" style="334" customWidth="1"/>
    <col min="3" max="3" width="17.81640625" style="334" customWidth="1"/>
    <col min="4" max="4" width="6.81640625" style="334" customWidth="1"/>
    <col min="5" max="5" width="35.81640625" style="334" customWidth="1"/>
    <col min="6" max="6" width="9.26953125" style="334" customWidth="1"/>
    <col min="7" max="7" width="11.7265625" style="334" customWidth="1"/>
    <col min="8" max="8" width="11.54296875" style="334" customWidth="1"/>
    <col min="9" max="9" width="26.453125" style="334" customWidth="1"/>
    <col min="10" max="10" width="9.26953125" style="334"/>
    <col min="11" max="11" width="9.26953125" style="335"/>
    <col min="12" max="16384" width="9.26953125" style="334"/>
  </cols>
  <sheetData>
    <row r="1" spans="1:11" ht="20">
      <c r="A1" s="525" t="s">
        <v>192</v>
      </c>
      <c r="B1" s="525"/>
      <c r="C1" s="525"/>
      <c r="D1" s="525"/>
      <c r="E1" s="525"/>
      <c r="F1" s="525"/>
      <c r="G1" s="525"/>
      <c r="H1" s="525"/>
      <c r="I1" s="525"/>
    </row>
    <row r="2" spans="1:11" ht="3" customHeight="1"/>
    <row r="3" spans="1:11" ht="15.5">
      <c r="A3" s="530" t="s">
        <v>208</v>
      </c>
      <c r="B3" s="530"/>
      <c r="C3" s="531"/>
      <c r="D3" s="531"/>
      <c r="E3" s="336"/>
      <c r="F3" s="336"/>
      <c r="G3" s="336"/>
      <c r="H3" s="359" t="s">
        <v>13</v>
      </c>
      <c r="I3" s="358">
        <v>46022</v>
      </c>
    </row>
    <row r="4" spans="1:11" ht="3" customHeight="1" thickBot="1">
      <c r="A4" s="336"/>
      <c r="B4" s="336"/>
      <c r="C4" s="336"/>
      <c r="D4" s="336"/>
      <c r="E4" s="336"/>
      <c r="F4" s="336"/>
      <c r="G4" s="336"/>
      <c r="H4" s="336"/>
      <c r="I4" s="336"/>
    </row>
    <row r="5" spans="1:11" ht="40.5" customHeight="1" thickTop="1" thickBot="1">
      <c r="A5" s="337" t="s">
        <v>17</v>
      </c>
      <c r="B5" s="526" t="s">
        <v>91</v>
      </c>
      <c r="C5" s="526"/>
      <c r="D5" s="526" t="s">
        <v>90</v>
      </c>
      <c r="E5" s="526" t="s">
        <v>89</v>
      </c>
      <c r="F5" s="526" t="s">
        <v>88</v>
      </c>
      <c r="G5" s="526" t="s">
        <v>142</v>
      </c>
      <c r="H5" s="526" t="s">
        <v>87</v>
      </c>
      <c r="I5" s="526" t="s">
        <v>144</v>
      </c>
      <c r="K5" s="338"/>
    </row>
    <row r="6" spans="1:11" ht="15.75" customHeight="1" thickTop="1" thickBot="1">
      <c r="A6" s="527"/>
      <c r="B6" s="528"/>
      <c r="C6" s="528"/>
      <c r="D6" s="528"/>
      <c r="E6" s="528"/>
      <c r="F6" s="528"/>
      <c r="G6" s="528"/>
      <c r="H6" s="528"/>
      <c r="I6" s="529"/>
    </row>
    <row r="7" spans="1:11" ht="18.75" customHeight="1" thickTop="1" thickBot="1">
      <c r="A7" s="542" t="s">
        <v>193</v>
      </c>
      <c r="B7" s="543"/>
      <c r="C7" s="543"/>
      <c r="D7" s="543"/>
      <c r="E7" s="543"/>
      <c r="F7" s="543"/>
      <c r="G7" s="543"/>
      <c r="H7" s="543"/>
      <c r="I7" s="544"/>
      <c r="J7" s="340"/>
      <c r="K7" s="340"/>
    </row>
    <row r="8" spans="1:11" ht="18.75" customHeight="1" thickTop="1">
      <c r="A8" s="646"/>
      <c r="B8" s="649" t="s">
        <v>91</v>
      </c>
      <c r="C8" s="649"/>
      <c r="D8" s="647"/>
      <c r="E8" s="647" t="s">
        <v>209</v>
      </c>
      <c r="F8" s="647"/>
      <c r="G8" s="647" t="s">
        <v>210</v>
      </c>
      <c r="H8" s="647" t="s">
        <v>211</v>
      </c>
      <c r="I8" s="648" t="s">
        <v>212</v>
      </c>
      <c r="J8" s="340"/>
      <c r="K8" s="340"/>
    </row>
    <row r="9" spans="1:11" ht="27.75" customHeight="1">
      <c r="A9" s="376">
        <v>1</v>
      </c>
      <c r="B9" s="526" t="s">
        <v>167</v>
      </c>
      <c r="C9" s="526"/>
      <c r="D9" s="377" t="s">
        <v>95</v>
      </c>
      <c r="E9" s="426">
        <v>25</v>
      </c>
      <c r="F9" s="378"/>
      <c r="G9" s="379">
        <v>24.09</v>
      </c>
      <c r="H9" s="380">
        <f t="shared" ref="H9:H11" si="0">G9*E9</f>
        <v>602.25</v>
      </c>
      <c r="I9" s="381" t="s">
        <v>157</v>
      </c>
      <c r="J9" s="341"/>
      <c r="K9" s="363"/>
    </row>
    <row r="10" spans="1:11" ht="23.25" customHeight="1">
      <c r="A10" s="376">
        <v>2</v>
      </c>
      <c r="B10" s="493" t="s">
        <v>189</v>
      </c>
      <c r="C10" s="494"/>
      <c r="D10" s="377" t="s">
        <v>95</v>
      </c>
      <c r="E10" s="426">
        <v>70</v>
      </c>
      <c r="F10" s="378"/>
      <c r="G10" s="379">
        <v>6.92</v>
      </c>
      <c r="H10" s="380">
        <f t="shared" si="0"/>
        <v>484.4</v>
      </c>
      <c r="I10" s="381" t="s">
        <v>157</v>
      </c>
      <c r="J10" s="341"/>
      <c r="K10" s="363"/>
    </row>
    <row r="11" spans="1:11" ht="15" customHeight="1">
      <c r="A11" s="376">
        <v>3</v>
      </c>
      <c r="B11" s="495" t="s">
        <v>146</v>
      </c>
      <c r="C11" s="495"/>
      <c r="D11" s="369" t="s">
        <v>136</v>
      </c>
      <c r="E11" s="426">
        <v>16</v>
      </c>
      <c r="F11" s="378"/>
      <c r="G11" s="379">
        <v>4.6150000000000002</v>
      </c>
      <c r="H11" s="380">
        <f t="shared" si="0"/>
        <v>73.84</v>
      </c>
      <c r="I11" s="381">
        <v>46066</v>
      </c>
      <c r="J11" s="341"/>
      <c r="K11" s="363"/>
    </row>
    <row r="12" spans="1:11" ht="15" customHeight="1">
      <c r="A12" s="376">
        <v>4</v>
      </c>
      <c r="B12" s="495" t="s">
        <v>137</v>
      </c>
      <c r="C12" s="495"/>
      <c r="D12" s="369" t="s">
        <v>136</v>
      </c>
      <c r="E12" s="426">
        <v>18</v>
      </c>
      <c r="F12" s="378"/>
      <c r="G12" s="379">
        <v>2.15</v>
      </c>
      <c r="H12" s="380">
        <f>G12*E12</f>
        <v>38.699999999999996</v>
      </c>
      <c r="I12" s="381">
        <v>46016</v>
      </c>
      <c r="J12" s="341"/>
      <c r="K12" s="363"/>
    </row>
    <row r="13" spans="1:11" ht="15" customHeight="1">
      <c r="A13" s="376">
        <v>5</v>
      </c>
      <c r="B13" s="526" t="s">
        <v>147</v>
      </c>
      <c r="C13" s="526"/>
      <c r="D13" s="377" t="s">
        <v>169</v>
      </c>
      <c r="E13" s="426">
        <v>0</v>
      </c>
      <c r="F13" s="378"/>
      <c r="G13" s="379">
        <v>0</v>
      </c>
      <c r="H13" s="380">
        <f t="shared" ref="H13:H30" si="1">G13*E13</f>
        <v>0</v>
      </c>
      <c r="I13" s="381" t="s">
        <v>157</v>
      </c>
      <c r="J13" s="341"/>
      <c r="K13" s="363"/>
    </row>
    <row r="14" spans="1:11" ht="15" customHeight="1">
      <c r="A14" s="376">
        <v>6</v>
      </c>
      <c r="B14" s="496" t="s">
        <v>139</v>
      </c>
      <c r="C14" s="496"/>
      <c r="D14" s="384" t="s">
        <v>168</v>
      </c>
      <c r="E14" s="426">
        <v>5</v>
      </c>
      <c r="F14" s="378"/>
      <c r="G14" s="379">
        <v>2.71</v>
      </c>
      <c r="H14" s="380">
        <f t="shared" si="1"/>
        <v>13.55</v>
      </c>
      <c r="I14" s="381" t="s">
        <v>157</v>
      </c>
      <c r="J14" s="341"/>
      <c r="K14" s="363"/>
    </row>
    <row r="15" spans="1:11" ht="15" customHeight="1">
      <c r="A15" s="376">
        <v>7</v>
      </c>
      <c r="B15" s="496" t="s">
        <v>140</v>
      </c>
      <c r="C15" s="496"/>
      <c r="D15" s="377" t="s">
        <v>169</v>
      </c>
      <c r="E15" s="426">
        <v>4</v>
      </c>
      <c r="F15" s="378"/>
      <c r="G15" s="379">
        <v>3.7389999999999999</v>
      </c>
      <c r="H15" s="380">
        <f t="shared" si="1"/>
        <v>14.956</v>
      </c>
      <c r="I15" s="381">
        <v>46417</v>
      </c>
      <c r="J15" s="341"/>
      <c r="K15" s="363"/>
    </row>
    <row r="16" spans="1:11" ht="15" customHeight="1">
      <c r="A16" s="376">
        <v>8</v>
      </c>
      <c r="B16" s="496" t="s">
        <v>141</v>
      </c>
      <c r="C16" s="496"/>
      <c r="D16" s="382" t="s">
        <v>182</v>
      </c>
      <c r="E16" s="426">
        <v>0</v>
      </c>
      <c r="F16" s="378"/>
      <c r="G16" s="379">
        <v>0</v>
      </c>
      <c r="H16" s="380">
        <f t="shared" si="1"/>
        <v>0</v>
      </c>
      <c r="I16" s="381" t="s">
        <v>157</v>
      </c>
      <c r="J16" s="341"/>
      <c r="K16" s="363"/>
    </row>
    <row r="17" spans="1:19" ht="15" customHeight="1">
      <c r="A17" s="376">
        <v>9</v>
      </c>
      <c r="B17" s="496" t="s">
        <v>138</v>
      </c>
      <c r="C17" s="496"/>
      <c r="D17" s="382" t="s">
        <v>182</v>
      </c>
      <c r="E17" s="426">
        <v>2</v>
      </c>
      <c r="F17" s="378"/>
      <c r="G17" s="379">
        <v>6.2</v>
      </c>
      <c r="H17" s="380">
        <f t="shared" si="1"/>
        <v>12.4</v>
      </c>
      <c r="I17" s="381">
        <v>46476</v>
      </c>
      <c r="J17" s="341"/>
      <c r="K17" s="363"/>
    </row>
    <row r="18" spans="1:19" ht="15" customHeight="1">
      <c r="A18" s="376">
        <v>10</v>
      </c>
      <c r="B18" s="497" t="s">
        <v>188</v>
      </c>
      <c r="C18" s="497"/>
      <c r="D18" s="377" t="s">
        <v>95</v>
      </c>
      <c r="E18" s="426">
        <v>24</v>
      </c>
      <c r="F18" s="378"/>
      <c r="G18" s="379">
        <v>25.56</v>
      </c>
      <c r="H18" s="380">
        <f t="shared" si="1"/>
        <v>613.43999999999994</v>
      </c>
      <c r="I18" s="388" t="s">
        <v>157</v>
      </c>
      <c r="J18" s="341"/>
      <c r="K18" s="363"/>
    </row>
    <row r="19" spans="1:19" ht="15" customHeight="1">
      <c r="A19" s="376">
        <v>11</v>
      </c>
      <c r="B19" s="496" t="s">
        <v>186</v>
      </c>
      <c r="C19" s="496"/>
      <c r="D19" s="377" t="s">
        <v>187</v>
      </c>
      <c r="E19" s="426">
        <v>4</v>
      </c>
      <c r="F19" s="378"/>
      <c r="G19" s="379">
        <v>3.359</v>
      </c>
      <c r="H19" s="380">
        <f t="shared" si="1"/>
        <v>13.436</v>
      </c>
      <c r="I19" s="388" t="s">
        <v>157</v>
      </c>
      <c r="J19" s="341"/>
      <c r="K19" s="363"/>
    </row>
    <row r="20" spans="1:19" ht="23.25" customHeight="1">
      <c r="A20" s="376">
        <v>12</v>
      </c>
      <c r="B20" s="489" t="s">
        <v>171</v>
      </c>
      <c r="C20" s="490"/>
      <c r="D20" s="369" t="s">
        <v>136</v>
      </c>
      <c r="E20" s="426">
        <v>39</v>
      </c>
      <c r="F20" s="378"/>
      <c r="G20" s="367">
        <v>6.03</v>
      </c>
      <c r="H20" s="380">
        <f t="shared" si="1"/>
        <v>235.17000000000002</v>
      </c>
      <c r="I20" s="381">
        <v>46100</v>
      </c>
      <c r="J20" s="341"/>
      <c r="K20" s="363"/>
    </row>
    <row r="21" spans="1:19" ht="24" customHeight="1">
      <c r="A21" s="376">
        <v>13</v>
      </c>
      <c r="B21" s="489" t="s">
        <v>172</v>
      </c>
      <c r="C21" s="490"/>
      <c r="D21" s="365" t="s">
        <v>168</v>
      </c>
      <c r="E21" s="426">
        <v>42</v>
      </c>
      <c r="F21" s="378"/>
      <c r="G21" s="367">
        <v>1.3</v>
      </c>
      <c r="H21" s="380">
        <f t="shared" si="1"/>
        <v>54.6</v>
      </c>
      <c r="I21" s="381">
        <v>46005</v>
      </c>
      <c r="J21" s="341"/>
      <c r="K21" s="363"/>
    </row>
    <row r="22" spans="1:19" ht="28.5" customHeight="1">
      <c r="A22" s="376">
        <v>14</v>
      </c>
      <c r="B22" s="489" t="s">
        <v>173</v>
      </c>
      <c r="C22" s="490"/>
      <c r="D22" s="365" t="s">
        <v>168</v>
      </c>
      <c r="E22" s="426">
        <v>26</v>
      </c>
      <c r="F22" s="378"/>
      <c r="G22" s="367">
        <v>1.3</v>
      </c>
      <c r="H22" s="380">
        <f t="shared" si="1"/>
        <v>33.800000000000004</v>
      </c>
      <c r="I22" s="381">
        <v>46057</v>
      </c>
      <c r="J22" s="341"/>
      <c r="K22" s="363"/>
    </row>
    <row r="23" spans="1:19" ht="21.75" customHeight="1">
      <c r="A23" s="376">
        <v>15</v>
      </c>
      <c r="B23" s="489" t="s">
        <v>158</v>
      </c>
      <c r="C23" s="490"/>
      <c r="D23" s="365" t="s">
        <v>163</v>
      </c>
      <c r="E23" s="426">
        <v>2</v>
      </c>
      <c r="F23" s="378"/>
      <c r="G23" s="367">
        <v>13.62</v>
      </c>
      <c r="H23" s="380">
        <f t="shared" si="1"/>
        <v>27.24</v>
      </c>
      <c r="I23" s="381">
        <v>46067</v>
      </c>
      <c r="J23" s="341"/>
      <c r="K23" s="363"/>
      <c r="N23" s="344"/>
      <c r="O23" s="344"/>
    </row>
    <row r="24" spans="1:19" ht="26.25" customHeight="1">
      <c r="A24" s="376">
        <v>16</v>
      </c>
      <c r="B24" s="489" t="s">
        <v>159</v>
      </c>
      <c r="C24" s="490"/>
      <c r="D24" s="365" t="s">
        <v>163</v>
      </c>
      <c r="E24" s="426">
        <v>3</v>
      </c>
      <c r="F24" s="378"/>
      <c r="G24" s="371">
        <v>15.07</v>
      </c>
      <c r="H24" s="380">
        <f t="shared" si="1"/>
        <v>45.21</v>
      </c>
      <c r="I24" s="381">
        <v>46151</v>
      </c>
      <c r="J24" s="341"/>
      <c r="K24" s="363"/>
      <c r="N24" s="344"/>
      <c r="O24" s="344"/>
    </row>
    <row r="25" spans="1:19" ht="15" customHeight="1">
      <c r="A25" s="376">
        <v>17</v>
      </c>
      <c r="B25" s="489" t="s">
        <v>174</v>
      </c>
      <c r="C25" s="490"/>
      <c r="D25" s="370" t="s">
        <v>163</v>
      </c>
      <c r="E25" s="426">
        <v>4</v>
      </c>
      <c r="F25" s="383"/>
      <c r="G25" s="373">
        <v>8.31</v>
      </c>
      <c r="H25" s="380">
        <f t="shared" si="1"/>
        <v>33.24</v>
      </c>
      <c r="I25" s="381">
        <v>46086</v>
      </c>
      <c r="J25" s="341"/>
      <c r="K25" s="363"/>
    </row>
    <row r="26" spans="1:19" ht="15" customHeight="1">
      <c r="A26" s="376">
        <v>18</v>
      </c>
      <c r="B26" s="489" t="s">
        <v>175</v>
      </c>
      <c r="C26" s="490"/>
      <c r="D26" s="372" t="s">
        <v>169</v>
      </c>
      <c r="E26" s="426">
        <v>1</v>
      </c>
      <c r="F26" s="383"/>
      <c r="G26" s="371">
        <v>25.1</v>
      </c>
      <c r="H26" s="380">
        <f t="shared" si="1"/>
        <v>25.1</v>
      </c>
      <c r="I26" s="381">
        <v>46265</v>
      </c>
      <c r="J26" s="341"/>
      <c r="K26" s="363"/>
    </row>
    <row r="27" spans="1:19" ht="15" customHeight="1">
      <c r="A27" s="376">
        <v>19</v>
      </c>
      <c r="B27" s="489" t="s">
        <v>176</v>
      </c>
      <c r="C27" s="490"/>
      <c r="D27" s="370" t="s">
        <v>169</v>
      </c>
      <c r="E27" s="426">
        <v>0</v>
      </c>
      <c r="F27" s="383"/>
      <c r="G27" s="371">
        <v>0</v>
      </c>
      <c r="H27" s="380">
        <f t="shared" si="1"/>
        <v>0</v>
      </c>
      <c r="I27" s="381">
        <v>45990</v>
      </c>
      <c r="J27" s="341"/>
      <c r="K27" s="363"/>
    </row>
    <row r="28" spans="1:19" ht="18.75" customHeight="1">
      <c r="A28" s="376">
        <v>20</v>
      </c>
      <c r="B28" s="541" t="s">
        <v>177</v>
      </c>
      <c r="C28" s="541"/>
      <c r="D28" s="374" t="s">
        <v>169</v>
      </c>
      <c r="E28" s="426">
        <v>0</v>
      </c>
      <c r="F28" s="385"/>
      <c r="G28" s="371">
        <v>0</v>
      </c>
      <c r="H28" s="380">
        <f t="shared" si="1"/>
        <v>0</v>
      </c>
      <c r="I28" s="381">
        <v>45963</v>
      </c>
      <c r="J28" s="341"/>
      <c r="K28" s="363"/>
    </row>
    <row r="29" spans="1:19" ht="24.75" customHeight="1">
      <c r="A29" s="376">
        <v>21</v>
      </c>
      <c r="B29" s="550" t="s">
        <v>178</v>
      </c>
      <c r="C29" s="550"/>
      <c r="D29" s="414" t="s">
        <v>180</v>
      </c>
      <c r="E29" s="426">
        <v>13</v>
      </c>
      <c r="F29" s="386"/>
      <c r="G29" s="428">
        <v>3.72</v>
      </c>
      <c r="H29" s="380">
        <f t="shared" si="1"/>
        <v>48.36</v>
      </c>
      <c r="I29" s="381">
        <v>46085</v>
      </c>
      <c r="J29" s="341"/>
      <c r="K29" s="363"/>
    </row>
    <row r="30" spans="1:19" ht="15" customHeight="1">
      <c r="A30" s="376">
        <v>22</v>
      </c>
      <c r="B30" s="541" t="s">
        <v>179</v>
      </c>
      <c r="C30" s="541"/>
      <c r="D30" s="366" t="s">
        <v>180</v>
      </c>
      <c r="E30" s="426">
        <v>15</v>
      </c>
      <c r="F30" s="387"/>
      <c r="G30" s="428">
        <v>3.72</v>
      </c>
      <c r="H30" s="380">
        <f t="shared" si="1"/>
        <v>55.800000000000004</v>
      </c>
      <c r="I30" s="388">
        <v>46155</v>
      </c>
      <c r="J30" s="343"/>
      <c r="K30" s="363"/>
    </row>
    <row r="31" spans="1:19" ht="32.25" customHeight="1" thickBot="1">
      <c r="A31" s="545" t="s">
        <v>97</v>
      </c>
      <c r="B31" s="546"/>
      <c r="C31" s="546"/>
      <c r="D31" s="546"/>
      <c r="E31" s="546"/>
      <c r="F31" s="546"/>
      <c r="G31" s="547"/>
      <c r="H31" s="389">
        <f>SUM(H9:H30)</f>
        <v>2425.4919999999997</v>
      </c>
      <c r="I31" s="390"/>
      <c r="J31" s="343"/>
      <c r="K31" s="342"/>
      <c r="S31" s="350"/>
    </row>
    <row r="32" spans="1:19" ht="21" customHeight="1" thickTop="1">
      <c r="A32" s="391"/>
      <c r="B32" s="548" t="s">
        <v>198</v>
      </c>
      <c r="C32" s="548"/>
      <c r="D32" s="548"/>
      <c r="E32" s="548"/>
      <c r="F32" s="548"/>
      <c r="G32" s="548"/>
      <c r="H32" s="548"/>
      <c r="I32" s="549"/>
      <c r="J32" s="343"/>
      <c r="K32" s="342"/>
      <c r="S32" s="351"/>
    </row>
    <row r="33" spans="1:19" ht="24.75" customHeight="1">
      <c r="A33" s="392">
        <v>1</v>
      </c>
      <c r="B33" s="526" t="s">
        <v>167</v>
      </c>
      <c r="C33" s="526"/>
      <c r="D33" s="377" t="s">
        <v>95</v>
      </c>
      <c r="E33" s="392">
        <v>0</v>
      </c>
      <c r="F33" s="393"/>
      <c r="G33" s="371">
        <v>24.09</v>
      </c>
      <c r="H33" s="393">
        <f>E33*G33</f>
        <v>0</v>
      </c>
      <c r="I33" s="394"/>
      <c r="S33" s="351"/>
    </row>
    <row r="34" spans="1:19" ht="24.75" customHeight="1">
      <c r="A34" s="392">
        <v>2</v>
      </c>
      <c r="B34" s="493" t="s">
        <v>185</v>
      </c>
      <c r="C34" s="494"/>
      <c r="D34" s="377" t="s">
        <v>95</v>
      </c>
      <c r="E34" s="392">
        <v>0</v>
      </c>
      <c r="F34" s="393"/>
      <c r="G34" s="371">
        <v>6.92</v>
      </c>
      <c r="H34" s="393">
        <f t="shared" ref="H34:H35" si="2">E34*G34</f>
        <v>0</v>
      </c>
      <c r="I34" s="394"/>
      <c r="S34" s="351"/>
    </row>
    <row r="35" spans="1:19" ht="24.75" customHeight="1">
      <c r="A35" s="392">
        <v>3</v>
      </c>
      <c r="B35" s="493" t="s">
        <v>186</v>
      </c>
      <c r="C35" s="494"/>
      <c r="D35" s="365" t="s">
        <v>187</v>
      </c>
      <c r="E35" s="392">
        <v>0</v>
      </c>
      <c r="F35" s="393"/>
      <c r="G35" s="478">
        <v>3.359</v>
      </c>
      <c r="H35" s="393">
        <f t="shared" si="2"/>
        <v>0</v>
      </c>
      <c r="I35" s="394"/>
      <c r="S35" s="351"/>
    </row>
    <row r="36" spans="1:19" ht="15" customHeight="1" thickBot="1">
      <c r="A36" s="538" t="s">
        <v>97</v>
      </c>
      <c r="B36" s="539"/>
      <c r="C36" s="539"/>
      <c r="D36" s="539"/>
      <c r="E36" s="539"/>
      <c r="F36" s="539"/>
      <c r="G36" s="540"/>
      <c r="H36" s="395">
        <f>SUM(H33:H35)</f>
        <v>0</v>
      </c>
      <c r="I36" s="396"/>
      <c r="S36" s="351"/>
    </row>
    <row r="37" spans="1:19" ht="15" customHeight="1" thickTop="1" thickBot="1">
      <c r="A37" s="567"/>
      <c r="B37" s="568"/>
      <c r="C37" s="568"/>
      <c r="D37" s="568"/>
      <c r="E37" s="568"/>
      <c r="F37" s="568"/>
      <c r="G37" s="568"/>
      <c r="H37" s="397"/>
      <c r="I37" s="398"/>
      <c r="S37" s="351"/>
    </row>
    <row r="38" spans="1:19" ht="8.25" customHeight="1" thickTop="1" thickBot="1">
      <c r="A38" s="399"/>
      <c r="B38" s="400"/>
      <c r="C38" s="400"/>
      <c r="D38" s="400"/>
      <c r="E38" s="400"/>
      <c r="F38" s="400"/>
      <c r="G38" s="400"/>
      <c r="H38" s="401"/>
      <c r="I38" s="402"/>
      <c r="S38" s="351"/>
    </row>
    <row r="39" spans="1:19" ht="17.25" customHeight="1" thickTop="1">
      <c r="A39" s="532" t="s">
        <v>196</v>
      </c>
      <c r="B39" s="533"/>
      <c r="C39" s="533"/>
      <c r="D39" s="533"/>
      <c r="E39" s="533"/>
      <c r="F39" s="533"/>
      <c r="G39" s="533"/>
      <c r="H39" s="533"/>
      <c r="I39" s="534"/>
      <c r="S39" s="351"/>
    </row>
    <row r="40" spans="1:19" ht="16.5" customHeight="1">
      <c r="A40" s="535"/>
      <c r="B40" s="536"/>
      <c r="C40" s="536"/>
      <c r="D40" s="536"/>
      <c r="E40" s="536"/>
      <c r="F40" s="536"/>
      <c r="G40" s="536"/>
      <c r="H40" s="536"/>
      <c r="I40" s="537"/>
      <c r="S40" s="351"/>
    </row>
    <row r="41" spans="1:19" ht="12.75" customHeight="1">
      <c r="A41" s="403" t="s">
        <v>150</v>
      </c>
      <c r="B41" s="491" t="s">
        <v>151</v>
      </c>
      <c r="C41" s="492"/>
      <c r="D41" s="369" t="s">
        <v>152</v>
      </c>
      <c r="E41" s="369" t="s">
        <v>153</v>
      </c>
      <c r="F41" s="369" t="s">
        <v>154</v>
      </c>
      <c r="G41" s="404" t="s">
        <v>155</v>
      </c>
      <c r="H41" s="405"/>
      <c r="I41" s="406" t="s">
        <v>156</v>
      </c>
      <c r="S41" s="351"/>
    </row>
    <row r="42" spans="1:19" ht="55.5" customHeight="1">
      <c r="A42" s="403">
        <v>1</v>
      </c>
      <c r="B42" s="497" t="s">
        <v>188</v>
      </c>
      <c r="C42" s="497"/>
      <c r="D42" s="365"/>
      <c r="E42" s="447" t="s">
        <v>201</v>
      </c>
      <c r="F42" s="445">
        <v>4</v>
      </c>
      <c r="G42" s="367">
        <v>25.56</v>
      </c>
      <c r="H42" s="405"/>
      <c r="I42" s="406">
        <f>F42*G42</f>
        <v>102.24</v>
      </c>
      <c r="S42" s="351"/>
    </row>
    <row r="43" spans="1:19" ht="48" customHeight="1">
      <c r="A43" s="403">
        <v>2</v>
      </c>
      <c r="B43" s="496" t="s">
        <v>189</v>
      </c>
      <c r="C43" s="496"/>
      <c r="D43" s="365"/>
      <c r="E43" s="447" t="s">
        <v>201</v>
      </c>
      <c r="F43" s="445">
        <v>5</v>
      </c>
      <c r="G43" s="367">
        <v>6.92</v>
      </c>
      <c r="H43" s="405"/>
      <c r="I43" s="406">
        <f t="shared" ref="I43:I50" si="3">F43*G43</f>
        <v>34.6</v>
      </c>
      <c r="S43" s="351"/>
    </row>
    <row r="44" spans="1:19" ht="48.75" customHeight="1">
      <c r="A44" s="403">
        <v>3</v>
      </c>
      <c r="B44" s="496" t="s">
        <v>189</v>
      </c>
      <c r="C44" s="496"/>
      <c r="D44" s="366"/>
      <c r="E44" s="447" t="s">
        <v>202</v>
      </c>
      <c r="F44" s="445">
        <v>3</v>
      </c>
      <c r="G44" s="367">
        <v>6.92</v>
      </c>
      <c r="H44" s="405"/>
      <c r="I44" s="406">
        <f t="shared" si="3"/>
        <v>20.759999999999998</v>
      </c>
      <c r="S44" s="351"/>
    </row>
    <row r="45" spans="1:19" ht="48.75" customHeight="1">
      <c r="A45" s="403">
        <v>4</v>
      </c>
      <c r="B45" s="496" t="s">
        <v>203</v>
      </c>
      <c r="C45" s="496"/>
      <c r="D45" s="366"/>
      <c r="E45" s="447" t="s">
        <v>201</v>
      </c>
      <c r="F45" s="445">
        <v>1</v>
      </c>
      <c r="G45" s="367">
        <v>13.62</v>
      </c>
      <c r="H45" s="405"/>
      <c r="I45" s="406">
        <f t="shared" si="3"/>
        <v>13.62</v>
      </c>
      <c r="S45" s="351"/>
    </row>
    <row r="46" spans="1:19" ht="48.75" customHeight="1">
      <c r="A46" s="403">
        <v>5</v>
      </c>
      <c r="B46" s="495" t="s">
        <v>173</v>
      </c>
      <c r="C46" s="495"/>
      <c r="D46" s="366"/>
      <c r="E46" s="447" t="s">
        <v>201</v>
      </c>
      <c r="F46" s="445">
        <v>2</v>
      </c>
      <c r="G46" s="367">
        <v>1.3</v>
      </c>
      <c r="H46" s="405"/>
      <c r="I46" s="406">
        <f t="shared" ref="I46:I49" si="4">F46*G46</f>
        <v>2.6</v>
      </c>
      <c r="S46" s="351"/>
    </row>
    <row r="47" spans="1:19" ht="48.75" customHeight="1">
      <c r="A47" s="403">
        <v>6</v>
      </c>
      <c r="B47" s="496" t="s">
        <v>189</v>
      </c>
      <c r="C47" s="496"/>
      <c r="D47" s="366"/>
      <c r="E47" s="447" t="s">
        <v>204</v>
      </c>
      <c r="F47" s="445">
        <v>13</v>
      </c>
      <c r="G47" s="367">
        <v>6.92</v>
      </c>
      <c r="H47" s="405"/>
      <c r="I47" s="406">
        <f t="shared" si="4"/>
        <v>89.96</v>
      </c>
      <c r="S47" s="351"/>
    </row>
    <row r="48" spans="1:19" ht="48.75" customHeight="1">
      <c r="A48" s="403">
        <v>7</v>
      </c>
      <c r="B48" s="497" t="s">
        <v>188</v>
      </c>
      <c r="C48" s="497"/>
      <c r="D48" s="366"/>
      <c r="E48" s="447" t="s">
        <v>200</v>
      </c>
      <c r="F48" s="445">
        <v>5</v>
      </c>
      <c r="G48" s="367">
        <v>25.56</v>
      </c>
      <c r="H48" s="405"/>
      <c r="I48" s="406">
        <f t="shared" si="4"/>
        <v>127.8</v>
      </c>
      <c r="S48" s="351"/>
    </row>
    <row r="49" spans="1:19" ht="48.75" customHeight="1">
      <c r="A49" s="403">
        <v>8</v>
      </c>
      <c r="B49" s="496" t="s">
        <v>203</v>
      </c>
      <c r="C49" s="496"/>
      <c r="D49" s="366"/>
      <c r="E49" s="447" t="s">
        <v>204</v>
      </c>
      <c r="F49" s="445">
        <v>1</v>
      </c>
      <c r="G49" s="367">
        <v>13.62</v>
      </c>
      <c r="H49" s="405"/>
      <c r="I49" s="406">
        <f t="shared" si="4"/>
        <v>13.62</v>
      </c>
      <c r="S49" s="351"/>
    </row>
    <row r="50" spans="1:19" ht="49.5" customHeight="1">
      <c r="A50" s="403">
        <v>9</v>
      </c>
      <c r="B50" s="496" t="s">
        <v>186</v>
      </c>
      <c r="C50" s="496"/>
      <c r="D50" s="369"/>
      <c r="E50" s="447" t="s">
        <v>204</v>
      </c>
      <c r="F50" s="445">
        <v>1</v>
      </c>
      <c r="G50" s="367">
        <v>3.359</v>
      </c>
      <c r="H50" s="405"/>
      <c r="I50" s="406">
        <f t="shared" si="3"/>
        <v>3.359</v>
      </c>
      <c r="S50" s="351"/>
    </row>
    <row r="51" spans="1:19" ht="31.5" customHeight="1">
      <c r="A51" s="564" t="s">
        <v>160</v>
      </c>
      <c r="B51" s="565"/>
      <c r="C51" s="565"/>
      <c r="D51" s="565"/>
      <c r="E51" s="565"/>
      <c r="F51" s="565"/>
      <c r="G51" s="565"/>
      <c r="H51" s="565"/>
      <c r="I51" s="566"/>
      <c r="S51" s="351"/>
    </row>
    <row r="52" spans="1:19" ht="31.5" customHeight="1">
      <c r="A52" s="446">
        <v>1</v>
      </c>
      <c r="B52" s="569" t="s">
        <v>137</v>
      </c>
      <c r="C52" s="570"/>
      <c r="D52" s="377" t="s">
        <v>136</v>
      </c>
      <c r="E52" s="444" t="s">
        <v>194</v>
      </c>
      <c r="F52" s="479">
        <v>18</v>
      </c>
      <c r="G52" s="480">
        <v>2.15</v>
      </c>
      <c r="H52" s="481"/>
      <c r="I52" s="481">
        <f>F52*G52</f>
        <v>38.699999999999996</v>
      </c>
      <c r="S52" s="351"/>
    </row>
    <row r="53" spans="1:19" ht="31.5" customHeight="1">
      <c r="A53" s="446">
        <v>2</v>
      </c>
      <c r="B53" s="552" t="s">
        <v>172</v>
      </c>
      <c r="C53" s="552"/>
      <c r="D53" s="377" t="s">
        <v>169</v>
      </c>
      <c r="E53" s="444" t="s">
        <v>195</v>
      </c>
      <c r="F53" s="479">
        <v>42</v>
      </c>
      <c r="G53" s="480">
        <v>1.3</v>
      </c>
      <c r="H53" s="481"/>
      <c r="I53" s="481">
        <f>F53*G53</f>
        <v>54.6</v>
      </c>
      <c r="S53" s="351"/>
    </row>
    <row r="54" spans="1:19" ht="31.5" customHeight="1">
      <c r="A54" s="446"/>
      <c r="B54" s="552"/>
      <c r="C54" s="552"/>
      <c r="D54" s="377"/>
      <c r="E54" s="444"/>
      <c r="F54" s="439"/>
      <c r="G54" s="437"/>
      <c r="H54" s="438"/>
      <c r="I54" s="438"/>
      <c r="S54" s="351"/>
    </row>
    <row r="55" spans="1:19" ht="15" customHeight="1">
      <c r="A55" s="504" t="s">
        <v>125</v>
      </c>
      <c r="B55" s="505"/>
      <c r="C55" s="505"/>
      <c r="D55" s="505"/>
      <c r="E55" s="505"/>
      <c r="F55" s="505"/>
      <c r="G55" s="505"/>
      <c r="H55" s="505"/>
      <c r="I55" s="506"/>
      <c r="S55" s="350"/>
    </row>
    <row r="56" spans="1:19" ht="15" customHeight="1">
      <c r="A56" s="407"/>
      <c r="B56" s="407"/>
      <c r="C56" s="407"/>
      <c r="D56" s="407"/>
      <c r="E56" s="407"/>
      <c r="F56" s="407"/>
      <c r="G56" s="407"/>
      <c r="H56" s="407"/>
      <c r="I56" s="407"/>
      <c r="S56" s="350"/>
    </row>
    <row r="57" spans="1:19" ht="15" customHeight="1">
      <c r="A57" s="407"/>
      <c r="B57" s="407"/>
      <c r="C57" s="407"/>
      <c r="D57" s="407"/>
      <c r="E57" s="407"/>
      <c r="F57" s="407"/>
      <c r="G57" s="407"/>
      <c r="H57" s="407"/>
      <c r="I57" s="407"/>
      <c r="S57" s="350"/>
    </row>
    <row r="58" spans="1:19" ht="15" customHeight="1">
      <c r="A58" s="407"/>
      <c r="B58" s="407"/>
      <c r="C58" s="407"/>
      <c r="D58" s="407"/>
      <c r="E58" s="407"/>
      <c r="F58" s="407"/>
      <c r="G58" s="407"/>
      <c r="H58" s="407"/>
      <c r="I58" s="407"/>
      <c r="S58" s="350"/>
    </row>
    <row r="59" spans="1:19" ht="18.75" customHeight="1" thickBot="1">
      <c r="A59" s="499" t="s">
        <v>98</v>
      </c>
      <c r="B59" s="500"/>
      <c r="C59" s="500"/>
      <c r="D59" s="500"/>
      <c r="E59" s="500"/>
      <c r="F59" s="500"/>
      <c r="G59" s="501"/>
      <c r="H59" s="408"/>
      <c r="I59" s="409">
        <f>SUM(I42:I54)</f>
        <v>501.85899999999998</v>
      </c>
      <c r="S59" s="350"/>
    </row>
    <row r="60" spans="1:19" ht="28.5" customHeight="1" thickTop="1" thickBot="1">
      <c r="A60" s="572" t="s">
        <v>148</v>
      </c>
      <c r="B60" s="573"/>
      <c r="C60" s="573"/>
      <c r="D60" s="573"/>
      <c r="E60" s="573"/>
      <c r="F60" s="573"/>
      <c r="G60" s="573"/>
      <c r="H60" s="573"/>
      <c r="I60" s="574"/>
      <c r="O60" s="507"/>
      <c r="P60" s="507"/>
    </row>
    <row r="61" spans="1:19" ht="15" customHeight="1" thickTop="1">
      <c r="A61" s="364"/>
      <c r="B61" s="502"/>
      <c r="C61" s="503"/>
      <c r="D61" s="369"/>
      <c r="E61" s="369"/>
      <c r="F61" s="375"/>
      <c r="G61" s="410"/>
      <c r="H61" s="411"/>
      <c r="I61" s="412"/>
      <c r="O61" s="508">
        <v>0</v>
      </c>
      <c r="P61" s="508"/>
    </row>
    <row r="62" spans="1:19" ht="18.75" customHeight="1">
      <c r="A62" s="364">
        <v>1</v>
      </c>
      <c r="B62" s="489" t="s">
        <v>183</v>
      </c>
      <c r="C62" s="490"/>
      <c r="D62" s="365" t="s">
        <v>95</v>
      </c>
      <c r="E62" s="426"/>
      <c r="F62" s="413"/>
      <c r="G62" s="371">
        <v>24.09</v>
      </c>
      <c r="H62" s="405"/>
      <c r="I62" s="412">
        <f t="shared" ref="I62:I74" si="5">F62*G62</f>
        <v>0</v>
      </c>
      <c r="K62" s="334"/>
      <c r="O62" s="509"/>
      <c r="P62" s="509"/>
    </row>
    <row r="63" spans="1:19" ht="18.75" customHeight="1">
      <c r="A63" s="364">
        <v>2</v>
      </c>
      <c r="B63" s="493" t="s">
        <v>189</v>
      </c>
      <c r="C63" s="494"/>
      <c r="D63" s="365" t="s">
        <v>95</v>
      </c>
      <c r="E63" s="426"/>
      <c r="F63" s="413">
        <v>1</v>
      </c>
      <c r="G63" s="371">
        <v>6.92</v>
      </c>
      <c r="H63" s="405"/>
      <c r="I63" s="412">
        <f t="shared" si="5"/>
        <v>6.92</v>
      </c>
      <c r="K63" s="334"/>
      <c r="O63" s="347"/>
      <c r="P63" s="347"/>
    </row>
    <row r="64" spans="1:19" ht="18.75" customHeight="1">
      <c r="A64" s="364">
        <v>3</v>
      </c>
      <c r="B64" s="491" t="s">
        <v>146</v>
      </c>
      <c r="C64" s="492"/>
      <c r="D64" s="368" t="s">
        <v>136</v>
      </c>
      <c r="E64" s="426"/>
      <c r="F64" s="413"/>
      <c r="G64" s="371">
        <v>4.6150000000000002</v>
      </c>
      <c r="H64" s="405"/>
      <c r="I64" s="412">
        <f t="shared" si="5"/>
        <v>0</v>
      </c>
      <c r="J64" s="333"/>
      <c r="K64" s="334"/>
      <c r="O64" s="571"/>
      <c r="P64" s="571"/>
    </row>
    <row r="65" spans="1:16" ht="18.75" customHeight="1">
      <c r="A65" s="364">
        <v>4</v>
      </c>
      <c r="B65" s="491" t="s">
        <v>137</v>
      </c>
      <c r="C65" s="492"/>
      <c r="D65" s="368" t="s">
        <v>136</v>
      </c>
      <c r="E65" s="426"/>
      <c r="F65" s="413"/>
      <c r="G65" s="371">
        <v>0</v>
      </c>
      <c r="H65" s="405"/>
      <c r="I65" s="412">
        <f t="shared" si="5"/>
        <v>0</v>
      </c>
      <c r="J65" s="333"/>
      <c r="K65" s="334"/>
      <c r="O65" s="571"/>
      <c r="P65" s="571"/>
    </row>
    <row r="66" spans="1:16" ht="18.75" customHeight="1">
      <c r="A66" s="364">
        <v>5</v>
      </c>
      <c r="B66" s="491" t="s">
        <v>139</v>
      </c>
      <c r="C66" s="492"/>
      <c r="D66" s="368" t="s">
        <v>168</v>
      </c>
      <c r="E66" s="426"/>
      <c r="F66" s="413"/>
      <c r="G66" s="371">
        <v>2.71</v>
      </c>
      <c r="H66" s="405"/>
      <c r="I66" s="412">
        <f t="shared" si="5"/>
        <v>0</v>
      </c>
      <c r="J66" s="333"/>
      <c r="K66" s="334"/>
      <c r="O66" s="441"/>
      <c r="P66" s="441"/>
    </row>
    <row r="67" spans="1:16" ht="18.75" customHeight="1">
      <c r="A67" s="364">
        <v>6</v>
      </c>
      <c r="B67" s="491" t="s">
        <v>140</v>
      </c>
      <c r="C67" s="492"/>
      <c r="D67" s="368" t="s">
        <v>169</v>
      </c>
      <c r="E67" s="426"/>
      <c r="F67" s="413"/>
      <c r="G67" s="371">
        <v>3.7389999999999999</v>
      </c>
      <c r="H67" s="405"/>
      <c r="I67" s="412">
        <f t="shared" si="5"/>
        <v>0</v>
      </c>
      <c r="J67" s="333"/>
      <c r="K67" s="334"/>
      <c r="O67" s="441"/>
      <c r="P67" s="441"/>
    </row>
    <row r="68" spans="1:16" ht="18.75" customHeight="1">
      <c r="A68" s="364">
        <v>7</v>
      </c>
      <c r="B68" s="491" t="s">
        <v>138</v>
      </c>
      <c r="C68" s="492"/>
      <c r="D68" s="368" t="s">
        <v>182</v>
      </c>
      <c r="E68" s="426"/>
      <c r="F68" s="413"/>
      <c r="G68" s="371">
        <v>6.2</v>
      </c>
      <c r="H68" s="405"/>
      <c r="I68" s="412">
        <f t="shared" si="5"/>
        <v>0</v>
      </c>
      <c r="J68" s="333"/>
      <c r="K68" s="334"/>
      <c r="O68" s="441"/>
      <c r="P68" s="441"/>
    </row>
    <row r="69" spans="1:16" ht="18.75" customHeight="1">
      <c r="A69" s="364">
        <v>8</v>
      </c>
      <c r="B69" s="491" t="s">
        <v>188</v>
      </c>
      <c r="C69" s="492"/>
      <c r="D69" s="377" t="s">
        <v>95</v>
      </c>
      <c r="E69" s="426"/>
      <c r="F69" s="413"/>
      <c r="G69" s="371">
        <v>25.56</v>
      </c>
      <c r="H69" s="405"/>
      <c r="I69" s="412">
        <f t="shared" si="5"/>
        <v>0</v>
      </c>
      <c r="J69" s="333"/>
      <c r="K69" s="334"/>
      <c r="O69" s="441"/>
      <c r="P69" s="441"/>
    </row>
    <row r="70" spans="1:16" ht="18.75" customHeight="1">
      <c r="A70" s="364">
        <v>9</v>
      </c>
      <c r="B70" s="493" t="s">
        <v>186</v>
      </c>
      <c r="C70" s="494"/>
      <c r="D70" s="377" t="s">
        <v>187</v>
      </c>
      <c r="E70" s="426"/>
      <c r="F70" s="413"/>
      <c r="G70" s="371">
        <v>3.359</v>
      </c>
      <c r="H70" s="405"/>
      <c r="I70" s="412">
        <f t="shared" si="5"/>
        <v>0</v>
      </c>
      <c r="J70" s="333"/>
      <c r="K70" s="334"/>
      <c r="O70" s="441"/>
      <c r="P70" s="441"/>
    </row>
    <row r="71" spans="1:16" ht="27.75" customHeight="1">
      <c r="A71" s="364">
        <v>10</v>
      </c>
      <c r="B71" s="489" t="s">
        <v>171</v>
      </c>
      <c r="C71" s="490"/>
      <c r="D71" s="369" t="s">
        <v>136</v>
      </c>
      <c r="E71" s="426"/>
      <c r="F71" s="413"/>
      <c r="G71" s="371">
        <v>6.03</v>
      </c>
      <c r="H71" s="405"/>
      <c r="I71" s="412">
        <f t="shared" si="5"/>
        <v>0</v>
      </c>
      <c r="J71" s="333"/>
      <c r="K71" s="334"/>
      <c r="O71" s="571"/>
      <c r="P71" s="571"/>
    </row>
    <row r="72" spans="1:16" ht="27.75" customHeight="1">
      <c r="A72" s="364">
        <v>11</v>
      </c>
      <c r="B72" s="489" t="s">
        <v>172</v>
      </c>
      <c r="C72" s="490"/>
      <c r="D72" s="365" t="s">
        <v>168</v>
      </c>
      <c r="E72" s="426"/>
      <c r="F72" s="413"/>
      <c r="G72" s="371">
        <v>0</v>
      </c>
      <c r="H72" s="405"/>
      <c r="I72" s="412">
        <f t="shared" si="5"/>
        <v>0</v>
      </c>
      <c r="J72" s="333"/>
      <c r="K72" s="334"/>
      <c r="O72" s="571"/>
      <c r="P72" s="571"/>
    </row>
    <row r="73" spans="1:16" ht="27.75" customHeight="1">
      <c r="A73" s="364">
        <v>12</v>
      </c>
      <c r="B73" s="489" t="s">
        <v>173</v>
      </c>
      <c r="C73" s="490"/>
      <c r="D73" s="365" t="s">
        <v>168</v>
      </c>
      <c r="E73" s="426"/>
      <c r="F73" s="413"/>
      <c r="G73" s="371">
        <v>1.3</v>
      </c>
      <c r="H73" s="405"/>
      <c r="I73" s="412">
        <f t="shared" si="5"/>
        <v>0</v>
      </c>
      <c r="J73" s="333"/>
      <c r="K73" s="334"/>
      <c r="O73" s="571"/>
      <c r="P73" s="571"/>
    </row>
    <row r="74" spans="1:16" ht="27.75" customHeight="1">
      <c r="A74" s="364">
        <v>13</v>
      </c>
      <c r="B74" s="489" t="s">
        <v>158</v>
      </c>
      <c r="C74" s="490"/>
      <c r="D74" s="365" t="s">
        <v>163</v>
      </c>
      <c r="E74" s="426"/>
      <c r="F74" s="413"/>
      <c r="G74" s="371">
        <v>13.62</v>
      </c>
      <c r="H74" s="405"/>
      <c r="I74" s="412">
        <f t="shared" si="5"/>
        <v>0</v>
      </c>
      <c r="J74" s="333"/>
      <c r="K74" s="334"/>
      <c r="O74" s="571"/>
      <c r="P74" s="571"/>
    </row>
    <row r="75" spans="1:16" ht="24" customHeight="1">
      <c r="A75" s="364">
        <v>14</v>
      </c>
      <c r="B75" s="489" t="s">
        <v>159</v>
      </c>
      <c r="C75" s="490"/>
      <c r="D75" s="365" t="s">
        <v>163</v>
      </c>
      <c r="E75" s="426"/>
      <c r="F75" s="413"/>
      <c r="G75" s="371">
        <v>15.07</v>
      </c>
      <c r="H75" s="405"/>
      <c r="I75" s="412">
        <f t="shared" ref="I75:I77" si="6">F75*G75</f>
        <v>0</v>
      </c>
      <c r="J75" s="333"/>
      <c r="K75" s="334"/>
      <c r="O75" s="486"/>
      <c r="P75" s="486"/>
    </row>
    <row r="76" spans="1:16" ht="18.75" customHeight="1">
      <c r="A76" s="364">
        <v>15</v>
      </c>
      <c r="B76" s="489" t="s">
        <v>174</v>
      </c>
      <c r="C76" s="490"/>
      <c r="D76" s="370" t="s">
        <v>163</v>
      </c>
      <c r="E76" s="426"/>
      <c r="F76" s="413"/>
      <c r="G76" s="371">
        <v>8.31</v>
      </c>
      <c r="H76" s="405"/>
      <c r="I76" s="412">
        <f t="shared" si="6"/>
        <v>0</v>
      </c>
      <c r="J76" s="333"/>
      <c r="K76" s="334"/>
      <c r="O76" s="486"/>
      <c r="P76" s="486"/>
    </row>
    <row r="77" spans="1:16" ht="18.75" customHeight="1">
      <c r="A77" s="364">
        <v>16</v>
      </c>
      <c r="B77" s="489" t="s">
        <v>175</v>
      </c>
      <c r="C77" s="490"/>
      <c r="D77" s="372" t="s">
        <v>169</v>
      </c>
      <c r="E77" s="426"/>
      <c r="F77" s="413"/>
      <c r="G77" s="371">
        <v>25.1</v>
      </c>
      <c r="H77" s="405"/>
      <c r="I77" s="412">
        <f t="shared" si="6"/>
        <v>0</v>
      </c>
      <c r="J77" s="333"/>
      <c r="K77" s="334"/>
      <c r="O77" s="486"/>
      <c r="P77" s="486"/>
    </row>
    <row r="78" spans="1:16" ht="18.75" customHeight="1">
      <c r="A78" s="364">
        <v>17</v>
      </c>
      <c r="B78" s="550" t="s">
        <v>178</v>
      </c>
      <c r="C78" s="550"/>
      <c r="D78" s="414" t="s">
        <v>180</v>
      </c>
      <c r="E78" s="426"/>
      <c r="F78" s="415"/>
      <c r="G78" s="371">
        <v>3.72</v>
      </c>
      <c r="H78" s="416"/>
      <c r="I78" s="417">
        <f>F78*G78</f>
        <v>0</v>
      </c>
      <c r="J78" s="333"/>
      <c r="K78" s="334"/>
      <c r="O78" s="345"/>
      <c r="P78" s="345"/>
    </row>
    <row r="79" spans="1:16" ht="18.75" customHeight="1">
      <c r="A79" s="364">
        <v>18</v>
      </c>
      <c r="B79" s="541" t="s">
        <v>179</v>
      </c>
      <c r="C79" s="541"/>
      <c r="D79" s="366" t="s">
        <v>180</v>
      </c>
      <c r="E79" s="426"/>
      <c r="F79" s="413">
        <v>1</v>
      </c>
      <c r="G79" s="367">
        <v>3.72</v>
      </c>
      <c r="H79" s="405"/>
      <c r="I79" s="417">
        <f t="shared" ref="I79" si="7">F79*G79</f>
        <v>3.72</v>
      </c>
      <c r="J79" s="333"/>
      <c r="K79" s="334"/>
      <c r="O79" s="345"/>
      <c r="P79" s="345"/>
    </row>
    <row r="80" spans="1:16" ht="15" customHeight="1" thickBot="1">
      <c r="A80" s="560" t="s">
        <v>145</v>
      </c>
      <c r="B80" s="561"/>
      <c r="C80" s="561"/>
      <c r="D80" s="561"/>
      <c r="E80" s="561"/>
      <c r="F80" s="561"/>
      <c r="G80" s="561"/>
      <c r="H80" s="561"/>
      <c r="I80" s="418">
        <f>SUM(I62:I79)</f>
        <v>10.64</v>
      </c>
      <c r="J80" s="333"/>
      <c r="K80" s="334"/>
      <c r="O80" s="486"/>
      <c r="P80" s="486"/>
    </row>
    <row r="81" spans="1:16" ht="15" customHeight="1" thickTop="1" thickBot="1">
      <c r="A81" s="419"/>
      <c r="B81" s="420"/>
      <c r="C81" s="420"/>
      <c r="D81" s="420"/>
      <c r="E81" s="420"/>
      <c r="F81" s="420"/>
      <c r="G81" s="420"/>
      <c r="H81" s="420"/>
      <c r="I81" s="421">
        <v>0</v>
      </c>
      <c r="J81" s="333"/>
      <c r="K81" s="334"/>
      <c r="O81" s="486"/>
      <c r="P81" s="486"/>
    </row>
    <row r="82" spans="1:16" ht="18" customHeight="1" thickTop="1" thickBot="1">
      <c r="A82" s="419"/>
      <c r="B82" s="559" t="s">
        <v>197</v>
      </c>
      <c r="C82" s="559"/>
      <c r="D82" s="559"/>
      <c r="E82" s="559"/>
      <c r="F82" s="559"/>
      <c r="G82" s="559"/>
      <c r="H82" s="559"/>
      <c r="I82" s="422">
        <f>I59+I80</f>
        <v>512.49900000000002</v>
      </c>
      <c r="J82" s="333"/>
      <c r="K82" s="334"/>
      <c r="O82" s="509"/>
      <c r="P82" s="509"/>
    </row>
    <row r="83" spans="1:16" ht="15" customHeight="1" thickTop="1" thickBot="1">
      <c r="A83" s="419"/>
      <c r="B83" s="420"/>
      <c r="C83" s="420"/>
      <c r="D83" s="420"/>
      <c r="E83" s="420"/>
      <c r="F83" s="420"/>
      <c r="G83" s="420"/>
      <c r="H83" s="420"/>
      <c r="I83" s="423"/>
      <c r="J83" s="333"/>
      <c r="K83" s="334"/>
      <c r="O83" s="486"/>
      <c r="P83" s="486"/>
    </row>
    <row r="84" spans="1:16" ht="23.25" customHeight="1" thickTop="1" thickBot="1">
      <c r="A84" s="556"/>
      <c r="B84" s="557"/>
      <c r="C84" s="557"/>
      <c r="D84" s="557"/>
      <c r="E84" s="557"/>
      <c r="F84" s="557"/>
      <c r="G84" s="557"/>
      <c r="H84" s="557"/>
      <c r="I84" s="558"/>
      <c r="J84" s="333"/>
      <c r="K84" s="334"/>
      <c r="O84" s="486"/>
      <c r="P84" s="486"/>
    </row>
    <row r="85" spans="1:16" ht="23.25" customHeight="1" thickTop="1">
      <c r="A85" s="553" t="s">
        <v>199</v>
      </c>
      <c r="B85" s="554"/>
      <c r="C85" s="554"/>
      <c r="D85" s="554"/>
      <c r="E85" s="554"/>
      <c r="F85" s="554"/>
      <c r="G85" s="555"/>
      <c r="H85" s="424">
        <f>(H31+H36)-(I59+I80)</f>
        <v>1912.9929999999997</v>
      </c>
      <c r="I85" s="425"/>
      <c r="J85" s="333"/>
      <c r="K85" s="334"/>
    </row>
    <row r="86" spans="1:16" ht="30" customHeight="1">
      <c r="A86" s="498"/>
      <c r="B86" s="498"/>
      <c r="C86" s="498"/>
      <c r="D86" s="512" t="s">
        <v>191</v>
      </c>
      <c r="E86" s="513"/>
      <c r="F86" s="426">
        <v>25</v>
      </c>
      <c r="G86" s="371">
        <v>24.09</v>
      </c>
      <c r="H86" s="427">
        <f t="shared" ref="H86:H88" si="8">F86*G86</f>
        <v>602.25</v>
      </c>
      <c r="I86" s="520">
        <f>(H31+H36)-(I59+I80)</f>
        <v>1912.9929999999997</v>
      </c>
      <c r="J86" s="333"/>
      <c r="K86" s="347"/>
      <c r="L86" s="346"/>
    </row>
    <row r="87" spans="1:16" ht="19.5" customHeight="1">
      <c r="A87" s="498"/>
      <c r="B87" s="498"/>
      <c r="C87" s="498"/>
      <c r="D87" s="487" t="s">
        <v>189</v>
      </c>
      <c r="E87" s="488"/>
      <c r="F87" s="426">
        <v>48</v>
      </c>
      <c r="G87" s="371">
        <v>6.92</v>
      </c>
      <c r="H87" s="427">
        <f t="shared" si="8"/>
        <v>332.15999999999997</v>
      </c>
      <c r="I87" s="520"/>
      <c r="J87" s="333"/>
      <c r="K87" s="347"/>
      <c r="L87" s="346"/>
    </row>
    <row r="88" spans="1:16" ht="19.5" customHeight="1">
      <c r="A88" s="498"/>
      <c r="B88" s="498"/>
      <c r="C88" s="498"/>
      <c r="D88" s="523" t="s">
        <v>146</v>
      </c>
      <c r="E88" s="524"/>
      <c r="F88" s="426">
        <v>16</v>
      </c>
      <c r="G88" s="367">
        <v>4.6150000000000002</v>
      </c>
      <c r="H88" s="427">
        <f t="shared" si="8"/>
        <v>73.84</v>
      </c>
      <c r="I88" s="520" t="e">
        <f>(F30+F33)-(#REF!+G80)</f>
        <v>#REF!</v>
      </c>
      <c r="J88" s="333"/>
      <c r="K88" s="347"/>
      <c r="L88" s="346"/>
    </row>
    <row r="89" spans="1:16" ht="23.25" customHeight="1">
      <c r="A89" s="498"/>
      <c r="B89" s="498"/>
      <c r="C89" s="498"/>
      <c r="D89" s="523" t="s">
        <v>137</v>
      </c>
      <c r="E89" s="524"/>
      <c r="F89" s="426">
        <v>0</v>
      </c>
      <c r="G89" s="367">
        <v>2.15</v>
      </c>
      <c r="H89" s="427">
        <f>F89*G89</f>
        <v>0</v>
      </c>
      <c r="I89" s="520" t="e">
        <f>(#REF!+#REF!)-(#REF!+G81)</f>
        <v>#REF!</v>
      </c>
      <c r="J89" s="333"/>
      <c r="K89" s="347"/>
      <c r="L89" s="346"/>
    </row>
    <row r="90" spans="1:16" ht="23.25" customHeight="1">
      <c r="A90" s="498"/>
      <c r="B90" s="498"/>
      <c r="C90" s="498"/>
      <c r="D90" s="562" t="s">
        <v>139</v>
      </c>
      <c r="E90" s="563"/>
      <c r="F90" s="426">
        <v>5</v>
      </c>
      <c r="G90" s="367">
        <v>2.71</v>
      </c>
      <c r="H90" s="427">
        <f t="shared" ref="H90:H103" si="9">F90*G90</f>
        <v>13.55</v>
      </c>
      <c r="I90" s="520"/>
      <c r="J90" s="333"/>
      <c r="K90" s="347"/>
      <c r="L90" s="346"/>
    </row>
    <row r="91" spans="1:16" ht="23.25" customHeight="1">
      <c r="A91" s="498"/>
      <c r="B91" s="498"/>
      <c r="C91" s="498"/>
      <c r="D91" s="562" t="s">
        <v>140</v>
      </c>
      <c r="E91" s="563"/>
      <c r="F91" s="426">
        <v>4</v>
      </c>
      <c r="G91" s="367">
        <v>3.7389999999999999</v>
      </c>
      <c r="H91" s="427">
        <f t="shared" si="9"/>
        <v>14.956</v>
      </c>
      <c r="I91" s="520"/>
      <c r="J91" s="333"/>
      <c r="K91" s="347"/>
      <c r="L91" s="346"/>
    </row>
    <row r="92" spans="1:16" ht="23.25" customHeight="1">
      <c r="A92" s="498"/>
      <c r="B92" s="498"/>
      <c r="C92" s="498"/>
      <c r="D92" s="562" t="s">
        <v>138</v>
      </c>
      <c r="E92" s="563"/>
      <c r="F92" s="426">
        <v>2</v>
      </c>
      <c r="G92" s="367">
        <v>6.2</v>
      </c>
      <c r="H92" s="427">
        <f t="shared" si="9"/>
        <v>12.4</v>
      </c>
      <c r="I92" s="520"/>
      <c r="J92" s="333"/>
      <c r="K92" s="347"/>
      <c r="L92" s="346"/>
    </row>
    <row r="93" spans="1:16" ht="23.25" customHeight="1">
      <c r="A93" s="498"/>
      <c r="B93" s="498"/>
      <c r="C93" s="498"/>
      <c r="D93" s="512" t="s">
        <v>190</v>
      </c>
      <c r="E93" s="513"/>
      <c r="F93" s="426">
        <v>15</v>
      </c>
      <c r="G93" s="367">
        <v>25.56</v>
      </c>
      <c r="H93" s="427">
        <f t="shared" si="9"/>
        <v>383.4</v>
      </c>
      <c r="I93" s="520"/>
      <c r="J93" s="333"/>
      <c r="K93" s="347"/>
      <c r="L93" s="346"/>
    </row>
    <row r="94" spans="1:16" ht="24" customHeight="1">
      <c r="A94" s="498"/>
      <c r="B94" s="498"/>
      <c r="C94" s="498"/>
      <c r="D94" s="487" t="s">
        <v>186</v>
      </c>
      <c r="E94" s="488"/>
      <c r="F94" s="426">
        <v>3</v>
      </c>
      <c r="G94" s="367">
        <v>3.359</v>
      </c>
      <c r="H94" s="427">
        <f t="shared" si="9"/>
        <v>10.077</v>
      </c>
      <c r="I94" s="520">
        <f>(F32+F37)-(G60+G83)</f>
        <v>0</v>
      </c>
      <c r="J94" s="333"/>
      <c r="K94" s="347"/>
      <c r="L94" s="346"/>
    </row>
    <row r="95" spans="1:16" ht="20.25" customHeight="1">
      <c r="A95" s="498"/>
      <c r="B95" s="498"/>
      <c r="C95" s="498"/>
      <c r="D95" s="512" t="s">
        <v>171</v>
      </c>
      <c r="E95" s="513"/>
      <c r="F95" s="426">
        <v>39</v>
      </c>
      <c r="G95" s="367">
        <v>6.03</v>
      </c>
      <c r="H95" s="427">
        <f t="shared" si="9"/>
        <v>235.17000000000002</v>
      </c>
      <c r="I95" s="520" t="e">
        <f>(#REF!+F38)-(G61+G84)</f>
        <v>#REF!</v>
      </c>
      <c r="J95" s="333"/>
      <c r="K95" s="361"/>
      <c r="L95" s="346"/>
    </row>
    <row r="96" spans="1:16" ht="25.5" customHeight="1">
      <c r="A96" s="498"/>
      <c r="B96" s="498"/>
      <c r="C96" s="498"/>
      <c r="D96" s="512" t="s">
        <v>172</v>
      </c>
      <c r="E96" s="513"/>
      <c r="F96" s="426">
        <v>0</v>
      </c>
      <c r="G96" s="367">
        <v>1.3</v>
      </c>
      <c r="H96" s="427">
        <f t="shared" si="9"/>
        <v>0</v>
      </c>
      <c r="I96" s="520" t="e">
        <f>(#REF!+F39)-(G62+G85)</f>
        <v>#REF!</v>
      </c>
      <c r="J96" s="333"/>
      <c r="K96" s="347"/>
      <c r="L96" s="346"/>
    </row>
    <row r="97" spans="1:12" ht="21.75" customHeight="1">
      <c r="A97" s="498"/>
      <c r="B97" s="498"/>
      <c r="C97" s="498"/>
      <c r="D97" s="512" t="s">
        <v>173</v>
      </c>
      <c r="E97" s="513"/>
      <c r="F97" s="426">
        <v>24</v>
      </c>
      <c r="G97" s="367">
        <v>1.3</v>
      </c>
      <c r="H97" s="427">
        <f t="shared" si="9"/>
        <v>31.200000000000003</v>
      </c>
      <c r="I97" s="521" t="e">
        <f>(F33+F40)-(#REF!+G86)</f>
        <v>#REF!</v>
      </c>
      <c r="J97" s="333"/>
      <c r="K97" s="347"/>
      <c r="L97" s="346"/>
    </row>
    <row r="98" spans="1:12" ht="24" customHeight="1">
      <c r="A98" s="498"/>
      <c r="B98" s="498"/>
      <c r="C98" s="498"/>
      <c r="D98" s="512" t="s">
        <v>158</v>
      </c>
      <c r="E98" s="513"/>
      <c r="F98" s="426">
        <v>0</v>
      </c>
      <c r="G98" s="367">
        <v>13.62</v>
      </c>
      <c r="H98" s="427">
        <f t="shared" si="9"/>
        <v>0</v>
      </c>
      <c r="I98" s="522" t="e">
        <f>(#REF!+F41)-(#REF!+#REF!)</f>
        <v>#REF!</v>
      </c>
      <c r="J98" s="333"/>
      <c r="K98" s="347"/>
      <c r="L98" s="346"/>
    </row>
    <row r="99" spans="1:12" ht="15" customHeight="1">
      <c r="A99" s="498"/>
      <c r="B99" s="498"/>
      <c r="C99" s="498"/>
      <c r="D99" s="512" t="s">
        <v>159</v>
      </c>
      <c r="E99" s="513"/>
      <c r="F99" s="426">
        <v>3</v>
      </c>
      <c r="G99" s="371">
        <v>15.07</v>
      </c>
      <c r="H99" s="427">
        <f t="shared" si="9"/>
        <v>45.21</v>
      </c>
      <c r="I99" s="521" t="e">
        <f>(F37+#REF!)-(G65+G88)</f>
        <v>#REF!</v>
      </c>
      <c r="K99" s="348"/>
      <c r="L99" s="346"/>
    </row>
    <row r="100" spans="1:12" ht="13">
      <c r="A100" s="498"/>
      <c r="B100" s="498"/>
      <c r="C100" s="498"/>
      <c r="D100" s="512" t="s">
        <v>174</v>
      </c>
      <c r="E100" s="513"/>
      <c r="F100" s="426">
        <v>4</v>
      </c>
      <c r="G100" s="373">
        <v>8.31</v>
      </c>
      <c r="H100" s="427">
        <f t="shared" si="9"/>
        <v>33.24</v>
      </c>
      <c r="I100" s="521" t="e">
        <f>(F38+#REF!)-(#REF!+G89)</f>
        <v>#REF!</v>
      </c>
      <c r="K100" s="348"/>
      <c r="L100" s="346"/>
    </row>
    <row r="101" spans="1:12" ht="13">
      <c r="A101" s="498"/>
      <c r="B101" s="498"/>
      <c r="C101" s="498"/>
      <c r="D101" s="512" t="s">
        <v>175</v>
      </c>
      <c r="E101" s="513"/>
      <c r="F101" s="426">
        <v>1</v>
      </c>
      <c r="G101" s="371">
        <v>25.1</v>
      </c>
      <c r="H101" s="427">
        <f t="shared" si="9"/>
        <v>25.1</v>
      </c>
      <c r="I101" s="521" t="e">
        <f>(F39+#REF!)-(G71+#REF!)</f>
        <v>#REF!</v>
      </c>
      <c r="K101" s="348"/>
      <c r="L101" s="346"/>
    </row>
    <row r="102" spans="1:12">
      <c r="A102" s="498"/>
      <c r="B102" s="498"/>
      <c r="C102" s="498"/>
      <c r="D102" s="516" t="s">
        <v>178</v>
      </c>
      <c r="E102" s="516"/>
      <c r="F102" s="426">
        <v>13</v>
      </c>
      <c r="G102" s="428">
        <v>3.72</v>
      </c>
      <c r="H102" s="427">
        <f t="shared" si="9"/>
        <v>48.36</v>
      </c>
      <c r="I102" s="520" t="e">
        <f>(#REF!+#REF!)-(G75+G98)</f>
        <v>#REF!</v>
      </c>
      <c r="K102" s="345"/>
    </row>
    <row r="103" spans="1:12" ht="13" thickBot="1">
      <c r="A103" s="498"/>
      <c r="B103" s="498"/>
      <c r="C103" s="498"/>
      <c r="D103" s="551" t="s">
        <v>179</v>
      </c>
      <c r="E103" s="551"/>
      <c r="F103" s="426">
        <v>14</v>
      </c>
      <c r="G103" s="428">
        <v>3.72</v>
      </c>
      <c r="H103" s="427">
        <f t="shared" si="9"/>
        <v>52.080000000000005</v>
      </c>
      <c r="I103" s="520"/>
      <c r="K103" s="345"/>
    </row>
    <row r="104" spans="1:12" ht="15.5" thickBot="1">
      <c r="A104" s="429"/>
      <c r="B104" s="429"/>
      <c r="C104" s="429"/>
      <c r="D104" s="429"/>
      <c r="E104" s="517" t="s">
        <v>149</v>
      </c>
      <c r="F104" s="518"/>
      <c r="G104" s="519"/>
      <c r="H104" s="430">
        <f>SUM(H86:H103)</f>
        <v>1912.9929999999999</v>
      </c>
      <c r="I104" s="431" t="s">
        <v>15</v>
      </c>
      <c r="K104" s="345"/>
    </row>
    <row r="105" spans="1:12" ht="13">
      <c r="A105" s="432"/>
      <c r="B105" s="432"/>
      <c r="C105" s="432"/>
      <c r="D105" s="432"/>
      <c r="E105" s="432"/>
      <c r="F105" s="432"/>
      <c r="G105" s="433"/>
      <c r="H105" s="433"/>
      <c r="I105" s="433"/>
      <c r="K105" s="345"/>
    </row>
    <row r="106" spans="1:12" ht="13">
      <c r="A106" s="432"/>
      <c r="B106" s="432"/>
      <c r="C106" s="432"/>
      <c r="D106" s="432"/>
      <c r="E106" s="432"/>
      <c r="F106" s="432"/>
      <c r="G106" s="433"/>
      <c r="H106" s="433"/>
      <c r="I106" s="433"/>
      <c r="K106" s="345"/>
    </row>
    <row r="107" spans="1:12" ht="13">
      <c r="A107" s="511" t="s">
        <v>213</v>
      </c>
      <c r="B107" s="511"/>
      <c r="C107" s="511"/>
      <c r="D107" s="511"/>
      <c r="E107" s="511"/>
      <c r="F107" s="511"/>
      <c r="G107" s="511"/>
      <c r="H107" s="511"/>
      <c r="I107" s="511"/>
      <c r="K107" s="345"/>
    </row>
    <row r="108" spans="1:12" ht="18.5">
      <c r="A108" s="434"/>
      <c r="B108" s="434"/>
      <c r="C108" s="434"/>
      <c r="D108" s="432"/>
      <c r="E108" s="432"/>
      <c r="F108" s="432"/>
      <c r="G108" s="435"/>
      <c r="H108" s="514" t="s">
        <v>214</v>
      </c>
      <c r="I108" s="514"/>
    </row>
    <row r="109" spans="1:12" ht="15.5">
      <c r="A109" s="434"/>
      <c r="B109" s="434"/>
      <c r="C109" s="434"/>
      <c r="D109" s="432"/>
      <c r="E109" s="432"/>
      <c r="F109" s="432"/>
      <c r="G109" s="436"/>
      <c r="H109" s="515"/>
      <c r="I109" s="515"/>
    </row>
    <row r="110" spans="1:12">
      <c r="G110" s="339"/>
    </row>
    <row r="111" spans="1:12">
      <c r="G111" s="336"/>
      <c r="H111" s="510"/>
      <c r="I111" s="510"/>
    </row>
    <row r="114" spans="7:8">
      <c r="G114" s="510"/>
      <c r="H114" s="510"/>
    </row>
    <row r="115" spans="7:8">
      <c r="G115" s="510"/>
      <c r="H115" s="510"/>
    </row>
  </sheetData>
  <mergeCells count="124">
    <mergeCell ref="B8:C8"/>
    <mergeCell ref="B25:C25"/>
    <mergeCell ref="B11:C11"/>
    <mergeCell ref="O84:P84"/>
    <mergeCell ref="B49:C49"/>
    <mergeCell ref="B17:C17"/>
    <mergeCell ref="B27:C27"/>
    <mergeCell ref="B30:C30"/>
    <mergeCell ref="B35:C35"/>
    <mergeCell ref="B26:C26"/>
    <mergeCell ref="O65:P65"/>
    <mergeCell ref="O81:P81"/>
    <mergeCell ref="O82:P82"/>
    <mergeCell ref="O71:P71"/>
    <mergeCell ref="O72:P72"/>
    <mergeCell ref="O73:P73"/>
    <mergeCell ref="O74:P74"/>
    <mergeCell ref="O75:P75"/>
    <mergeCell ref="O76:P76"/>
    <mergeCell ref="O83:P83"/>
    <mergeCell ref="O64:P64"/>
    <mergeCell ref="B54:C54"/>
    <mergeCell ref="A60:I60"/>
    <mergeCell ref="B10:C10"/>
    <mergeCell ref="B50:C50"/>
    <mergeCell ref="B53:C53"/>
    <mergeCell ref="D97:E97"/>
    <mergeCell ref="D98:E98"/>
    <mergeCell ref="A85:G85"/>
    <mergeCell ref="A84:I84"/>
    <mergeCell ref="B76:C76"/>
    <mergeCell ref="B77:C77"/>
    <mergeCell ref="B82:H82"/>
    <mergeCell ref="B78:C78"/>
    <mergeCell ref="A80:H80"/>
    <mergeCell ref="B79:C79"/>
    <mergeCell ref="D91:E91"/>
    <mergeCell ref="B65:C65"/>
    <mergeCell ref="A51:I51"/>
    <mergeCell ref="D95:E95"/>
    <mergeCell ref="D96:E96"/>
    <mergeCell ref="D94:E94"/>
    <mergeCell ref="D90:E90"/>
    <mergeCell ref="D92:E92"/>
    <mergeCell ref="B18:C18"/>
    <mergeCell ref="A37:G37"/>
    <mergeCell ref="B63:C63"/>
    <mergeCell ref="A1:I1"/>
    <mergeCell ref="B5:C5"/>
    <mergeCell ref="A6:I6"/>
    <mergeCell ref="A3:B3"/>
    <mergeCell ref="C3:D3"/>
    <mergeCell ref="A39:I40"/>
    <mergeCell ref="B41:C41"/>
    <mergeCell ref="A36:G36"/>
    <mergeCell ref="B28:C28"/>
    <mergeCell ref="A7:I7"/>
    <mergeCell ref="A31:G31"/>
    <mergeCell ref="B12:C12"/>
    <mergeCell ref="B32:I32"/>
    <mergeCell ref="B33:C33"/>
    <mergeCell ref="B29:C29"/>
    <mergeCell ref="D5:E5"/>
    <mergeCell ref="F5:G5"/>
    <mergeCell ref="H5:I5"/>
    <mergeCell ref="B9:C9"/>
    <mergeCell ref="B19:C19"/>
    <mergeCell ref="B13:C13"/>
    <mergeCell ref="B14:C14"/>
    <mergeCell ref="B15:C15"/>
    <mergeCell ref="B16:C16"/>
    <mergeCell ref="G115:H115"/>
    <mergeCell ref="A107:I107"/>
    <mergeCell ref="D101:E101"/>
    <mergeCell ref="D100:E100"/>
    <mergeCell ref="D99:E99"/>
    <mergeCell ref="G114:H114"/>
    <mergeCell ref="H111:I111"/>
    <mergeCell ref="H108:I108"/>
    <mergeCell ref="H109:I109"/>
    <mergeCell ref="D102:E102"/>
    <mergeCell ref="E104:G104"/>
    <mergeCell ref="I86:I103"/>
    <mergeCell ref="D88:E88"/>
    <mergeCell ref="D86:E86"/>
    <mergeCell ref="D89:E89"/>
    <mergeCell ref="D93:E93"/>
    <mergeCell ref="D103:E103"/>
    <mergeCell ref="B62:C62"/>
    <mergeCell ref="A59:G59"/>
    <mergeCell ref="B61:C61"/>
    <mergeCell ref="B64:C64"/>
    <mergeCell ref="A55:I55"/>
    <mergeCell ref="O60:P60"/>
    <mergeCell ref="O61:P61"/>
    <mergeCell ref="O62:P62"/>
    <mergeCell ref="B42:C42"/>
    <mergeCell ref="B43:C43"/>
    <mergeCell ref="B44:C44"/>
    <mergeCell ref="B52:C52"/>
    <mergeCell ref="O77:P77"/>
    <mergeCell ref="O80:P80"/>
    <mergeCell ref="D87:E87"/>
    <mergeCell ref="B24:C24"/>
    <mergeCell ref="B20:C20"/>
    <mergeCell ref="B68:C68"/>
    <mergeCell ref="B69:C69"/>
    <mergeCell ref="B70:C70"/>
    <mergeCell ref="B75:C75"/>
    <mergeCell ref="B71:C71"/>
    <mergeCell ref="B74:C74"/>
    <mergeCell ref="B73:C73"/>
    <mergeCell ref="B72:C72"/>
    <mergeCell ref="B67:C67"/>
    <mergeCell ref="B66:C66"/>
    <mergeCell ref="B21:C21"/>
    <mergeCell ref="B22:C22"/>
    <mergeCell ref="B23:C23"/>
    <mergeCell ref="B34:C34"/>
    <mergeCell ref="B46:C46"/>
    <mergeCell ref="B47:C47"/>
    <mergeCell ref="B45:C45"/>
    <mergeCell ref="B48:C48"/>
    <mergeCell ref="A86:C103"/>
  </mergeCells>
  <printOptions horizontalCentered="1" verticalCentered="1"/>
  <pageMargins left="0" right="0" top="0" bottom="0" header="0.3" footer="0"/>
  <pageSetup paperSize="9" scale="73" fitToHeight="0" orientation="portrait" horizontalDpi="4294967293" r:id="rId1"/>
  <headerFooter alignWithMargins="0"/>
  <rowBreaks count="3" manualBreakCount="3">
    <brk id="37" max="8" man="1"/>
    <brk id="59" max="8" man="1"/>
    <brk id="8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autoPageBreaks="0" fitToPage="1"/>
  </sheetPr>
  <dimension ref="A1:AN46"/>
  <sheetViews>
    <sheetView showGridLines="0" showZeros="0" showOutlineSymbols="0" defaultGridColor="0" colorId="8" zoomScale="55" zoomScaleNormal="55" zoomScaleSheetLayoutView="40" workbookViewId="0">
      <selection activeCell="G42" sqref="G42"/>
    </sheetView>
  </sheetViews>
  <sheetFormatPr defaultColWidth="9.26953125" defaultRowHeight="12.5"/>
  <cols>
    <col min="1" max="1" width="4.7265625" style="257" customWidth="1"/>
    <col min="2" max="2" width="46.453125" style="257" customWidth="1"/>
    <col min="3" max="3" width="18.453125" style="257" customWidth="1"/>
    <col min="4" max="25" width="18.81640625" style="257" customWidth="1"/>
    <col min="26" max="26" width="24.1796875" style="257" customWidth="1"/>
    <col min="27" max="27" width="25" style="257" customWidth="1"/>
    <col min="28" max="34" width="0.7265625" style="257" customWidth="1"/>
    <col min="35" max="16384" width="9.26953125" style="257"/>
  </cols>
  <sheetData>
    <row r="1" spans="1:40" ht="43.5" customHeight="1">
      <c r="A1" s="577" t="s">
        <v>164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</row>
    <row r="2" spans="1:40" ht="3.75" customHeight="1">
      <c r="A2" s="272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</row>
    <row r="3" spans="1:40" ht="21" customHeight="1" thickBot="1">
      <c r="A3" s="578" t="s">
        <v>92</v>
      </c>
      <c r="B3" s="578"/>
      <c r="C3" s="360" t="s">
        <v>165</v>
      </c>
      <c r="D3" s="273"/>
      <c r="E3" s="273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593" t="s">
        <v>205</v>
      </c>
      <c r="Y3" s="594"/>
      <c r="Z3" s="357"/>
      <c r="AA3" s="349"/>
    </row>
    <row r="4" spans="1:40" ht="18" customHeight="1">
      <c r="A4" s="590" t="s">
        <v>2</v>
      </c>
      <c r="B4" s="587" t="s">
        <v>79</v>
      </c>
      <c r="C4" s="587" t="s">
        <v>77</v>
      </c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6"/>
      <c r="R4" s="586"/>
      <c r="S4" s="586"/>
      <c r="T4" s="586"/>
      <c r="U4" s="586"/>
      <c r="V4" s="586"/>
      <c r="W4" s="586"/>
      <c r="X4" s="586"/>
      <c r="Y4" s="468"/>
      <c r="Z4" s="580" t="s">
        <v>96</v>
      </c>
      <c r="AA4" s="583" t="s">
        <v>78</v>
      </c>
    </row>
    <row r="5" spans="1:40" ht="98.25" customHeight="1">
      <c r="A5" s="591"/>
      <c r="B5" s="588"/>
      <c r="C5" s="588"/>
      <c r="D5" s="362" t="str">
        <f>Bond!B62</f>
        <v xml:space="preserve"> Marlboro Gold Cigarattes / New</v>
      </c>
      <c r="E5" s="362" t="str">
        <f>Bond!B63</f>
        <v xml:space="preserve">Manchester Light Cigarattes / New </v>
      </c>
      <c r="F5" s="362" t="str">
        <f>Bond!B11</f>
        <v>Almonds</v>
      </c>
      <c r="G5" s="362" t="str">
        <f>Bond!B12</f>
        <v>Peanuts (150 gm)</v>
      </c>
      <c r="H5" s="362" t="str">
        <f>Bond!B13</f>
        <v>Haldiram Bhujia Sev 150 gm</v>
      </c>
      <c r="I5" s="362" t="str">
        <f>Bond!B14</f>
        <v>Tooth Brush</v>
      </c>
      <c r="J5" s="362" t="str">
        <f>Bond!B15</f>
        <v>Tooth Paste</v>
      </c>
      <c r="K5" s="362" t="str">
        <f>Bond!B16</f>
        <v>Head &amp; Shoulder Shampoo</v>
      </c>
      <c r="L5" s="362" t="str">
        <f>Bond!B17</f>
        <v>Listerine 1 Ltr</v>
      </c>
      <c r="M5" s="362" t="str">
        <f>Bond!B18</f>
        <v xml:space="preserve"> Marlboro Gold Cigarattes / old</v>
      </c>
      <c r="N5" s="362" t="str">
        <f>Bond!B70</f>
        <v>Drinking Water 500ml</v>
      </c>
      <c r="O5" s="362" t="str">
        <f>Bond!B20</f>
        <v>Cashew nuts (130 gm)</v>
      </c>
      <c r="P5" s="362" t="str">
        <f>Bond!B21</f>
        <v>Chocolate Mars (51 G)</v>
      </c>
      <c r="Q5" s="362" t="str">
        <f>Bond!B22</f>
        <v>Chocolate Snickers (45 G)</v>
      </c>
      <c r="R5" s="362" t="str">
        <f>Bond!B23</f>
        <v>Coke</v>
      </c>
      <c r="S5" s="362" t="str">
        <f>Bond!B24</f>
        <v>Sprite</v>
      </c>
      <c r="T5" s="362" t="str">
        <f>Bond!B25</f>
        <v>Fanta</v>
      </c>
      <c r="U5" s="362" t="str">
        <f>Bond!B26</f>
        <v>Pistachio (1 KG)</v>
      </c>
      <c r="V5" s="362" t="str">
        <f>Bond!B27</f>
        <v>Lays (170 gm)</v>
      </c>
      <c r="W5" s="362" t="str">
        <f>Bond!B28</f>
        <v>Doritos (190 G)</v>
      </c>
      <c r="X5" s="362" t="str">
        <f>Bond!B29</f>
        <v>Pringles Orignal (134 g)</v>
      </c>
      <c r="Y5" s="362" t="str">
        <f>Bond!B30</f>
        <v>Pringles Sour Cream &amp; Onion (134 g)</v>
      </c>
      <c r="Z5" s="581"/>
      <c r="AA5" s="584"/>
    </row>
    <row r="6" spans="1:40" ht="38.25" customHeight="1" thickBot="1">
      <c r="A6" s="592"/>
      <c r="B6" s="589"/>
      <c r="C6" s="589"/>
      <c r="D6" s="469">
        <f>Bond!G62</f>
        <v>24.09</v>
      </c>
      <c r="E6" s="469">
        <f>Bond!G63</f>
        <v>6.92</v>
      </c>
      <c r="F6" s="469">
        <f>Bond!G11</f>
        <v>4.6150000000000002</v>
      </c>
      <c r="G6" s="469">
        <f>Bond!G12</f>
        <v>2.15</v>
      </c>
      <c r="H6" s="469">
        <f>Bond!G13</f>
        <v>0</v>
      </c>
      <c r="I6" s="469">
        <f>Bond!G14</f>
        <v>2.71</v>
      </c>
      <c r="J6" s="469">
        <f>Bond!G15</f>
        <v>3.7389999999999999</v>
      </c>
      <c r="K6" s="469">
        <f>Bond!G16</f>
        <v>0</v>
      </c>
      <c r="L6" s="469">
        <f>Bond!G17</f>
        <v>6.2</v>
      </c>
      <c r="M6" s="469">
        <f>Bond!G18</f>
        <v>25.56</v>
      </c>
      <c r="N6" s="469">
        <f>Bond!G70</f>
        <v>3.359</v>
      </c>
      <c r="O6" s="469">
        <f>Bond!G20</f>
        <v>6.03</v>
      </c>
      <c r="P6" s="469">
        <f>Bond!G21</f>
        <v>1.3</v>
      </c>
      <c r="Q6" s="469">
        <f>Bond!G22</f>
        <v>1.3</v>
      </c>
      <c r="R6" s="469">
        <f>Bond!G23</f>
        <v>13.62</v>
      </c>
      <c r="S6" s="469">
        <f>Bond!G24</f>
        <v>15.07</v>
      </c>
      <c r="T6" s="469">
        <f>Bond!G25</f>
        <v>8.31</v>
      </c>
      <c r="U6" s="469">
        <f>Bond!G26</f>
        <v>25.1</v>
      </c>
      <c r="V6" s="469">
        <f>Bond!G27</f>
        <v>0</v>
      </c>
      <c r="W6" s="469">
        <f>Bond!G28</f>
        <v>0</v>
      </c>
      <c r="X6" s="469">
        <f>Bond!G29</f>
        <v>3.72</v>
      </c>
      <c r="Y6" s="469">
        <f>Bond!G30</f>
        <v>3.72</v>
      </c>
      <c r="Z6" s="582"/>
      <c r="AA6" s="585"/>
    </row>
    <row r="7" spans="1:40" ht="58.5" customHeight="1" thickBot="1">
      <c r="A7" s="463">
        <v>1</v>
      </c>
      <c r="B7" s="464"/>
      <c r="C7" s="465" t="s">
        <v>80</v>
      </c>
      <c r="D7" s="466"/>
      <c r="E7" s="466"/>
      <c r="F7" s="466"/>
      <c r="G7" s="466"/>
      <c r="H7" s="466"/>
      <c r="I7" s="466"/>
      <c r="J7" s="466"/>
      <c r="K7" s="466"/>
      <c r="L7" s="466"/>
      <c r="M7" s="466"/>
      <c r="N7" s="466"/>
      <c r="O7" s="466"/>
      <c r="P7" s="466"/>
      <c r="Q7" s="466"/>
      <c r="R7" s="466"/>
      <c r="S7" s="466"/>
      <c r="T7" s="466"/>
      <c r="U7" s="466"/>
      <c r="V7" s="466"/>
      <c r="W7" s="466"/>
      <c r="X7" s="466"/>
      <c r="Y7" s="466"/>
      <c r="Z7" s="356">
        <f>(D6*D7)+(E6*E7)+(F6*F7)+(G6*G7)+(H6*H7)+(I6*I7)+(J6*J7)+(K6*K7)+(L6*L7)+(M6*M7)+(N6*N7)+(O6*O7)+(P6*P7)+(Q6*Q7)+(R6*R7)+(S6*S7)+(T6*T7)+(U6*U7)+(V6*V7)+(W6*W7)+(X6*X7)+(Y6*Y7)</f>
        <v>0</v>
      </c>
      <c r="AA7" s="467"/>
      <c r="AK7" s="256"/>
      <c r="AL7" s="256"/>
      <c r="AM7" s="256"/>
      <c r="AN7" s="256"/>
    </row>
    <row r="8" spans="1:40" ht="58.5" customHeight="1">
      <c r="A8" s="451">
        <v>2</v>
      </c>
      <c r="B8" s="476"/>
      <c r="C8" s="442" t="s">
        <v>166</v>
      </c>
      <c r="D8" s="353"/>
      <c r="E8" s="353"/>
      <c r="F8" s="353"/>
      <c r="G8" s="353">
        <v>0</v>
      </c>
      <c r="H8" s="353"/>
      <c r="I8" s="3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  <c r="V8" s="353"/>
      <c r="W8" s="353"/>
      <c r="X8" s="353">
        <v>0</v>
      </c>
      <c r="Y8" s="353">
        <v>0</v>
      </c>
      <c r="Z8" s="440">
        <f>(D6*D8)+(E6*E8)+(F6*F8)+(G6*G8)+(H6*H8)+(I6*I8)+(J6*J8)+(K6*K8)+(L6*L8)+(M6*M8)+(N6*N8)+(O6*O8)+(P6*P8)+(Q6*Q8)+(R6*R8)+(S6*S8)+(T6*T8)+(U6*U8)+(V6*V8)+(W6*W8)+(X6*X8)+(Y6*Y8)</f>
        <v>0</v>
      </c>
      <c r="AA8" s="460"/>
      <c r="AK8" s="256"/>
      <c r="AL8" s="256"/>
      <c r="AM8" s="256"/>
      <c r="AN8" s="256"/>
    </row>
    <row r="9" spans="1:40" ht="58.5" customHeight="1">
      <c r="A9" s="451">
        <v>3</v>
      </c>
      <c r="B9" s="448"/>
      <c r="C9" s="442" t="s">
        <v>207</v>
      </c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53"/>
      <c r="R9" s="353"/>
      <c r="S9" s="353"/>
      <c r="T9" s="353"/>
      <c r="U9" s="353"/>
      <c r="V9" s="353"/>
      <c r="W9" s="353"/>
      <c r="X9" s="353"/>
      <c r="Y9" s="353"/>
      <c r="Z9" s="440">
        <f>(D6*D9)+(E6*E9)+(F6*F9)+(G6*G9)+(H6*H9)+(I6*I9)+(J6*J9)+(K6*K9)+(L6*L9)+(M6*M9)+(N6*N9)+(O6*O9)+(P6*P9)+(Q6*Q9)+(R6*R9)+(S6*S9)+(T6*T9)+(U6*U9)+(V6*V9)+(W6*W9)+(X6*X9)+(Y6*Y9)</f>
        <v>0</v>
      </c>
      <c r="AA9" s="460"/>
      <c r="AK9" s="256"/>
      <c r="AL9" s="256"/>
      <c r="AM9" s="256"/>
      <c r="AN9" s="256"/>
    </row>
    <row r="10" spans="1:40" ht="58.5" customHeight="1">
      <c r="A10" s="451">
        <v>4</v>
      </c>
      <c r="B10" s="448"/>
      <c r="C10" s="442" t="s">
        <v>206</v>
      </c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3"/>
      <c r="V10" s="353"/>
      <c r="W10" s="353"/>
      <c r="X10" s="353"/>
      <c r="Y10" s="353"/>
      <c r="Z10" s="440">
        <f>(D6*D10)+(E6*E10)+(F6*F10)+(G6*G10)+(H6*H10)+(I6*I10)+(J6*J10)+(K6*K10)+(L6*L10)+(M6*M10)+(N6*N10)+(O6*O10)+(P6*P10)+(Q6*Q10)+(R6*R10)+(S6*S10)+(T6*T10)+(U6*U10)+(V6*V10)+(W6*W10)+(X6*X10)+(Y6*Y10)</f>
        <v>0</v>
      </c>
      <c r="AA10" s="460"/>
      <c r="AK10" s="256"/>
    </row>
    <row r="11" spans="1:40" ht="64.5" customHeight="1">
      <c r="A11" s="451">
        <v>5</v>
      </c>
      <c r="B11" s="448"/>
      <c r="C11" s="442" t="s">
        <v>131</v>
      </c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440">
        <f>(D6*D11)+(E6*E11)+(F6*F11)+(G6*G11)+(H6*H11)+(I6*I11)+(J6*J11)+(K6*K11)+(L6*L11)+(M6*M11)+(N6*N11)+(O6*O11)+(P6*P11)+(Q6*Q11)+(R6*R11)+(S6*S11)+(T6*T11)+(U6*U11)+(V6*V11)+(W6*W11)+(X6*X11)+(Y6*Y11)</f>
        <v>0</v>
      </c>
      <c r="AA11" s="460"/>
      <c r="AK11" s="256"/>
      <c r="AL11" s="256"/>
      <c r="AM11" s="256"/>
      <c r="AN11" s="256"/>
    </row>
    <row r="12" spans="1:40" ht="58.5" customHeight="1">
      <c r="A12" s="451">
        <v>6</v>
      </c>
      <c r="B12" s="477"/>
      <c r="C12" s="442" t="s">
        <v>126</v>
      </c>
      <c r="D12" s="353"/>
      <c r="E12" s="353"/>
      <c r="F12" s="353"/>
      <c r="G12" s="353"/>
      <c r="H12" s="353"/>
      <c r="I12" s="353"/>
      <c r="J12" s="353"/>
      <c r="K12" s="353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3"/>
      <c r="Y12" s="353"/>
      <c r="Z12" s="440">
        <f>(D6*D12)+(E6*E12)+(F6*F12)+(G6*G12)+(H6*H12)+(I6*I12)+(J6*J12)+(K6*K12)+(L6*L12)+(M6*M12)+(N6*N12)+(O6*O12)+(P6*P12)+(Q6*Q12)+(R6*R12)+(S6*S12)+(T6*T12)+(U6*U12)+(V6*V12)+(W6*W12)+(X6*X12)+(Y6*Y12)</f>
        <v>0</v>
      </c>
      <c r="AA12" s="460"/>
      <c r="AK12" s="256"/>
    </row>
    <row r="13" spans="1:40" ht="58.5" customHeight="1">
      <c r="A13" s="451">
        <v>7</v>
      </c>
      <c r="B13" s="477"/>
      <c r="C13" s="442" t="s">
        <v>121</v>
      </c>
      <c r="D13" s="353"/>
      <c r="E13" s="353"/>
      <c r="F13" s="353"/>
      <c r="G13" s="353">
        <v>0</v>
      </c>
      <c r="H13" s="353"/>
      <c r="I13" s="353"/>
      <c r="J13" s="353"/>
      <c r="K13" s="353"/>
      <c r="L13" s="353"/>
      <c r="M13" s="353"/>
      <c r="N13" s="353"/>
      <c r="O13" s="353">
        <v>0</v>
      </c>
      <c r="P13" s="353"/>
      <c r="Q13" s="353"/>
      <c r="R13" s="353">
        <v>0</v>
      </c>
      <c r="S13" s="353"/>
      <c r="T13" s="353"/>
      <c r="U13" s="353"/>
      <c r="V13" s="353"/>
      <c r="W13" s="353"/>
      <c r="X13" s="353"/>
      <c r="Y13" s="353"/>
      <c r="Z13" s="440">
        <f>(D6*D13)+(E6*E13)+(F6*F13)+(G6*G13)+(H6*H13)+(I6*I13)+(J6*J13)+(K6*K13)+(L6*L13)+(M6*M13)+(N6*N13)+(O6*O13)+(P6*P13)+(Q6*Q13)+(R6*R13)+(S6*S13)+(T6*T13)+(U6*U13)+(V6*V13)+0+0+(W6*W13)+(X6*X13)+(Y13*Y6)</f>
        <v>0</v>
      </c>
      <c r="AA13" s="460"/>
      <c r="AK13" s="256"/>
    </row>
    <row r="14" spans="1:40" ht="58.5" customHeight="1">
      <c r="A14" s="451">
        <v>8</v>
      </c>
      <c r="B14" s="448"/>
      <c r="C14" s="442" t="s">
        <v>127</v>
      </c>
      <c r="D14" s="353"/>
      <c r="E14" s="353">
        <v>1</v>
      </c>
      <c r="F14" s="353"/>
      <c r="G14" s="353"/>
      <c r="H14" s="353"/>
      <c r="I14" s="353"/>
      <c r="J14" s="353"/>
      <c r="K14" s="353"/>
      <c r="L14" s="353"/>
      <c r="M14" s="353"/>
      <c r="N14" s="353"/>
      <c r="O14" s="353"/>
      <c r="P14" s="353"/>
      <c r="Q14" s="353"/>
      <c r="R14" s="353"/>
      <c r="S14" s="353"/>
      <c r="T14" s="353"/>
      <c r="U14" s="353"/>
      <c r="V14" s="353"/>
      <c r="W14" s="353"/>
      <c r="X14" s="353"/>
      <c r="Y14" s="353">
        <v>1</v>
      </c>
      <c r="Z14" s="440">
        <f>(D6*D14)+(E6*E14)+(F6*F14)+(G6*G14)+(H6*H14)+(I6*I14)+(J6*J14)+(K6*K14)+(L6*L14)+(M6*M14)+(N6*N14)+(O6*O14)+(P6*P14)+(Q6*Q14)+(R6*R14)+(S6*S14)+(T6*T14)+(U6*U14)+(V6*V14)+0+0+(W6*W14)+(X6*X14)+(Y14*Y6)</f>
        <v>10.64</v>
      </c>
      <c r="AA14" s="460"/>
      <c r="AK14" s="256"/>
      <c r="AL14" s="256"/>
      <c r="AM14" s="256"/>
      <c r="AN14" s="256"/>
    </row>
    <row r="15" spans="1:40" ht="58.5" customHeight="1">
      <c r="A15" s="451">
        <v>9</v>
      </c>
      <c r="B15" s="448"/>
      <c r="C15" s="442" t="s">
        <v>122</v>
      </c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440">
        <f>(D6*D15)+(E6*E15)+(F6*F15)+(G6*G15)+(H6*H15)+(I6*I15)+(J6*J15)+(K6*K15)+(L6*L15)+(M6*M15)+(N6*N15)+(O6*O15)+(P6*P15)+(Q6*Q15)+(R6*R15)+(S6*S15)+(T6*T15)+(U6*U15)+(V6*V15)+0+0+(W6*W15)+(X6*X15)+(Y15*Y6)</f>
        <v>0</v>
      </c>
      <c r="AA15" s="460"/>
      <c r="AK15" s="256"/>
      <c r="AL15" s="256"/>
      <c r="AM15" s="256"/>
      <c r="AN15" s="256"/>
    </row>
    <row r="16" spans="1:40" ht="66" customHeight="1">
      <c r="A16" s="451">
        <v>10</v>
      </c>
      <c r="B16" s="448"/>
      <c r="C16" s="442" t="s">
        <v>128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440">
        <f>(D6*D16)+(E6*E16)+(F6*F16)+(G6*G16)+(H6*H16)+(I6*I16)+(J6*J16)+(K6*K16)+(L6*L16)+(M6*M16)+(N6*N16)+(O6*O16)+(P6*P16)+(Q6*Q16)+(R6*R16)+(S6*S16)+(T6*T16)+(U6*U16)+(V6*V16)+0+0+(W6*W16)+(X6*X16)+(Y16*Y6)</f>
        <v>0</v>
      </c>
      <c r="AA16" s="460"/>
      <c r="AK16" s="256"/>
      <c r="AL16" s="256"/>
      <c r="AM16" s="256"/>
      <c r="AN16" s="256"/>
    </row>
    <row r="17" spans="1:40" ht="58.5" customHeight="1">
      <c r="A17" s="451">
        <v>11</v>
      </c>
      <c r="B17" s="448"/>
      <c r="C17" s="442" t="s">
        <v>143</v>
      </c>
      <c r="D17" s="353"/>
      <c r="E17" s="353"/>
      <c r="F17" s="353"/>
      <c r="G17" s="353"/>
      <c r="H17" s="353"/>
      <c r="I17" s="353"/>
      <c r="J17" s="353"/>
      <c r="K17" s="353"/>
      <c r="L17" s="353"/>
      <c r="M17" s="353"/>
      <c r="N17" s="353"/>
      <c r="O17" s="353"/>
      <c r="P17" s="353"/>
      <c r="Q17" s="353"/>
      <c r="R17" s="353"/>
      <c r="S17" s="353"/>
      <c r="T17" s="353"/>
      <c r="U17" s="353"/>
      <c r="V17" s="353"/>
      <c r="W17" s="353"/>
      <c r="X17" s="353"/>
      <c r="Y17" s="353"/>
      <c r="Z17" s="440">
        <f>(D6*D17)+(E6*E17)+(F6*F17)+(G6*G17)+(H6*H17)+(I6*I17)+(J6*J17)+(K6*K17)+(L6*L17)+(M6*M17)+(N6*N17)+(O6*O17)+(P6*P17)+(Q6*Q17)+(R6*R17)+(S6*S17)+(T6*T17)+(U6*U17)+(V6*V17)+0+0+(W6*W17)+(X6*X17)+(Y17*Y6)</f>
        <v>0</v>
      </c>
      <c r="AA17" s="460"/>
      <c r="AJ17" s="328"/>
      <c r="AK17" s="256"/>
      <c r="AL17" s="256"/>
      <c r="AM17" s="256"/>
      <c r="AN17" s="256"/>
    </row>
    <row r="18" spans="1:40" ht="58.5" customHeight="1">
      <c r="A18" s="451">
        <v>12</v>
      </c>
      <c r="B18" s="448"/>
      <c r="C18" s="442" t="s">
        <v>132</v>
      </c>
      <c r="D18" s="353"/>
      <c r="E18" s="353"/>
      <c r="F18" s="353"/>
      <c r="G18" s="353"/>
      <c r="H18" s="353"/>
      <c r="I18" s="353"/>
      <c r="J18" s="353"/>
      <c r="K18" s="353"/>
      <c r="L18" s="353"/>
      <c r="M18" s="353"/>
      <c r="N18" s="353"/>
      <c r="O18" s="353"/>
      <c r="P18" s="353"/>
      <c r="Q18" s="353"/>
      <c r="R18" s="353"/>
      <c r="S18" s="353"/>
      <c r="T18" s="353"/>
      <c r="U18" s="353"/>
      <c r="V18" s="353"/>
      <c r="W18" s="353"/>
      <c r="X18" s="353"/>
      <c r="Y18" s="353"/>
      <c r="Z18" s="440">
        <f>(D6*D18)+(E6*E18)+(F6*F18)+(G6*G18)+(H6*H18)+(I6*I18)+(J6*J18)+(K6*K18)+(L6*L18)+(M6*M18)+(N6*N18)+(O6*O18)+(P6*P18)+(Q6*Q18)+(R6*R18)+(S6*S18)+(T6*T18)+(U6*U18)+(V6*V18)+0+0+(W6*W18)+(X6*X18)+(Y18*Y6)</f>
        <v>0</v>
      </c>
      <c r="AA18" s="460"/>
      <c r="AJ18" s="328"/>
      <c r="AK18" s="256"/>
      <c r="AL18" s="256"/>
      <c r="AM18" s="256"/>
      <c r="AN18" s="256"/>
    </row>
    <row r="19" spans="1:40" ht="58.5" customHeight="1">
      <c r="A19" s="451">
        <v>13</v>
      </c>
      <c r="B19" s="448"/>
      <c r="C19" s="442" t="s">
        <v>134</v>
      </c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440">
        <f>(D6*D19)+(E6*E19)+(F6*F19)+(G6*G19)+(H6*H19)+(I6*I19)+(J6*J19)+(K6*K19)+(L6*L19)+(M6*M19)+(N6*N19)+(O6*O19)+(P6*P19)+(Q6*Q19)+(R6*R19)+(S6*S19)+(T6*T19)+(U6*U19)+(V6*V19)+0+0+(W6*W19)+(X6*X19)+(Y19*Y6)</f>
        <v>0</v>
      </c>
      <c r="AA19" s="460"/>
      <c r="AJ19" s="328"/>
      <c r="AK19" s="256"/>
      <c r="AL19" s="256"/>
      <c r="AM19" s="256"/>
      <c r="AN19" s="256"/>
    </row>
    <row r="20" spans="1:40" ht="58.5" customHeight="1">
      <c r="A20" s="451">
        <v>14</v>
      </c>
      <c r="B20" s="477"/>
      <c r="C20" s="442" t="s">
        <v>129</v>
      </c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440">
        <f>(D6*D20)+(E6*E20)+(F6*F20)+(G6*G20)+(H6*H20)+(I6*I20)+(J6*J20)+(K6*K20)+(L6*L20)+(M6*M20)+(N6*N20)+(O6*O20)+(P6*P20)+(Q6*Q20)+(R6*R20)+(S6*S20)+(T6*T20)+(U6*U20)+(V6*V20)+0+0+(W6*W20)+(X6*X20)+(Y20*Y6)</f>
        <v>0</v>
      </c>
      <c r="AA20" s="460"/>
      <c r="AK20" s="256"/>
      <c r="AL20" s="256"/>
      <c r="AM20" s="256"/>
      <c r="AN20" s="256"/>
    </row>
    <row r="21" spans="1:40" ht="58.5" customHeight="1">
      <c r="A21" s="451">
        <v>15</v>
      </c>
      <c r="B21" s="477"/>
      <c r="C21" s="442" t="s">
        <v>123</v>
      </c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440">
        <f>(D6*D21)+(E6*E21)+(F6*F21)+(G6*G21)+(H6*H21)+(I6*I21)+(J6*J21)+(K6*K21)+(L6*L21)+(M6*M21)+(N6*N21)+(O6*O21)+(P6*P21)+(Q6*Q21)+(R6*R21)+(S6*S21)+(T6*T21)+(U6*U21)+(V6*V21)+0+0+(W6*W21)+(X6*X21)+(Y21*Y6)</f>
        <v>0</v>
      </c>
      <c r="AA21" s="460"/>
    </row>
    <row r="22" spans="1:40" ht="58.5" customHeight="1">
      <c r="A22" s="451">
        <v>16</v>
      </c>
      <c r="B22" s="477"/>
      <c r="C22" s="442" t="s">
        <v>133</v>
      </c>
      <c r="D22" s="353"/>
      <c r="E22" s="353"/>
      <c r="F22" s="353"/>
      <c r="G22" s="35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440">
        <f>(D6*D22)+(E6*E22)+(F6*F22)+(G6*G22)+(H6*H22)+(I6*I22)+(J6*J22)+(K6*K22)+(L6*L22)+(M6*M22)+(N6*N22)+(O6*O22)+(P6*P22)+(Q6*Q22)+(R6*R22)+(S6*S22)+(T6*T22)+(U6*U22)+(V6*V22)+0+0+(W6*W22)+(X6*X22)+(Y22*Y6)</f>
        <v>0</v>
      </c>
      <c r="AA22" s="460"/>
    </row>
    <row r="23" spans="1:40" ht="58.5" customHeight="1">
      <c r="A23" s="451">
        <v>17</v>
      </c>
      <c r="B23" s="448"/>
      <c r="C23" s="442" t="s">
        <v>161</v>
      </c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3"/>
      <c r="O23" s="353"/>
      <c r="P23" s="353"/>
      <c r="Q23" s="353"/>
      <c r="R23" s="353"/>
      <c r="S23" s="353"/>
      <c r="T23" s="353"/>
      <c r="U23" s="353"/>
      <c r="V23" s="353"/>
      <c r="W23" s="353"/>
      <c r="X23" s="353"/>
      <c r="Y23" s="353"/>
      <c r="Z23" s="440">
        <f>(D6*D23)+(E6*E23)+(F6*F23)+(G6*G23)+(H6*H23)+(I6*I23)+(J6*J23)+(K6*K23)+(L6*L23)+(M6*M23)+(N6*N23)+(O6*O23)+(P6*P23)+(Q6*Q23)+(R6*R23)+(S6*S23)+(T6*T23)+(U6*U23)+(V6*V23)+0+0+(W6*W23)+(X6*X23)+(Y23*Y6)</f>
        <v>0</v>
      </c>
      <c r="AA23" s="460"/>
    </row>
    <row r="24" spans="1:40" ht="58.5" customHeight="1">
      <c r="A24" s="451">
        <v>18</v>
      </c>
      <c r="B24" s="477"/>
      <c r="C24" s="442" t="s">
        <v>162</v>
      </c>
      <c r="D24" s="353"/>
      <c r="E24" s="353"/>
      <c r="F24" s="353"/>
      <c r="G24" s="353"/>
      <c r="H24" s="353"/>
      <c r="I24" s="353"/>
      <c r="J24" s="353"/>
      <c r="K24" s="353"/>
      <c r="L24" s="353"/>
      <c r="M24" s="353"/>
      <c r="N24" s="353"/>
      <c r="O24" s="353"/>
      <c r="P24" s="353"/>
      <c r="Q24" s="353"/>
      <c r="R24" s="353"/>
      <c r="S24" s="353"/>
      <c r="T24" s="353"/>
      <c r="U24" s="353"/>
      <c r="V24" s="353"/>
      <c r="W24" s="353"/>
      <c r="X24" s="353"/>
      <c r="Y24" s="353"/>
      <c r="Z24" s="440">
        <f>(D6*D24)+(E6*E24)+(F6*F24)+(G6*G24)+(H6*H24)+(I6*I24)+(J6*J24)+(K6*K24)+(L6*L24)+(M6*M24)+(N6*N24)+(O6*O24)+(P6*P24)+(Q6*Q24)+(R6*R24)+(S6*S24)+(T6*T24)+(U6*U24)+(V6*V24)+0+0+(W6*W24)+(X6*X24)+(Y24*Y6)</f>
        <v>0</v>
      </c>
      <c r="AA24" s="460"/>
    </row>
    <row r="25" spans="1:40" ht="58.5" customHeight="1">
      <c r="A25" s="451">
        <v>19</v>
      </c>
      <c r="B25" s="477"/>
      <c r="C25" s="442" t="s">
        <v>130</v>
      </c>
      <c r="D25" s="353"/>
      <c r="E25" s="353"/>
      <c r="F25" s="353"/>
      <c r="G25" s="353"/>
      <c r="H25" s="353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Y25" s="353"/>
      <c r="Z25" s="440">
        <f>(D6*D25)+(E6*E25)+(F6*F25)+(G6*G25)+(H6*H25)+(I6*I25)+(J6*J25)+(K6*K25)+(L6*L25)+(M6*M25)+(N6*N25)+(O6*O25)+(P6*P25)+(Q6*Q25)+(R6*R25)+(S6*S25)+(T6*T25)+(U6*U25)+(V6*V25)+0+0+(W6*W25)+(X6*X25)+(Y25*Y6)</f>
        <v>0</v>
      </c>
      <c r="AA25" s="460"/>
    </row>
    <row r="26" spans="1:40" ht="58.5" customHeight="1">
      <c r="A26" s="451">
        <v>20</v>
      </c>
      <c r="B26" s="477"/>
      <c r="C26" s="442" t="s">
        <v>124</v>
      </c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3"/>
      <c r="O26" s="353"/>
      <c r="P26" s="353"/>
      <c r="Q26" s="353"/>
      <c r="R26" s="353"/>
      <c r="S26" s="353"/>
      <c r="T26" s="353"/>
      <c r="U26" s="353"/>
      <c r="V26" s="353"/>
      <c r="W26" s="353"/>
      <c r="X26" s="353"/>
      <c r="Y26" s="353"/>
      <c r="Z26" s="440">
        <f>(D6*D26)+(E6*E26)+(F6*F26)+(G6*G26)+(H6*H26)+(I6*I26)+(J6*J26)+(K6*K26)+(L6*L26)+(M6*M26)+(N6*N26)+(O6*O26)+(P6*P26)+(Q6*Q26)+(R6*R26)+(S6*S26)+(T6*T26)+(U6*U26)+(V6*V26)+0+0+(W6*W26)+(X6*X26)+(Y26*Y6)</f>
        <v>0</v>
      </c>
      <c r="AA26" s="460"/>
    </row>
    <row r="27" spans="1:40" ht="58.5" customHeight="1">
      <c r="A27" s="451">
        <v>21</v>
      </c>
      <c r="B27" s="448"/>
      <c r="C27" s="442" t="s">
        <v>181</v>
      </c>
      <c r="D27" s="353"/>
      <c r="E27" s="353"/>
      <c r="F27" s="353"/>
      <c r="G27" s="353"/>
      <c r="H27" s="353"/>
      <c r="I27" s="353"/>
      <c r="J27" s="353"/>
      <c r="K27" s="353"/>
      <c r="L27" s="353"/>
      <c r="M27" s="353"/>
      <c r="N27" s="353"/>
      <c r="O27" s="353"/>
      <c r="P27" s="353"/>
      <c r="Q27" s="353"/>
      <c r="R27" s="353"/>
      <c r="S27" s="353"/>
      <c r="T27" s="353"/>
      <c r="U27" s="353"/>
      <c r="V27" s="353"/>
      <c r="W27" s="353"/>
      <c r="X27" s="353"/>
      <c r="Y27" s="353"/>
      <c r="Z27" s="440">
        <f>(D6*D27)+(E6*E27)+(F6*F27)+(G6*G27)+(H6*H27)+(I6*I27)+(J6*J27)+(K6*K27)+(L6*L27)+(M6*M27)+(N6*N27)+(O6*O27)+(P6*P27)+(Q6*Q27)+(R6*R27)+(S6*S27)+(T6*T27)+(U6*U27)+(V6*V27)+0+0+(W6*W27)+(X6*X27)+(Y27*Y6)</f>
        <v>0</v>
      </c>
      <c r="AA27" s="460"/>
    </row>
    <row r="28" spans="1:40" ht="58.5" customHeight="1">
      <c r="A28" s="451">
        <v>22</v>
      </c>
      <c r="B28" s="443"/>
      <c r="C28" s="442" t="s">
        <v>86</v>
      </c>
      <c r="D28" s="353"/>
      <c r="E28" s="353"/>
      <c r="F28" s="353"/>
      <c r="G28" s="353"/>
      <c r="H28" s="353"/>
      <c r="I28" s="353"/>
      <c r="J28" s="353"/>
      <c r="K28" s="353"/>
      <c r="L28" s="353"/>
      <c r="M28" s="353"/>
      <c r="N28" s="353"/>
      <c r="O28" s="353"/>
      <c r="P28" s="353"/>
      <c r="Q28" s="353"/>
      <c r="R28" s="353"/>
      <c r="S28" s="353"/>
      <c r="T28" s="353"/>
      <c r="U28" s="353"/>
      <c r="V28" s="353"/>
      <c r="W28" s="353"/>
      <c r="X28" s="353"/>
      <c r="Y28" s="353"/>
      <c r="Z28" s="440">
        <f>(D6*D28)+(E6*E28)+(F6*F28)+(G6*G28)+(H6*H28)+(I6*I28)+(J6*J28)+(K6*K28)+(L6*L28)+(M6*M28)+(N6*N28)+(O6*O28)+(P6*P28)+(Q6*Q28)+(R6*R28)+(S6*S28)+(T6*T28)+(U6*U28)+(V6*V28)+0+0+(W6*W28)+(X6*X28)+(Y28*Y6)</f>
        <v>0</v>
      </c>
      <c r="AA28" s="460"/>
    </row>
    <row r="29" spans="1:40" ht="58.5" customHeight="1">
      <c r="A29" s="451">
        <v>23</v>
      </c>
      <c r="B29" s="477"/>
      <c r="C29" s="442" t="s">
        <v>135</v>
      </c>
      <c r="D29" s="353"/>
      <c r="E29" s="353">
        <v>0</v>
      </c>
      <c r="F29" s="353"/>
      <c r="G29" s="353"/>
      <c r="H29" s="353"/>
      <c r="I29" s="353"/>
      <c r="J29" s="353"/>
      <c r="K29" s="353"/>
      <c r="L29" s="353"/>
      <c r="M29" s="353"/>
      <c r="N29" s="353"/>
      <c r="O29" s="353"/>
      <c r="P29" s="353"/>
      <c r="Q29" s="353"/>
      <c r="R29" s="353"/>
      <c r="S29" s="353"/>
      <c r="T29" s="353"/>
      <c r="U29" s="353"/>
      <c r="V29" s="353"/>
      <c r="W29" s="353"/>
      <c r="X29" s="353"/>
      <c r="Y29" s="353"/>
      <c r="Z29" s="440">
        <f>(D6*D29)+(E6*E29)+(F6*F29)+(G6*G29)+(H6*H29)+(I6*I29)+(J6*J29)+(K6*K29)+(L6*L29)+(M6*M29)+(N6*N29)+(O6*O29)+(P6*P29)+(Q6*Q29)+(R6*R29)+(S6*S29)+(T6*T29)+(U6*U29)+(V6*V29)+0+0+(W6*W29)+(X6*X29)+(Y29*Y6)</f>
        <v>0</v>
      </c>
      <c r="AA29" s="460"/>
    </row>
    <row r="30" spans="1:40" ht="58.5" customHeight="1" thickBot="1">
      <c r="A30" s="452">
        <v>24</v>
      </c>
      <c r="B30" s="477"/>
      <c r="C30" s="453" t="s">
        <v>184</v>
      </c>
      <c r="D30" s="454"/>
      <c r="E30" s="454"/>
      <c r="F30" s="454"/>
      <c r="G30" s="454"/>
      <c r="H30" s="454"/>
      <c r="I30" s="454"/>
      <c r="J30" s="454"/>
      <c r="K30" s="454"/>
      <c r="L30" s="454"/>
      <c r="M30" s="454"/>
      <c r="N30" s="454"/>
      <c r="O30" s="454"/>
      <c r="P30" s="454"/>
      <c r="Q30" s="454"/>
      <c r="R30" s="454"/>
      <c r="S30" s="454"/>
      <c r="T30" s="454"/>
      <c r="U30" s="454"/>
      <c r="V30" s="454"/>
      <c r="W30" s="454"/>
      <c r="X30" s="454"/>
      <c r="Y30" s="454"/>
      <c r="Z30" s="461">
        <f>(D6*D30)+(E6*E30)+(F6*F30)+(G6*G30)+(H6*H30)+(I6*I30)+(J6*J30)+(K6*K30)+(L6*L30)+(M6*M30)+(N6*N30)+(O6*O30)+(P6*P30)+(Q6*Q30)+(R6*R30)+(S6*S30)+(T6*T30)+(U6*U30)+(V6*V30)+0+0+(W6*W30)+(X6*X30)+(Y30*Y6)</f>
        <v>0</v>
      </c>
      <c r="AA30" s="462"/>
    </row>
    <row r="31" spans="1:40" ht="58.5" customHeight="1" thickBot="1">
      <c r="A31" s="595" t="s">
        <v>170</v>
      </c>
      <c r="B31" s="596"/>
      <c r="C31" s="596"/>
      <c r="D31" s="596"/>
      <c r="E31" s="596"/>
      <c r="F31" s="596"/>
      <c r="G31" s="596"/>
      <c r="H31" s="596"/>
      <c r="I31" s="596"/>
      <c r="J31" s="596"/>
      <c r="K31" s="596"/>
      <c r="L31" s="596"/>
      <c r="M31" s="596"/>
      <c r="N31" s="596"/>
      <c r="O31" s="596"/>
      <c r="P31" s="596"/>
      <c r="Q31" s="596"/>
      <c r="R31" s="596"/>
      <c r="S31" s="596"/>
      <c r="T31" s="596"/>
      <c r="U31" s="596"/>
      <c r="V31" s="596"/>
      <c r="W31" s="596"/>
      <c r="X31" s="596"/>
      <c r="Y31" s="596"/>
      <c r="Z31" s="596"/>
      <c r="AA31" s="597"/>
    </row>
    <row r="32" spans="1:40" ht="58.5" customHeight="1">
      <c r="A32" s="449">
        <v>1</v>
      </c>
      <c r="B32" s="448"/>
      <c r="C32" s="442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  <c r="O32" s="450"/>
      <c r="P32" s="450"/>
      <c r="Q32" s="450"/>
      <c r="R32" s="450"/>
      <c r="S32" s="450"/>
      <c r="T32" s="450"/>
      <c r="U32" s="450"/>
      <c r="V32" s="450"/>
      <c r="W32" s="450"/>
      <c r="X32" s="450"/>
      <c r="Y32" s="450"/>
      <c r="Z32" s="458">
        <f>(D6*D32)+(E6*E32)+(F6*F32)+(G6*G32)+(H6*H32)+(I6*I32)+(J6*J32)+(K6*K32)+(L6*L32)+(M6*M32)+(N6*N32)+(O6*O32)+(P6*P32)+(Q6*Q32)+(R6*R32)+(S6*S32)+(T6*T32)+(U6*U32)+(V6*V32)+(W6*W32)+(X6*X32)+(Y6*Y32)</f>
        <v>0</v>
      </c>
      <c r="AA32" s="459"/>
    </row>
    <row r="33" spans="1:27" ht="58.5" customHeight="1">
      <c r="A33" s="451">
        <v>2</v>
      </c>
      <c r="B33" s="448"/>
      <c r="C33" s="442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440">
        <f>(D6*D33)+(E6*E33)+(F6*F33)+(G6*G33)+(H6*H33)+(I6*I33)+(J6*J33)+(K6*K33)+(L6*L33)+(M6*M33)+(N6*N33)+(O6*O33)+(P6*P33)+(Q6*Q33)+(R6*R33)+(S6*S33)+(T6*T33)+(U6*U33)+(V6*V33)+(W6*W33)+(X6*X33)+(Y6*Y33)</f>
        <v>0</v>
      </c>
      <c r="AA33" s="460"/>
    </row>
    <row r="34" spans="1:27" ht="54.75" customHeight="1" thickBot="1">
      <c r="A34" s="452"/>
      <c r="B34" s="455" t="s">
        <v>97</v>
      </c>
      <c r="C34" s="456"/>
      <c r="D34" s="457">
        <f>SUM(D7:D33)</f>
        <v>0</v>
      </c>
      <c r="E34" s="457">
        <f>SUM(E7:E33)</f>
        <v>1</v>
      </c>
      <c r="F34" s="457">
        <f>SUM(F7:F33)</f>
        <v>0</v>
      </c>
      <c r="G34" s="457">
        <f>SUM(G7:G33)</f>
        <v>0</v>
      </c>
      <c r="H34" s="457"/>
      <c r="I34" s="457"/>
      <c r="J34" s="457"/>
      <c r="K34" s="457"/>
      <c r="L34" s="457"/>
      <c r="M34" s="457"/>
      <c r="N34" s="457"/>
      <c r="O34" s="457">
        <f t="shared" ref="O34:Y34" si="0">SUM(O7:O33)</f>
        <v>0</v>
      </c>
      <c r="P34" s="457">
        <f t="shared" si="0"/>
        <v>0</v>
      </c>
      <c r="Q34" s="457">
        <f t="shared" si="0"/>
        <v>0</v>
      </c>
      <c r="R34" s="457">
        <f t="shared" si="0"/>
        <v>0</v>
      </c>
      <c r="S34" s="457">
        <f t="shared" si="0"/>
        <v>0</v>
      </c>
      <c r="T34" s="457">
        <f t="shared" si="0"/>
        <v>0</v>
      </c>
      <c r="U34" s="457">
        <f t="shared" si="0"/>
        <v>0</v>
      </c>
      <c r="V34" s="457">
        <f t="shared" si="0"/>
        <v>0</v>
      </c>
      <c r="W34" s="457">
        <f t="shared" si="0"/>
        <v>0</v>
      </c>
      <c r="X34" s="457">
        <f t="shared" si="0"/>
        <v>0</v>
      </c>
      <c r="Y34" s="457">
        <f t="shared" si="0"/>
        <v>1</v>
      </c>
      <c r="Z34" s="470"/>
      <c r="AA34" s="462"/>
    </row>
    <row r="35" spans="1:27" ht="104.25" customHeight="1" thickBot="1">
      <c r="A35" s="471"/>
      <c r="B35" s="472"/>
      <c r="C35" s="472"/>
      <c r="D35" s="472"/>
      <c r="E35" s="472"/>
      <c r="F35" s="472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473"/>
      <c r="X35" s="473"/>
      <c r="Y35" s="474"/>
      <c r="Z35" s="475">
        <f>SUM(Z7:Z34)</f>
        <v>10.64</v>
      </c>
      <c r="AA35" s="352"/>
    </row>
    <row r="36" spans="1:27" ht="15.5">
      <c r="A36" s="274"/>
      <c r="B36" s="275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</row>
    <row r="37" spans="1:27" ht="15.5">
      <c r="A37" s="274"/>
      <c r="B37" s="275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</row>
    <row r="38" spans="1:27" ht="15.5">
      <c r="A38" s="274"/>
      <c r="B38" s="275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</row>
    <row r="39" spans="1:27" ht="15.5">
      <c r="A39" s="274"/>
      <c r="B39" s="579"/>
      <c r="C39" s="579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</row>
    <row r="40" spans="1:27" ht="27.5">
      <c r="A40" s="274"/>
      <c r="B40" s="274"/>
      <c r="C40" s="274"/>
      <c r="D40" s="274"/>
      <c r="E40" s="274"/>
      <c r="F40" s="354"/>
      <c r="G40" s="355" t="s">
        <v>215</v>
      </c>
      <c r="H40" s="355"/>
      <c r="I40" s="355"/>
      <c r="J40" s="355"/>
      <c r="K40" s="355"/>
      <c r="L40" s="355"/>
      <c r="M40" s="355"/>
      <c r="N40" s="355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576"/>
      <c r="AA40" s="576"/>
    </row>
    <row r="41" spans="1:27" ht="27.5">
      <c r="A41" s="274"/>
      <c r="B41" s="274"/>
      <c r="C41" s="274"/>
      <c r="D41" s="276"/>
      <c r="E41" s="276"/>
      <c r="F41" s="276"/>
      <c r="G41" s="598" t="s">
        <v>216</v>
      </c>
      <c r="H41" s="598"/>
      <c r="I41" s="598"/>
      <c r="J41" s="598"/>
      <c r="K41" s="598"/>
      <c r="L41" s="598"/>
      <c r="M41" s="598"/>
      <c r="N41" s="598"/>
      <c r="O41" s="598"/>
      <c r="P41" s="598"/>
      <c r="Q41" s="276"/>
      <c r="R41" s="276"/>
      <c r="S41" s="276"/>
      <c r="T41" s="276"/>
      <c r="U41" s="276"/>
      <c r="V41" s="276"/>
      <c r="W41" s="276"/>
      <c r="X41" s="276"/>
      <c r="Y41" s="276"/>
      <c r="Z41" s="575"/>
      <c r="AA41" s="575"/>
    </row>
    <row r="42" spans="1:27">
      <c r="A42" s="274"/>
      <c r="B42" s="274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</row>
    <row r="43" spans="1:27" ht="14">
      <c r="A43" s="274"/>
      <c r="B43" s="274"/>
      <c r="C43" s="277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</row>
    <row r="44" spans="1:27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</row>
    <row r="45" spans="1:27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</row>
    <row r="46" spans="1:27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</row>
  </sheetData>
  <mergeCells count="14">
    <mergeCell ref="Z41:AA41"/>
    <mergeCell ref="Z40:AA40"/>
    <mergeCell ref="A1:AA1"/>
    <mergeCell ref="A3:B3"/>
    <mergeCell ref="B39:C39"/>
    <mergeCell ref="Z4:Z6"/>
    <mergeCell ref="AA4:AA6"/>
    <mergeCell ref="D4:X4"/>
    <mergeCell ref="C4:C6"/>
    <mergeCell ref="B4:B6"/>
    <mergeCell ref="A4:A6"/>
    <mergeCell ref="X3:Y3"/>
    <mergeCell ref="A31:AA31"/>
    <mergeCell ref="G41:P41"/>
  </mergeCells>
  <printOptions horizontalCentered="1" verticalCentered="1"/>
  <pageMargins left="0.25" right="0.25" top="0" bottom="0" header="0" footer="0"/>
  <pageSetup paperSize="9" scale="25" orientation="landscape" blackAndWhite="1" horizontalDpi="4294967292" copies="2" r:id="rId1"/>
  <headerFooter alignWithMargins="0"/>
  <rowBreaks count="2" manualBreakCount="2">
    <brk id="48" max="24" man="1"/>
    <brk id="52" max="24" man="1"/>
  </rowBreaks>
  <colBreaks count="1" manualBreakCount="1">
    <brk id="27" max="46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>
    <tabColor rgb="FFFFC000"/>
  </sheetPr>
  <dimension ref="A1:I47"/>
  <sheetViews>
    <sheetView showGridLines="0" showZeros="0" showOutlineSymbols="0" defaultGridColor="0" colorId="8" zoomScale="110" zoomScaleNormal="110" zoomScaleSheetLayoutView="120" workbookViewId="0">
      <selection activeCell="M9" sqref="M9"/>
    </sheetView>
  </sheetViews>
  <sheetFormatPr defaultColWidth="9.7265625" defaultRowHeight="12.5"/>
  <cols>
    <col min="1" max="1" width="9.7265625" customWidth="1"/>
    <col min="2" max="2" width="12.7265625" customWidth="1"/>
    <col min="3" max="3" width="8.7265625" customWidth="1"/>
    <col min="4" max="4" width="12.7265625" customWidth="1"/>
    <col min="5" max="5" width="11.7265625" customWidth="1"/>
    <col min="6" max="6" width="8.7265625" customWidth="1"/>
    <col min="7" max="8" width="15.7265625" customWidth="1"/>
    <col min="9" max="10" width="1.7265625" customWidth="1"/>
  </cols>
  <sheetData>
    <row r="1" spans="1:9" ht="27" customHeight="1" thickTop="1">
      <c r="A1" s="608" t="s">
        <v>99</v>
      </c>
      <c r="B1" s="609"/>
      <c r="C1" s="609"/>
      <c r="D1" s="609"/>
      <c r="E1" s="609"/>
      <c r="F1" s="609"/>
      <c r="G1" s="609"/>
      <c r="H1" s="610"/>
      <c r="I1" s="142"/>
    </row>
    <row r="2" spans="1:9" ht="15" customHeight="1">
      <c r="A2" s="112"/>
      <c r="B2" s="113"/>
      <c r="C2" s="113"/>
      <c r="D2" s="114"/>
      <c r="E2" s="113"/>
      <c r="F2" s="113"/>
      <c r="G2" s="113"/>
      <c r="H2" s="292" t="s">
        <v>70</v>
      </c>
      <c r="I2" s="142"/>
    </row>
    <row r="3" spans="1:9" ht="15" customHeight="1">
      <c r="A3" s="279" t="s">
        <v>56</v>
      </c>
      <c r="B3" s="293" t="e">
        <f>#REF!</f>
        <v>#REF!</v>
      </c>
      <c r="C3" s="116"/>
      <c r="D3" s="116"/>
      <c r="E3" s="116"/>
      <c r="F3" s="116"/>
      <c r="G3" s="117"/>
      <c r="H3" s="118"/>
      <c r="I3" s="142"/>
    </row>
    <row r="4" spans="1:9" ht="15" customHeight="1">
      <c r="A4" s="279" t="s">
        <v>100</v>
      </c>
      <c r="B4" s="293" t="e">
        <f>#REF!</f>
        <v>#REF!</v>
      </c>
      <c r="C4" s="116"/>
      <c r="D4" s="116"/>
      <c r="E4" s="116"/>
      <c r="F4" s="116"/>
      <c r="G4" s="116"/>
      <c r="H4" s="118"/>
      <c r="I4" s="142"/>
    </row>
    <row r="5" spans="1:9" ht="15" customHeight="1">
      <c r="A5" s="611" t="s">
        <v>58</v>
      </c>
      <c r="B5" s="612"/>
      <c r="C5" s="612"/>
      <c r="D5" s="289" t="e">
        <f>#REF!</f>
        <v>#REF!</v>
      </c>
      <c r="E5" s="117"/>
      <c r="F5" s="117"/>
      <c r="G5" s="117"/>
      <c r="H5" s="119"/>
      <c r="I5" s="142"/>
    </row>
    <row r="6" spans="1:9" ht="15" customHeight="1">
      <c r="A6" s="611" t="s">
        <v>103</v>
      </c>
      <c r="B6" s="612"/>
      <c r="C6" s="612"/>
      <c r="D6" s="291" t="e">
        <f>#REF!</f>
        <v>#REF!</v>
      </c>
      <c r="E6" s="138"/>
      <c r="F6" s="117"/>
      <c r="G6" s="117"/>
      <c r="H6" s="119"/>
      <c r="I6" s="142"/>
    </row>
    <row r="7" spans="1:9" ht="15" customHeight="1">
      <c r="A7" s="611" t="s">
        <v>104</v>
      </c>
      <c r="B7" s="612"/>
      <c r="C7" s="612"/>
      <c r="D7" s="294" t="e">
        <f>#REF!</f>
        <v>#REF!</v>
      </c>
      <c r="E7" s="138"/>
      <c r="F7" s="117"/>
      <c r="G7" s="116"/>
      <c r="H7" s="119"/>
      <c r="I7" s="142"/>
    </row>
    <row r="8" spans="1:9" ht="15" customHeight="1">
      <c r="A8" s="115" t="s">
        <v>105</v>
      </c>
      <c r="B8" s="291" t="e">
        <f>#REF!</f>
        <v>#REF!</v>
      </c>
      <c r="C8" s="288" t="s">
        <v>63</v>
      </c>
      <c r="D8" s="290" t="e">
        <f>#REF!</f>
        <v>#REF!</v>
      </c>
      <c r="E8" s="247"/>
      <c r="F8" s="102"/>
      <c r="G8" s="102"/>
      <c r="H8" s="121"/>
      <c r="I8" s="142"/>
    </row>
    <row r="9" spans="1:9" ht="15" customHeight="1">
      <c r="A9" s="611" t="s">
        <v>106</v>
      </c>
      <c r="B9" s="612"/>
      <c r="C9" s="120"/>
      <c r="D9" s="295"/>
      <c r="E9" s="246"/>
      <c r="F9" s="116"/>
      <c r="G9" s="116"/>
      <c r="H9" s="121"/>
      <c r="I9" s="142"/>
    </row>
    <row r="10" spans="1:9" ht="15.65" customHeight="1">
      <c r="A10" s="122"/>
      <c r="B10" s="102"/>
      <c r="C10" s="103"/>
      <c r="D10" s="102"/>
      <c r="E10" s="102"/>
      <c r="F10" s="332"/>
      <c r="G10" s="102"/>
      <c r="H10" s="123" t="s">
        <v>15</v>
      </c>
      <c r="I10" s="142"/>
    </row>
    <row r="11" spans="1:9" ht="15.65" customHeight="1">
      <c r="A11" s="613" t="s">
        <v>39</v>
      </c>
      <c r="B11" s="614"/>
      <c r="C11" s="299" t="s">
        <v>16</v>
      </c>
      <c r="D11" s="300" t="e">
        <f>#REF!</f>
        <v>#REF!</v>
      </c>
      <c r="E11" s="301" t="e">
        <f>B8</f>
        <v>#REF!</v>
      </c>
      <c r="F11" s="331" t="s">
        <v>65</v>
      </c>
      <c r="G11" s="302" t="e">
        <f>D8</f>
        <v>#REF!</v>
      </c>
      <c r="H11" s="139" t="e">
        <f>D11*G11/30</f>
        <v>#REF!</v>
      </c>
      <c r="I11" s="142"/>
    </row>
    <row r="12" spans="1:9" ht="15.65" customHeight="1">
      <c r="A12" s="599" t="s">
        <v>102</v>
      </c>
      <c r="B12" s="600"/>
      <c r="C12" s="303" t="s">
        <v>16</v>
      </c>
      <c r="D12" s="304" t="e">
        <f>#REF!</f>
        <v>#REF!</v>
      </c>
      <c r="E12" s="305" t="e">
        <f>B8</f>
        <v>#REF!</v>
      </c>
      <c r="F12" s="306" t="s">
        <v>65</v>
      </c>
      <c r="G12" s="307" t="e">
        <f>D8</f>
        <v>#REF!</v>
      </c>
      <c r="H12" s="140" t="e">
        <f>D12*G12/30</f>
        <v>#REF!</v>
      </c>
      <c r="I12" s="142"/>
    </row>
    <row r="13" spans="1:9" ht="15.65" customHeight="1">
      <c r="A13" s="599" t="s">
        <v>119</v>
      </c>
      <c r="B13" s="600"/>
      <c r="C13" s="308" t="s">
        <v>113</v>
      </c>
      <c r="D13" s="309"/>
      <c r="E13" s="308" t="s">
        <v>20</v>
      </c>
      <c r="F13" s="310"/>
      <c r="G13" s="306"/>
      <c r="H13" s="140">
        <f>D13*F13</f>
        <v>0</v>
      </c>
      <c r="I13" s="142"/>
    </row>
    <row r="14" spans="1:9" ht="15.65" customHeight="1">
      <c r="A14" s="599" t="s">
        <v>41</v>
      </c>
      <c r="B14" s="600"/>
      <c r="C14" s="311" t="s">
        <v>16</v>
      </c>
      <c r="D14" s="605" t="e">
        <f>#REF!</f>
        <v>#REF!</v>
      </c>
      <c r="E14" s="605"/>
      <c r="F14" s="605"/>
      <c r="G14" s="622"/>
      <c r="H14" s="140" t="e">
        <f>#REF!</f>
        <v>#REF!</v>
      </c>
      <c r="I14" s="142"/>
    </row>
    <row r="15" spans="1:9" ht="15.65" customHeight="1">
      <c r="A15" s="599" t="s">
        <v>42</v>
      </c>
      <c r="B15" s="600"/>
      <c r="C15" s="311" t="s">
        <v>16</v>
      </c>
      <c r="D15" s="605"/>
      <c r="E15" s="606"/>
      <c r="F15" s="606"/>
      <c r="G15" s="607"/>
      <c r="H15" s="141">
        <f>D15/30*G15</f>
        <v>0</v>
      </c>
      <c r="I15" s="142"/>
    </row>
    <row r="16" spans="1:9" ht="15.65" customHeight="1">
      <c r="A16" s="599" t="s">
        <v>43</v>
      </c>
      <c r="B16" s="600"/>
      <c r="C16" s="312" t="s">
        <v>16</v>
      </c>
      <c r="D16" s="304" t="e">
        <f>#REF!</f>
        <v>#REF!</v>
      </c>
      <c r="E16" s="305" t="e">
        <f>B8</f>
        <v>#REF!</v>
      </c>
      <c r="F16" s="313" t="s">
        <v>65</v>
      </c>
      <c r="G16" s="307" t="e">
        <f>D8</f>
        <v>#REF!</v>
      </c>
      <c r="H16" s="140" t="e">
        <f>D16*G16/30</f>
        <v>#REF!</v>
      </c>
      <c r="I16" s="142"/>
    </row>
    <row r="17" spans="1:9" ht="15.65" customHeight="1">
      <c r="A17" s="599" t="s">
        <v>120</v>
      </c>
      <c r="B17" s="600"/>
      <c r="C17" s="312" t="s">
        <v>16</v>
      </c>
      <c r="D17" s="304" t="e">
        <f>#REF!</f>
        <v>#REF!</v>
      </c>
      <c r="E17" s="305" t="e">
        <f>B8</f>
        <v>#REF!</v>
      </c>
      <c r="F17" s="313" t="s">
        <v>65</v>
      </c>
      <c r="G17" s="307">
        <f>D9</f>
        <v>0</v>
      </c>
      <c r="H17" s="140" t="e">
        <f>D17*D8/30</f>
        <v>#REF!</v>
      </c>
      <c r="I17" s="142"/>
    </row>
    <row r="18" spans="1:9" ht="15.65" customHeight="1">
      <c r="A18" s="599" t="s">
        <v>101</v>
      </c>
      <c r="B18" s="600"/>
      <c r="C18" s="308" t="s">
        <v>16</v>
      </c>
      <c r="D18" s="304" t="e">
        <f>#REF!</f>
        <v>#REF!</v>
      </c>
      <c r="E18" s="305" t="e">
        <f>B8</f>
        <v>#REF!</v>
      </c>
      <c r="F18" s="306" t="s">
        <v>65</v>
      </c>
      <c r="G18" s="307" t="e">
        <f>D8</f>
        <v>#REF!</v>
      </c>
      <c r="H18" s="140" t="e">
        <f>D18*G18/30</f>
        <v>#REF!</v>
      </c>
      <c r="I18" s="142"/>
    </row>
    <row r="19" spans="1:9" ht="15.65" customHeight="1">
      <c r="A19" s="601" t="s">
        <v>85</v>
      </c>
      <c r="B19" s="602"/>
      <c r="C19" s="314"/>
      <c r="D19" s="304" t="e">
        <f>#REF!</f>
        <v>#REF!</v>
      </c>
      <c r="E19" s="305" t="e">
        <f>B8</f>
        <v>#REF!</v>
      </c>
      <c r="F19" s="306" t="s">
        <v>65</v>
      </c>
      <c r="G19" s="307" t="e">
        <f>D8</f>
        <v>#REF!</v>
      </c>
      <c r="H19" s="140" t="e">
        <f>D19*G19/30</f>
        <v>#REF!</v>
      </c>
      <c r="I19" s="142"/>
    </row>
    <row r="20" spans="1:9" ht="15.65" customHeight="1">
      <c r="A20" s="603" t="s">
        <v>107</v>
      </c>
      <c r="B20" s="604"/>
      <c r="C20" s="604"/>
      <c r="D20" s="604"/>
      <c r="E20" s="105"/>
      <c r="F20" s="105"/>
      <c r="G20" s="106"/>
      <c r="H20" s="261" t="e">
        <f>SUM(H11:H19)</f>
        <v>#REF!</v>
      </c>
      <c r="I20" s="142"/>
    </row>
    <row r="21" spans="1:9" ht="15.65" customHeight="1">
      <c r="A21" s="124" t="s">
        <v>108</v>
      </c>
      <c r="B21" s="107"/>
      <c r="C21" s="107"/>
      <c r="D21" s="107"/>
      <c r="E21" s="107"/>
      <c r="F21" s="108" t="str">
        <f>IF(H21&lt;0,"Debit","Credit")</f>
        <v>Credit</v>
      </c>
      <c r="G21" s="109"/>
      <c r="H21" s="260"/>
      <c r="I21" s="142"/>
    </row>
    <row r="22" spans="1:9" ht="15.65" customHeight="1">
      <c r="A22" s="125" t="s">
        <v>109</v>
      </c>
      <c r="B22" s="102"/>
      <c r="C22" s="102"/>
      <c r="D22" s="102"/>
      <c r="E22" s="102"/>
      <c r="F22" s="102"/>
      <c r="G22" s="126"/>
      <c r="H22" s="262" t="e">
        <f>H20+H21</f>
        <v>#REF!</v>
      </c>
      <c r="I22" s="142"/>
    </row>
    <row r="23" spans="1:9" ht="8.15" customHeight="1">
      <c r="A23" s="127"/>
      <c r="B23" s="102"/>
      <c r="C23" s="102"/>
      <c r="D23" s="102"/>
      <c r="E23" s="102"/>
      <c r="F23" s="102"/>
      <c r="G23" s="110"/>
      <c r="H23" s="128"/>
      <c r="I23" s="142"/>
    </row>
    <row r="24" spans="1:9" ht="15.65" customHeight="1">
      <c r="A24" s="125" t="s">
        <v>110</v>
      </c>
      <c r="B24" s="102"/>
      <c r="C24" s="102"/>
      <c r="D24" s="102"/>
      <c r="E24" s="102"/>
      <c r="F24" s="102"/>
      <c r="G24" s="111" t="s">
        <v>15</v>
      </c>
      <c r="H24" s="128"/>
      <c r="I24" s="142"/>
    </row>
    <row r="25" spans="1:9" ht="15.65" customHeight="1">
      <c r="A25" s="315" t="s">
        <v>47</v>
      </c>
      <c r="B25" s="316"/>
      <c r="C25" s="316" t="s">
        <v>16</v>
      </c>
      <c r="D25" s="301" t="e">
        <f>B8</f>
        <v>#REF!</v>
      </c>
      <c r="E25" s="317" t="s">
        <v>66</v>
      </c>
      <c r="F25" s="318"/>
      <c r="G25" s="233" t="e">
        <f>C25*D25+C25*F25/30</f>
        <v>#REF!</v>
      </c>
      <c r="H25" s="128"/>
      <c r="I25" s="142"/>
    </row>
    <row r="26" spans="1:9" ht="15.65" customHeight="1">
      <c r="A26" s="599" t="s">
        <v>114</v>
      </c>
      <c r="B26" s="600"/>
      <c r="C26" s="329" t="s">
        <v>16</v>
      </c>
      <c r="D26" s="319" t="e">
        <f>#REF!</f>
        <v>#REF!</v>
      </c>
      <c r="E26" s="330"/>
      <c r="F26" s="321"/>
      <c r="G26" s="258" t="e">
        <f>#REF!</f>
        <v>#REF!</v>
      </c>
      <c r="H26" s="128"/>
      <c r="I26" s="142"/>
    </row>
    <row r="27" spans="1:9" ht="15.65" customHeight="1">
      <c r="A27" s="599" t="s">
        <v>115</v>
      </c>
      <c r="B27" s="600"/>
      <c r="C27" s="600"/>
      <c r="D27" s="623">
        <f>'2AL'!D7</f>
        <v>0</v>
      </c>
      <c r="E27" s="623"/>
      <c r="F27" s="624"/>
      <c r="G27" s="135">
        <f>'2AL'!E25</f>
        <v>0</v>
      </c>
      <c r="H27" s="128"/>
      <c r="I27" s="142"/>
    </row>
    <row r="28" spans="1:9" ht="15.65" customHeight="1">
      <c r="A28" s="599" t="s">
        <v>51</v>
      </c>
      <c r="B28" s="600"/>
      <c r="C28" s="600"/>
      <c r="D28" s="306" t="e">
        <f>IF(Slopchest!#REF!=0,"",Slopchest!#REF!)</f>
        <v>#REF!</v>
      </c>
      <c r="E28" s="322" t="str">
        <f>IF(Slopchest!D7=0,"",Slopchest!$D$5)</f>
        <v/>
      </c>
      <c r="F28" s="323" t="str">
        <f>IF(Slopchest!D7=0,"",Slopchest!D7)</f>
        <v/>
      </c>
      <c r="G28" s="104">
        <f>Slopchest!Z25</f>
        <v>0</v>
      </c>
      <c r="H28" s="128"/>
      <c r="I28" s="142"/>
    </row>
    <row r="29" spans="1:9" ht="15.65" customHeight="1">
      <c r="A29" s="599" t="s">
        <v>19</v>
      </c>
      <c r="B29" s="600"/>
      <c r="C29" s="600"/>
      <c r="D29" s="615"/>
      <c r="E29" s="615"/>
      <c r="F29" s="616"/>
      <c r="G29" s="135" t="e">
        <f>#REF!</f>
        <v>#REF!</v>
      </c>
      <c r="H29" s="128"/>
      <c r="I29" s="142"/>
    </row>
    <row r="30" spans="1:9" ht="15.65" customHeight="1">
      <c r="A30" s="599" t="s">
        <v>116</v>
      </c>
      <c r="B30" s="600"/>
      <c r="C30" s="600"/>
      <c r="D30" s="319" t="e">
        <f>'1AD'!D7</f>
        <v>#REF!</v>
      </c>
      <c r="E30" s="320"/>
      <c r="F30" s="321"/>
      <c r="G30" s="135">
        <f>'1AD'!E25</f>
        <v>0</v>
      </c>
      <c r="H30" s="128"/>
      <c r="I30" s="142"/>
    </row>
    <row r="31" spans="1:9" ht="15.65" customHeight="1">
      <c r="A31" s="599" t="s">
        <v>117</v>
      </c>
      <c r="B31" s="600"/>
      <c r="C31" s="600"/>
      <c r="D31" s="319" t="e">
        <f>#REF!</f>
        <v>#REF!</v>
      </c>
      <c r="E31" s="320"/>
      <c r="F31" s="321"/>
      <c r="G31" s="135" t="e">
        <f>#REF!</f>
        <v>#REF!</v>
      </c>
      <c r="H31" s="128"/>
      <c r="I31" s="142"/>
    </row>
    <row r="32" spans="1:9" ht="15.65" customHeight="1">
      <c r="A32" s="599" t="s">
        <v>118</v>
      </c>
      <c r="B32" s="600"/>
      <c r="C32" s="600"/>
      <c r="D32" s="319" t="e">
        <f>'3AD'!D7</f>
        <v>#REF!</v>
      </c>
      <c r="E32" s="320"/>
      <c r="F32" s="321"/>
      <c r="G32" s="135">
        <f>'3AD'!E25</f>
        <v>0</v>
      </c>
      <c r="H32" s="128"/>
      <c r="I32" s="142"/>
    </row>
    <row r="33" spans="1:9" ht="15.65" customHeight="1">
      <c r="A33" s="599" t="s">
        <v>68</v>
      </c>
      <c r="B33" s="600"/>
      <c r="C33" s="600"/>
      <c r="D33" s="617"/>
      <c r="E33" s="617"/>
      <c r="F33" s="618"/>
      <c r="G33" s="136">
        <v>0</v>
      </c>
      <c r="H33" s="128"/>
      <c r="I33" s="142"/>
    </row>
    <row r="34" spans="1:9" ht="15.65" customHeight="1">
      <c r="A34" s="601" t="s">
        <v>55</v>
      </c>
      <c r="B34" s="602"/>
      <c r="C34" s="631" t="s">
        <v>93</v>
      </c>
      <c r="D34" s="631"/>
      <c r="E34" s="631"/>
      <c r="F34" s="632"/>
      <c r="G34" s="137" t="e">
        <f>IF(#REF!=30,#REF!,#REF!/30*#REF!)</f>
        <v>#REF!</v>
      </c>
      <c r="H34" s="128"/>
      <c r="I34" s="142"/>
    </row>
    <row r="35" spans="1:9" ht="15.65" customHeight="1">
      <c r="A35" s="129" t="s">
        <v>111</v>
      </c>
      <c r="B35" s="102"/>
      <c r="C35" s="102"/>
      <c r="D35" s="102"/>
      <c r="E35" s="102"/>
      <c r="F35" s="102"/>
      <c r="G35" s="259" t="e">
        <f>SUM(G25:G34)</f>
        <v>#REF!</v>
      </c>
      <c r="H35" s="128" t="e">
        <f>H22-G35</f>
        <v>#REF!</v>
      </c>
      <c r="I35" s="142"/>
    </row>
    <row r="36" spans="1:9" ht="8.15" customHeight="1" thickBot="1">
      <c r="A36" s="122"/>
      <c r="B36" s="102"/>
      <c r="C36" s="102"/>
      <c r="D36" s="102"/>
      <c r="E36" s="102"/>
      <c r="F36" s="102"/>
      <c r="G36" s="126"/>
      <c r="H36" s="128"/>
      <c r="I36" s="142"/>
    </row>
    <row r="37" spans="1:9" ht="15.65" customHeight="1" thickBot="1">
      <c r="A37" s="280" t="s">
        <v>112</v>
      </c>
      <c r="B37" s="102"/>
      <c r="C37" s="102"/>
      <c r="D37" s="102"/>
      <c r="E37" s="102"/>
      <c r="F37" s="281" t="e">
        <f>IF(H37&lt;0,"Debet","Credit")</f>
        <v>#REF!</v>
      </c>
      <c r="G37" s="296" t="s">
        <v>15</v>
      </c>
      <c r="H37" s="297" t="e">
        <f>IF(H35=0,"NIL",H35)</f>
        <v>#REF!</v>
      </c>
      <c r="I37" s="142"/>
    </row>
    <row r="38" spans="1:9" ht="12.4" customHeight="1">
      <c r="A38" s="122"/>
      <c r="B38" s="102"/>
      <c r="C38" s="102"/>
      <c r="D38" s="102"/>
      <c r="E38" s="102"/>
      <c r="F38" s="102"/>
      <c r="G38" s="102"/>
      <c r="H38" s="121"/>
      <c r="I38" s="142"/>
    </row>
    <row r="39" spans="1:9" ht="30.4" customHeight="1">
      <c r="A39" s="628" t="s">
        <v>74</v>
      </c>
      <c r="B39" s="629"/>
      <c r="C39" s="629"/>
      <c r="D39" s="629"/>
      <c r="E39" s="629"/>
      <c r="F39" s="629"/>
      <c r="G39" s="629"/>
      <c r="H39" s="630"/>
      <c r="I39" s="142"/>
    </row>
    <row r="40" spans="1:9" ht="30.4" customHeight="1">
      <c r="A40" s="324" t="s">
        <v>12</v>
      </c>
      <c r="B40" s="633"/>
      <c r="C40" s="633"/>
      <c r="D40" s="325"/>
      <c r="E40" s="326"/>
      <c r="F40" s="327" t="s">
        <v>13</v>
      </c>
      <c r="G40" s="620" t="e">
        <f>#REF!</f>
        <v>#REF!</v>
      </c>
      <c r="H40" s="621"/>
      <c r="I40" s="142"/>
    </row>
    <row r="41" spans="1:9" ht="13.15" customHeight="1">
      <c r="A41" s="130"/>
      <c r="B41" s="271"/>
      <c r="C41" s="271"/>
      <c r="D41" s="131"/>
      <c r="E41" s="132"/>
      <c r="F41" s="263"/>
      <c r="G41" s="263"/>
      <c r="H41" s="121"/>
      <c r="I41" s="142"/>
    </row>
    <row r="42" spans="1:9" ht="13.15" customHeight="1">
      <c r="A42" s="122"/>
      <c r="B42" s="117"/>
      <c r="C42" s="117"/>
      <c r="D42" s="116"/>
      <c r="E42" s="102"/>
      <c r="F42" s="133"/>
      <c r="G42" s="134"/>
      <c r="H42" s="121"/>
      <c r="I42" s="142"/>
    </row>
    <row r="43" spans="1:9" ht="13.15" customHeight="1">
      <c r="A43" s="264" t="s">
        <v>83</v>
      </c>
      <c r="B43" s="269"/>
      <c r="C43" s="269"/>
      <c r="D43" s="265"/>
      <c r="E43" s="619" t="s">
        <v>94</v>
      </c>
      <c r="F43" s="619"/>
      <c r="G43" s="269"/>
      <c r="H43" s="270"/>
      <c r="I43" s="142"/>
    </row>
    <row r="44" spans="1:9" ht="13.15" customHeight="1" thickBot="1">
      <c r="A44" s="266"/>
      <c r="B44" s="625" t="e">
        <f>#REF!</f>
        <v>#REF!</v>
      </c>
      <c r="C44" s="625"/>
      <c r="D44" s="267"/>
      <c r="E44" s="267"/>
      <c r="F44" s="268"/>
      <c r="G44" s="626" t="e">
        <f>B3</f>
        <v>#REF!</v>
      </c>
      <c r="H44" s="627"/>
      <c r="I44" s="142"/>
    </row>
    <row r="45" spans="1:9" ht="14" thickTop="1">
      <c r="A45" s="17"/>
      <c r="B45" s="17"/>
      <c r="C45" s="17"/>
      <c r="D45" s="17"/>
      <c r="E45" s="17"/>
      <c r="F45" s="17"/>
      <c r="G45" s="17"/>
      <c r="H45" s="17"/>
    </row>
    <row r="46" spans="1:9" ht="13.5">
      <c r="A46" s="17"/>
      <c r="B46" s="17"/>
      <c r="C46" s="17"/>
      <c r="D46" s="17"/>
      <c r="E46" s="17"/>
      <c r="F46" s="17"/>
      <c r="G46" s="17"/>
      <c r="H46" s="17"/>
    </row>
    <row r="47" spans="1:9" ht="13.5">
      <c r="A47" s="17"/>
      <c r="B47" s="17"/>
      <c r="C47" s="17"/>
      <c r="D47" s="17"/>
      <c r="E47" s="17"/>
      <c r="F47" s="17"/>
      <c r="G47" s="17"/>
      <c r="H47" s="17"/>
    </row>
  </sheetData>
  <mergeCells count="36">
    <mergeCell ref="B44:C44"/>
    <mergeCell ref="G44:H44"/>
    <mergeCell ref="A9:B9"/>
    <mergeCell ref="A27:C27"/>
    <mergeCell ref="A28:C28"/>
    <mergeCell ref="A29:C29"/>
    <mergeCell ref="A30:C30"/>
    <mergeCell ref="A31:C31"/>
    <mergeCell ref="A32:C32"/>
    <mergeCell ref="A33:C33"/>
    <mergeCell ref="A34:B34"/>
    <mergeCell ref="A39:H39"/>
    <mergeCell ref="A16:B16"/>
    <mergeCell ref="A17:B17"/>
    <mergeCell ref="C34:F34"/>
    <mergeCell ref="B40:C40"/>
    <mergeCell ref="D29:F29"/>
    <mergeCell ref="D33:F33"/>
    <mergeCell ref="E43:F43"/>
    <mergeCell ref="G40:H40"/>
    <mergeCell ref="D14:G14"/>
    <mergeCell ref="D27:F27"/>
    <mergeCell ref="A1:H1"/>
    <mergeCell ref="A5:C5"/>
    <mergeCell ref="A6:C6"/>
    <mergeCell ref="A7:C7"/>
    <mergeCell ref="A11:B11"/>
    <mergeCell ref="A18:B18"/>
    <mergeCell ref="A19:B19"/>
    <mergeCell ref="A20:D20"/>
    <mergeCell ref="A26:B26"/>
    <mergeCell ref="A12:B12"/>
    <mergeCell ref="A13:B13"/>
    <mergeCell ref="A14:B14"/>
    <mergeCell ref="A15:B15"/>
    <mergeCell ref="D15:G15"/>
  </mergeCells>
  <printOptions horizontalCentered="1" verticalCentered="1"/>
  <pageMargins left="0.78740157480314965" right="0" top="0" bottom="0" header="0" footer="0"/>
  <pageSetup paperSize="9" orientation="portrait" blackAndWhite="1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>
    <tabColor rgb="FFFFC000"/>
  </sheetPr>
  <dimension ref="A1:I47"/>
  <sheetViews>
    <sheetView showGridLines="0" showRowColHeaders="0" showZeros="0" showOutlineSymbols="0" defaultGridColor="0" colorId="8" zoomScale="110" zoomScaleNormal="110" zoomScaleSheetLayoutView="120" workbookViewId="0">
      <selection activeCell="M9" sqref="M9"/>
    </sheetView>
  </sheetViews>
  <sheetFormatPr defaultColWidth="9.7265625" defaultRowHeight="12.5"/>
  <cols>
    <col min="1" max="1" width="9.7265625" customWidth="1"/>
    <col min="2" max="2" width="12.7265625" customWidth="1"/>
    <col min="3" max="3" width="8.7265625" customWidth="1"/>
    <col min="4" max="4" width="12.7265625" customWidth="1"/>
    <col min="5" max="5" width="11.7265625" customWidth="1"/>
    <col min="6" max="6" width="8.7265625" customWidth="1"/>
    <col min="7" max="8" width="15.7265625" customWidth="1"/>
    <col min="9" max="10" width="1.7265625" customWidth="1"/>
  </cols>
  <sheetData>
    <row r="1" spans="1:9" ht="27" customHeight="1" thickTop="1">
      <c r="A1" s="608" t="s">
        <v>99</v>
      </c>
      <c r="B1" s="609"/>
      <c r="C1" s="609"/>
      <c r="D1" s="609"/>
      <c r="E1" s="609"/>
      <c r="F1" s="609"/>
      <c r="G1" s="609"/>
      <c r="H1" s="610"/>
      <c r="I1" s="142"/>
    </row>
    <row r="2" spans="1:9" ht="15" customHeight="1">
      <c r="A2" s="112"/>
      <c r="B2" s="113"/>
      <c r="C2" s="113"/>
      <c r="D2" s="114"/>
      <c r="E2" s="113"/>
      <c r="F2" s="113"/>
      <c r="G2" s="113"/>
      <c r="H2" s="292" t="s">
        <v>71</v>
      </c>
      <c r="I2" s="142"/>
    </row>
    <row r="3" spans="1:9" ht="15" customHeight="1">
      <c r="A3" s="279" t="s">
        <v>56</v>
      </c>
      <c r="B3" s="293" t="e">
        <f>#REF!</f>
        <v>#REF!</v>
      </c>
      <c r="C3" s="116"/>
      <c r="D3" s="116"/>
      <c r="E3" s="116"/>
      <c r="F3" s="116"/>
      <c r="G3" s="117"/>
      <c r="H3" s="118"/>
      <c r="I3" s="142"/>
    </row>
    <row r="4" spans="1:9" ht="15" customHeight="1">
      <c r="A4" s="279" t="s">
        <v>100</v>
      </c>
      <c r="B4" s="293" t="e">
        <f>#REF!</f>
        <v>#REF!</v>
      </c>
      <c r="C4" s="116"/>
      <c r="D4" s="116"/>
      <c r="E4" s="116"/>
      <c r="F4" s="116"/>
      <c r="G4" s="116"/>
      <c r="H4" s="118"/>
      <c r="I4" s="142"/>
    </row>
    <row r="5" spans="1:9" ht="15" customHeight="1">
      <c r="A5" s="611" t="s">
        <v>58</v>
      </c>
      <c r="B5" s="612"/>
      <c r="C5" s="612"/>
      <c r="D5" s="298" t="e">
        <f>#REF!</f>
        <v>#REF!</v>
      </c>
      <c r="E5" s="138"/>
      <c r="F5" s="117"/>
      <c r="G5" s="117"/>
      <c r="H5" s="119"/>
      <c r="I5" s="142"/>
    </row>
    <row r="6" spans="1:9" ht="15" customHeight="1">
      <c r="A6" s="611" t="s">
        <v>103</v>
      </c>
      <c r="B6" s="612"/>
      <c r="C6" s="612"/>
      <c r="D6" s="298" t="e">
        <f>#REF!</f>
        <v>#REF!</v>
      </c>
      <c r="E6" s="138"/>
      <c r="F6" s="117"/>
      <c r="G6" s="117"/>
      <c r="H6" s="119"/>
      <c r="I6" s="142"/>
    </row>
    <row r="7" spans="1:9" ht="15" customHeight="1">
      <c r="A7" s="611" t="s">
        <v>104</v>
      </c>
      <c r="B7" s="612"/>
      <c r="C7" s="612"/>
      <c r="D7" s="294" t="e">
        <f>#REF!</f>
        <v>#REF!</v>
      </c>
      <c r="E7" s="138"/>
      <c r="F7" s="117"/>
      <c r="G7" s="116"/>
      <c r="H7" s="119"/>
      <c r="I7" s="142"/>
    </row>
    <row r="8" spans="1:9" ht="15" customHeight="1">
      <c r="A8" s="115" t="s">
        <v>105</v>
      </c>
      <c r="B8" s="291" t="e">
        <f>#REF!</f>
        <v>#REF!</v>
      </c>
      <c r="C8" s="288" t="s">
        <v>63</v>
      </c>
      <c r="D8" s="290" t="e">
        <f>#REF!</f>
        <v>#REF!</v>
      </c>
      <c r="E8" s="247"/>
      <c r="F8" s="102"/>
      <c r="G8" s="102"/>
      <c r="H8" s="121"/>
      <c r="I8" s="142"/>
    </row>
    <row r="9" spans="1:9" ht="15" customHeight="1">
      <c r="A9" s="611" t="s">
        <v>106</v>
      </c>
      <c r="B9" s="612"/>
      <c r="C9" s="120"/>
      <c r="D9" s="295"/>
      <c r="E9" s="246"/>
      <c r="F9" s="116"/>
      <c r="G9" s="116"/>
      <c r="H9" s="121"/>
      <c r="I9" s="142"/>
    </row>
    <row r="10" spans="1:9" ht="15.65" customHeight="1">
      <c r="A10" s="122"/>
      <c r="B10" s="102"/>
      <c r="C10" s="103"/>
      <c r="D10" s="102"/>
      <c r="E10" s="102"/>
      <c r="F10" s="332"/>
      <c r="G10" s="102"/>
      <c r="H10" s="123" t="s">
        <v>15</v>
      </c>
      <c r="I10" s="142"/>
    </row>
    <row r="11" spans="1:9" ht="15.65" customHeight="1">
      <c r="A11" s="613" t="s">
        <v>39</v>
      </c>
      <c r="B11" s="614"/>
      <c r="C11" s="299" t="s">
        <v>16</v>
      </c>
      <c r="D11" s="300" t="e">
        <f>#REF!</f>
        <v>#REF!</v>
      </c>
      <c r="E11" s="301" t="e">
        <f>B8</f>
        <v>#REF!</v>
      </c>
      <c r="F11" s="331" t="s">
        <v>65</v>
      </c>
      <c r="G11" s="302" t="e">
        <f>D8</f>
        <v>#REF!</v>
      </c>
      <c r="H11" s="139" t="e">
        <f>D11*G11/30</f>
        <v>#REF!</v>
      </c>
      <c r="I11" s="142"/>
    </row>
    <row r="12" spans="1:9" ht="15.65" customHeight="1">
      <c r="A12" s="599" t="s">
        <v>102</v>
      </c>
      <c r="B12" s="600"/>
      <c r="C12" s="303" t="s">
        <v>16</v>
      </c>
      <c r="D12" s="304" t="e">
        <f>#REF!</f>
        <v>#REF!</v>
      </c>
      <c r="E12" s="305" t="e">
        <f>B8</f>
        <v>#REF!</v>
      </c>
      <c r="F12" s="306" t="s">
        <v>65</v>
      </c>
      <c r="G12" s="307" t="e">
        <f>D8</f>
        <v>#REF!</v>
      </c>
      <c r="H12" s="140" t="e">
        <f>D12*G12/30</f>
        <v>#REF!</v>
      </c>
      <c r="I12" s="142"/>
    </row>
    <row r="13" spans="1:9" ht="15.65" customHeight="1">
      <c r="A13" s="599" t="s">
        <v>119</v>
      </c>
      <c r="B13" s="600"/>
      <c r="C13" s="308" t="s">
        <v>113</v>
      </c>
      <c r="D13" s="309"/>
      <c r="E13" s="308" t="s">
        <v>20</v>
      </c>
      <c r="F13" s="310"/>
      <c r="G13" s="306"/>
      <c r="H13" s="140">
        <f>D13*F13</f>
        <v>0</v>
      </c>
      <c r="I13" s="142"/>
    </row>
    <row r="14" spans="1:9" ht="15.65" customHeight="1">
      <c r="A14" s="599" t="s">
        <v>41</v>
      </c>
      <c r="B14" s="600"/>
      <c r="C14" s="311" t="s">
        <v>16</v>
      </c>
      <c r="D14" s="605" t="e">
        <f>#REF!</f>
        <v>#REF!</v>
      </c>
      <c r="E14" s="605"/>
      <c r="F14" s="605"/>
      <c r="G14" s="622"/>
      <c r="H14" s="140" t="e">
        <f>#REF!</f>
        <v>#REF!</v>
      </c>
      <c r="I14" s="142"/>
    </row>
    <row r="15" spans="1:9" ht="15.65" customHeight="1">
      <c r="A15" s="599" t="s">
        <v>42</v>
      </c>
      <c r="B15" s="600"/>
      <c r="C15" s="311" t="s">
        <v>16</v>
      </c>
      <c r="D15" s="605"/>
      <c r="E15" s="606"/>
      <c r="F15" s="606"/>
      <c r="G15" s="607"/>
      <c r="H15" s="141">
        <f>D15/30*G15</f>
        <v>0</v>
      </c>
      <c r="I15" s="142"/>
    </row>
    <row r="16" spans="1:9" ht="15.65" customHeight="1">
      <c r="A16" s="599" t="s">
        <v>43</v>
      </c>
      <c r="B16" s="600"/>
      <c r="C16" s="312" t="s">
        <v>16</v>
      </c>
      <c r="D16" s="304" t="e">
        <f>#REF!</f>
        <v>#REF!</v>
      </c>
      <c r="E16" s="305" t="e">
        <f>B8</f>
        <v>#REF!</v>
      </c>
      <c r="F16" s="313" t="s">
        <v>65</v>
      </c>
      <c r="G16" s="307" t="e">
        <f>D8</f>
        <v>#REF!</v>
      </c>
      <c r="H16" s="140" t="e">
        <f>D16*G16/30</f>
        <v>#REF!</v>
      </c>
      <c r="I16" s="142"/>
    </row>
    <row r="17" spans="1:9" ht="15.65" customHeight="1">
      <c r="A17" s="599" t="s">
        <v>120</v>
      </c>
      <c r="B17" s="600"/>
      <c r="C17" s="312" t="s">
        <v>16</v>
      </c>
      <c r="D17" s="304" t="e">
        <f>#REF!</f>
        <v>#REF!</v>
      </c>
      <c r="E17" s="305" t="e">
        <f>B8</f>
        <v>#REF!</v>
      </c>
      <c r="F17" s="313" t="s">
        <v>65</v>
      </c>
      <c r="G17" s="307">
        <f>D9</f>
        <v>0</v>
      </c>
      <c r="H17" s="140" t="e">
        <f>D17*D8/30</f>
        <v>#REF!</v>
      </c>
      <c r="I17" s="142"/>
    </row>
    <row r="18" spans="1:9" ht="15.65" customHeight="1">
      <c r="A18" s="599" t="s">
        <v>101</v>
      </c>
      <c r="B18" s="600"/>
      <c r="C18" s="308" t="s">
        <v>16</v>
      </c>
      <c r="D18" s="304" t="e">
        <f>#REF!</f>
        <v>#REF!</v>
      </c>
      <c r="E18" s="305" t="e">
        <f>B8</f>
        <v>#REF!</v>
      </c>
      <c r="F18" s="306" t="s">
        <v>65</v>
      </c>
      <c r="G18" s="307" t="e">
        <f>D8</f>
        <v>#REF!</v>
      </c>
      <c r="H18" s="140" t="e">
        <f>D18*G18/30</f>
        <v>#REF!</v>
      </c>
      <c r="I18" s="142"/>
    </row>
    <row r="19" spans="1:9" ht="15.65" customHeight="1">
      <c r="A19" s="601" t="s">
        <v>85</v>
      </c>
      <c r="B19" s="602"/>
      <c r="C19" s="314"/>
      <c r="D19" s="304" t="e">
        <f>#REF!</f>
        <v>#REF!</v>
      </c>
      <c r="E19" s="305" t="e">
        <f>B8</f>
        <v>#REF!</v>
      </c>
      <c r="F19" s="306" t="s">
        <v>65</v>
      </c>
      <c r="G19" s="307" t="e">
        <f>D8</f>
        <v>#REF!</v>
      </c>
      <c r="H19" s="140" t="e">
        <f>D19*G19/30</f>
        <v>#REF!</v>
      </c>
      <c r="I19" s="142"/>
    </row>
    <row r="20" spans="1:9" ht="15.65" customHeight="1">
      <c r="A20" s="603" t="s">
        <v>107</v>
      </c>
      <c r="B20" s="604"/>
      <c r="C20" s="604"/>
      <c r="D20" s="604"/>
      <c r="E20" s="105"/>
      <c r="F20" s="105"/>
      <c r="G20" s="106"/>
      <c r="H20" s="261" t="e">
        <f>SUM(H11:H19)</f>
        <v>#REF!</v>
      </c>
      <c r="I20" s="142"/>
    </row>
    <row r="21" spans="1:9" ht="15.65" customHeight="1">
      <c r="A21" s="124" t="s">
        <v>108</v>
      </c>
      <c r="B21" s="107"/>
      <c r="C21" s="107"/>
      <c r="D21" s="107"/>
      <c r="E21" s="107"/>
      <c r="F21" s="108" t="str">
        <f>IF(H21&lt;0,"Debit","Credit")</f>
        <v>Credit</v>
      </c>
      <c r="G21" s="109"/>
      <c r="H21" s="260"/>
      <c r="I21" s="142"/>
    </row>
    <row r="22" spans="1:9" ht="15.65" customHeight="1">
      <c r="A22" s="125" t="s">
        <v>109</v>
      </c>
      <c r="B22" s="102"/>
      <c r="C22" s="102"/>
      <c r="D22" s="102"/>
      <c r="E22" s="102"/>
      <c r="F22" s="102"/>
      <c r="G22" s="126"/>
      <c r="H22" s="262" t="e">
        <f>H20+H21</f>
        <v>#REF!</v>
      </c>
      <c r="I22" s="142"/>
    </row>
    <row r="23" spans="1:9" ht="8.15" customHeight="1">
      <c r="A23" s="127"/>
      <c r="B23" s="102"/>
      <c r="C23" s="102"/>
      <c r="D23" s="102"/>
      <c r="E23" s="102"/>
      <c r="F23" s="102"/>
      <c r="G23" s="110"/>
      <c r="H23" s="128"/>
      <c r="I23" s="142"/>
    </row>
    <row r="24" spans="1:9" ht="15.65" customHeight="1">
      <c r="A24" s="125" t="s">
        <v>110</v>
      </c>
      <c r="B24" s="102"/>
      <c r="C24" s="102"/>
      <c r="D24" s="102"/>
      <c r="E24" s="102"/>
      <c r="F24" s="102"/>
      <c r="G24" s="111" t="s">
        <v>15</v>
      </c>
      <c r="H24" s="128"/>
      <c r="I24" s="142"/>
    </row>
    <row r="25" spans="1:9" ht="15.65" customHeight="1">
      <c r="A25" s="315" t="s">
        <v>47</v>
      </c>
      <c r="B25" s="316"/>
      <c r="C25" s="316" t="s">
        <v>16</v>
      </c>
      <c r="D25" s="301" t="e">
        <f>B8</f>
        <v>#REF!</v>
      </c>
      <c r="E25" s="317" t="s">
        <v>66</v>
      </c>
      <c r="F25" s="318"/>
      <c r="G25" s="233" t="e">
        <f>C25*D25+C25*F25/30</f>
        <v>#REF!</v>
      </c>
      <c r="H25" s="128"/>
      <c r="I25" s="142"/>
    </row>
    <row r="26" spans="1:9" ht="15.65" customHeight="1">
      <c r="A26" s="599" t="s">
        <v>114</v>
      </c>
      <c r="B26" s="600"/>
      <c r="C26" s="329" t="s">
        <v>16</v>
      </c>
      <c r="D26" s="319" t="e">
        <f>#REF!</f>
        <v>#REF!</v>
      </c>
      <c r="E26" s="330"/>
      <c r="F26" s="321"/>
      <c r="G26" s="258" t="e">
        <f>#REF!</f>
        <v>#REF!</v>
      </c>
      <c r="H26" s="128"/>
      <c r="I26" s="142"/>
    </row>
    <row r="27" spans="1:9" ht="15.65" customHeight="1">
      <c r="A27" s="599" t="s">
        <v>115</v>
      </c>
      <c r="B27" s="600"/>
      <c r="C27" s="600"/>
      <c r="D27" s="623">
        <f>'2AL'!D7</f>
        <v>0</v>
      </c>
      <c r="E27" s="623"/>
      <c r="F27" s="624"/>
      <c r="G27" s="135">
        <f>'2AL'!E26</f>
        <v>0</v>
      </c>
      <c r="H27" s="128"/>
      <c r="I27" s="142"/>
    </row>
    <row r="28" spans="1:9" ht="15.65" customHeight="1">
      <c r="A28" s="599" t="s">
        <v>51</v>
      </c>
      <c r="B28" s="600"/>
      <c r="C28" s="600"/>
      <c r="D28" s="306" t="e">
        <f>IF(Slopchest!#REF!=0,"",Slopchest!#REF!)</f>
        <v>#REF!</v>
      </c>
      <c r="E28" s="322" t="str">
        <f>IF(Slopchest!D7=0,"",Slopchest!$D$5)</f>
        <v/>
      </c>
      <c r="F28" s="323" t="str">
        <f>IF(Slopchest!D7=0,"",Slopchest!D7)</f>
        <v/>
      </c>
      <c r="G28" s="104" t="e">
        <f>Slopchest!#REF!</f>
        <v>#REF!</v>
      </c>
      <c r="H28" s="128"/>
      <c r="I28" s="142"/>
    </row>
    <row r="29" spans="1:9" ht="15.65" customHeight="1">
      <c r="A29" s="599" t="s">
        <v>19</v>
      </c>
      <c r="B29" s="600"/>
      <c r="C29" s="600"/>
      <c r="D29" s="615"/>
      <c r="E29" s="615"/>
      <c r="F29" s="616"/>
      <c r="G29" s="135" t="e">
        <f>#REF!</f>
        <v>#REF!</v>
      </c>
      <c r="H29" s="128"/>
      <c r="I29" s="142"/>
    </row>
    <row r="30" spans="1:9" ht="15.65" customHeight="1">
      <c r="A30" s="599" t="s">
        <v>116</v>
      </c>
      <c r="B30" s="600"/>
      <c r="C30" s="600"/>
      <c r="D30" s="319" t="e">
        <f>'1AD'!D7</f>
        <v>#REF!</v>
      </c>
      <c r="E30" s="320"/>
      <c r="F30" s="321"/>
      <c r="G30" s="135">
        <f>'1AD'!E26</f>
        <v>0</v>
      </c>
      <c r="H30" s="128"/>
      <c r="I30" s="142"/>
    </row>
    <row r="31" spans="1:9" ht="15.65" customHeight="1">
      <c r="A31" s="599" t="s">
        <v>117</v>
      </c>
      <c r="B31" s="600"/>
      <c r="C31" s="600"/>
      <c r="D31" s="319" t="e">
        <f>#REF!</f>
        <v>#REF!</v>
      </c>
      <c r="E31" s="320"/>
      <c r="F31" s="321"/>
      <c r="G31" s="135" t="e">
        <f>#REF!</f>
        <v>#REF!</v>
      </c>
      <c r="H31" s="128"/>
      <c r="I31" s="142"/>
    </row>
    <row r="32" spans="1:9" ht="15.65" customHeight="1">
      <c r="A32" s="599" t="s">
        <v>118</v>
      </c>
      <c r="B32" s="600"/>
      <c r="C32" s="600"/>
      <c r="D32" s="319" t="e">
        <f>'3AD'!D7</f>
        <v>#REF!</v>
      </c>
      <c r="E32" s="320"/>
      <c r="F32" s="321"/>
      <c r="G32" s="135">
        <f>'3AD'!E26</f>
        <v>0</v>
      </c>
      <c r="H32" s="128"/>
      <c r="I32" s="142"/>
    </row>
    <row r="33" spans="1:9" ht="15.65" customHeight="1">
      <c r="A33" s="599" t="s">
        <v>68</v>
      </c>
      <c r="B33" s="600"/>
      <c r="C33" s="600"/>
      <c r="D33" s="617"/>
      <c r="E33" s="617"/>
      <c r="F33" s="618"/>
      <c r="G33" s="136">
        <v>0</v>
      </c>
      <c r="H33" s="128"/>
      <c r="I33" s="142"/>
    </row>
    <row r="34" spans="1:9" ht="15.65" customHeight="1">
      <c r="A34" s="601" t="s">
        <v>55</v>
      </c>
      <c r="B34" s="602"/>
      <c r="C34" s="631" t="s">
        <v>93</v>
      </c>
      <c r="D34" s="631"/>
      <c r="E34" s="631"/>
      <c r="F34" s="632"/>
      <c r="G34" s="137" t="e">
        <f>IF(#REF!=30,#REF!,#REF!/30*#REF!)</f>
        <v>#REF!</v>
      </c>
      <c r="H34" s="128"/>
      <c r="I34" s="142"/>
    </row>
    <row r="35" spans="1:9" ht="15.65" customHeight="1">
      <c r="A35" s="129" t="s">
        <v>111</v>
      </c>
      <c r="B35" s="102"/>
      <c r="C35" s="102"/>
      <c r="D35" s="102"/>
      <c r="E35" s="102"/>
      <c r="F35" s="102"/>
      <c r="G35" s="259" t="e">
        <f>SUM(G25:G34)</f>
        <v>#REF!</v>
      </c>
      <c r="H35" s="128" t="e">
        <f>H22-G35</f>
        <v>#REF!</v>
      </c>
      <c r="I35" s="142"/>
    </row>
    <row r="36" spans="1:9" ht="8.15" customHeight="1" thickBot="1">
      <c r="A36" s="122"/>
      <c r="B36" s="102"/>
      <c r="C36" s="102"/>
      <c r="D36" s="102"/>
      <c r="E36" s="102"/>
      <c r="F36" s="102"/>
      <c r="G36" s="126"/>
      <c r="H36" s="128"/>
      <c r="I36" s="142"/>
    </row>
    <row r="37" spans="1:9" ht="15.65" customHeight="1" thickBot="1">
      <c r="A37" s="280" t="s">
        <v>112</v>
      </c>
      <c r="B37" s="102"/>
      <c r="C37" s="102"/>
      <c r="D37" s="102"/>
      <c r="E37" s="102"/>
      <c r="F37" s="281" t="e">
        <f>IF(H37&lt;0,"Debet","Credit")</f>
        <v>#REF!</v>
      </c>
      <c r="G37" s="296" t="s">
        <v>15</v>
      </c>
      <c r="H37" s="297" t="e">
        <f>IF(H35=0,"NIL",H35)</f>
        <v>#REF!</v>
      </c>
      <c r="I37" s="142"/>
    </row>
    <row r="38" spans="1:9" ht="12.4" customHeight="1">
      <c r="A38" s="122"/>
      <c r="B38" s="102"/>
      <c r="C38" s="102"/>
      <c r="D38" s="102"/>
      <c r="E38" s="102"/>
      <c r="F38" s="102"/>
      <c r="G38" s="102"/>
      <c r="H38" s="121"/>
      <c r="I38" s="142"/>
    </row>
    <row r="39" spans="1:9" ht="30.4" customHeight="1">
      <c r="A39" s="628" t="s">
        <v>74</v>
      </c>
      <c r="B39" s="629"/>
      <c r="C39" s="629"/>
      <c r="D39" s="629"/>
      <c r="E39" s="629"/>
      <c r="F39" s="629"/>
      <c r="G39" s="629"/>
      <c r="H39" s="630"/>
      <c r="I39" s="142"/>
    </row>
    <row r="40" spans="1:9" ht="30.4" customHeight="1">
      <c r="A40" s="324" t="s">
        <v>12</v>
      </c>
      <c r="B40" s="633"/>
      <c r="C40" s="633"/>
      <c r="D40" s="325"/>
      <c r="E40" s="326"/>
      <c r="F40" s="327" t="s">
        <v>13</v>
      </c>
      <c r="G40" s="620" t="e">
        <f>#REF!</f>
        <v>#REF!</v>
      </c>
      <c r="H40" s="621"/>
      <c r="I40" s="142"/>
    </row>
    <row r="41" spans="1:9" ht="13.15" customHeight="1">
      <c r="A41" s="130"/>
      <c r="B41" s="271"/>
      <c r="C41" s="271"/>
      <c r="D41" s="131"/>
      <c r="E41" s="132"/>
      <c r="F41" s="263"/>
      <c r="G41" s="263"/>
      <c r="H41" s="121"/>
      <c r="I41" s="142"/>
    </row>
    <row r="42" spans="1:9" ht="13.15" customHeight="1">
      <c r="A42" s="122"/>
      <c r="B42" s="117"/>
      <c r="C42" s="117"/>
      <c r="D42" s="116"/>
      <c r="E42" s="102"/>
      <c r="F42" s="133"/>
      <c r="G42" s="134"/>
      <c r="H42" s="121"/>
      <c r="I42" s="142"/>
    </row>
    <row r="43" spans="1:9" ht="13.15" customHeight="1">
      <c r="A43" s="264" t="s">
        <v>83</v>
      </c>
      <c r="B43" s="269"/>
      <c r="C43" s="269"/>
      <c r="D43" s="265"/>
      <c r="E43" s="619" t="s">
        <v>94</v>
      </c>
      <c r="F43" s="619"/>
      <c r="G43" s="269"/>
      <c r="H43" s="270"/>
      <c r="I43" s="142"/>
    </row>
    <row r="44" spans="1:9" ht="13.15" customHeight="1" thickBot="1">
      <c r="A44" s="266"/>
      <c r="B44" s="625" t="e">
        <f>#REF!</f>
        <v>#REF!</v>
      </c>
      <c r="C44" s="625"/>
      <c r="D44" s="267"/>
      <c r="E44" s="267"/>
      <c r="F44" s="268"/>
      <c r="G44" s="626" t="e">
        <f>B3</f>
        <v>#REF!</v>
      </c>
      <c r="H44" s="627"/>
      <c r="I44" s="142"/>
    </row>
    <row r="45" spans="1:9" ht="14" thickTop="1">
      <c r="A45" s="17"/>
      <c r="B45" s="17"/>
      <c r="C45" s="17"/>
      <c r="D45" s="17"/>
      <c r="E45" s="17"/>
      <c r="F45" s="17"/>
      <c r="G45" s="17"/>
      <c r="H45" s="17"/>
    </row>
    <row r="46" spans="1:9" ht="13.5">
      <c r="A46" s="17"/>
      <c r="B46" s="17"/>
      <c r="C46" s="17"/>
      <c r="D46" s="17"/>
      <c r="E46" s="17"/>
      <c r="F46" s="17"/>
      <c r="G46" s="17"/>
      <c r="H46" s="17"/>
    </row>
    <row r="47" spans="1:9" ht="13.5">
      <c r="A47" s="17"/>
      <c r="B47" s="17"/>
      <c r="C47" s="17"/>
      <c r="D47" s="17"/>
      <c r="E47" s="17"/>
      <c r="F47" s="17"/>
      <c r="G47" s="17"/>
      <c r="H47" s="17"/>
    </row>
  </sheetData>
  <mergeCells count="36">
    <mergeCell ref="B44:C44"/>
    <mergeCell ref="G44:H44"/>
    <mergeCell ref="A9:B9"/>
    <mergeCell ref="A27:C27"/>
    <mergeCell ref="A28:C28"/>
    <mergeCell ref="A29:C29"/>
    <mergeCell ref="A30:C30"/>
    <mergeCell ref="A31:C31"/>
    <mergeCell ref="A32:C32"/>
    <mergeCell ref="A33:C33"/>
    <mergeCell ref="A34:B34"/>
    <mergeCell ref="A39:H39"/>
    <mergeCell ref="A16:B16"/>
    <mergeCell ref="A17:B17"/>
    <mergeCell ref="C34:F34"/>
    <mergeCell ref="B40:C40"/>
    <mergeCell ref="D29:F29"/>
    <mergeCell ref="D33:F33"/>
    <mergeCell ref="E43:F43"/>
    <mergeCell ref="G40:H40"/>
    <mergeCell ref="D14:G14"/>
    <mergeCell ref="D27:F27"/>
    <mergeCell ref="A1:H1"/>
    <mergeCell ref="A5:C5"/>
    <mergeCell ref="A6:C6"/>
    <mergeCell ref="A7:C7"/>
    <mergeCell ref="A11:B11"/>
    <mergeCell ref="A18:B18"/>
    <mergeCell ref="A19:B19"/>
    <mergeCell ref="A20:D20"/>
    <mergeCell ref="A26:B26"/>
    <mergeCell ref="A12:B12"/>
    <mergeCell ref="A13:B13"/>
    <mergeCell ref="A14:B14"/>
    <mergeCell ref="A15:B15"/>
    <mergeCell ref="D15:G15"/>
  </mergeCells>
  <printOptions horizontalCentered="1" verticalCentered="1"/>
  <pageMargins left="0.78740157480314965" right="0" top="0" bottom="0" header="0" footer="0"/>
  <pageSetup paperSize="9" orientation="portrait" blackAndWhite="1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transitionEvaluation="1" codeName="Sheet29">
    <pageSetUpPr autoPageBreaks="0"/>
  </sheetPr>
  <dimension ref="A1:I51"/>
  <sheetViews>
    <sheetView showGridLines="0" showRowColHeaders="0" showZeros="0" showOutlineSymbols="0" defaultGridColor="0" colorId="8" zoomScale="75" zoomScaleNormal="120" zoomScaleSheetLayoutView="120" workbookViewId="0">
      <selection activeCell="AA41" sqref="AA41"/>
    </sheetView>
  </sheetViews>
  <sheetFormatPr defaultColWidth="9.7265625" defaultRowHeight="12.5"/>
  <cols>
    <col min="1" max="1" width="9.7265625" customWidth="1"/>
    <col min="2" max="2" width="12.7265625" customWidth="1"/>
    <col min="3" max="3" width="8.7265625" customWidth="1"/>
    <col min="4" max="4" width="11.26953125" customWidth="1"/>
    <col min="5" max="6" width="8.7265625" customWidth="1"/>
    <col min="7" max="8" width="15.7265625" customWidth="1"/>
    <col min="9" max="13" width="1.7265625" customWidth="1"/>
  </cols>
  <sheetData>
    <row r="1" spans="1:9" ht="14.25" customHeight="1">
      <c r="A1" s="644" t="e">
        <f>#REF!</f>
        <v>#REF!</v>
      </c>
      <c r="B1" s="644"/>
      <c r="C1" s="644"/>
      <c r="D1" s="644"/>
      <c r="E1" s="644"/>
      <c r="F1" s="644"/>
      <c r="G1" s="644"/>
      <c r="H1" s="23" t="s">
        <v>72</v>
      </c>
      <c r="I1" s="2"/>
    </row>
    <row r="2" spans="1:9" ht="14.25" customHeight="1">
      <c r="A2" s="24"/>
      <c r="B2" s="24"/>
      <c r="C2" s="24"/>
      <c r="D2" s="24"/>
      <c r="E2" s="24"/>
      <c r="F2" s="24"/>
      <c r="G2" s="24"/>
      <c r="H2" s="25"/>
      <c r="I2" s="2"/>
    </row>
    <row r="3" spans="1:9" ht="18" customHeight="1">
      <c r="A3" s="26" t="e">
        <f>#REF!</f>
        <v>#REF!</v>
      </c>
      <c r="B3" s="27"/>
      <c r="C3" s="27"/>
      <c r="D3" s="27"/>
      <c r="E3" s="27"/>
      <c r="F3" s="27"/>
      <c r="G3" s="27"/>
      <c r="H3" s="28"/>
      <c r="I3" s="2"/>
    </row>
    <row r="4" spans="1:9" ht="18" customHeight="1">
      <c r="A4" s="29"/>
      <c r="B4" s="30"/>
      <c r="C4" s="645" t="s">
        <v>4</v>
      </c>
      <c r="D4" s="645"/>
      <c r="E4" s="645"/>
      <c r="F4" s="645"/>
      <c r="G4" s="30"/>
      <c r="H4" s="31"/>
      <c r="I4" s="2"/>
    </row>
    <row r="5" spans="1:9" ht="14.25" customHeight="1">
      <c r="A5" s="29"/>
      <c r="B5" s="30"/>
      <c r="C5" s="30"/>
      <c r="D5" s="29"/>
      <c r="E5" s="30"/>
      <c r="F5" s="30"/>
      <c r="G5" s="30"/>
      <c r="H5" s="32" t="s">
        <v>71</v>
      </c>
      <c r="I5" s="2"/>
    </row>
    <row r="6" spans="1:9" ht="15" customHeight="1">
      <c r="A6" s="33" t="s">
        <v>56</v>
      </c>
      <c r="B6" s="34" t="e">
        <f>#REF!</f>
        <v>#REF!</v>
      </c>
      <c r="C6" s="35"/>
      <c r="D6" s="35"/>
      <c r="E6" s="35"/>
      <c r="F6" s="35"/>
      <c r="G6" s="36"/>
      <c r="H6" s="36"/>
      <c r="I6" s="2"/>
    </row>
    <row r="7" spans="1:9" ht="15" customHeight="1">
      <c r="A7" s="33" t="s">
        <v>57</v>
      </c>
      <c r="B7" s="34" t="e">
        <f>#REF!</f>
        <v>#REF!</v>
      </c>
      <c r="C7" s="35"/>
      <c r="D7" s="35"/>
      <c r="E7" s="35"/>
      <c r="F7" s="35"/>
      <c r="G7" s="35"/>
      <c r="H7" s="36"/>
      <c r="I7" s="2"/>
    </row>
    <row r="8" spans="1:9" ht="15" customHeight="1">
      <c r="A8" s="33" t="s">
        <v>58</v>
      </c>
      <c r="B8" s="37"/>
      <c r="C8" s="83"/>
      <c r="D8" s="9"/>
      <c r="E8" s="36"/>
      <c r="F8" s="36"/>
      <c r="G8" s="36"/>
      <c r="H8" s="35"/>
      <c r="I8" s="2"/>
    </row>
    <row r="9" spans="1:9" ht="15" customHeight="1">
      <c r="A9" s="33" t="s">
        <v>59</v>
      </c>
      <c r="B9" s="39"/>
      <c r="C9" s="83"/>
      <c r="D9" s="9"/>
      <c r="E9" s="36"/>
      <c r="F9" s="36"/>
      <c r="G9" s="36"/>
      <c r="H9" s="35"/>
      <c r="I9" s="2"/>
    </row>
    <row r="10" spans="1:9" ht="15" customHeight="1">
      <c r="A10" s="33" t="s">
        <v>60</v>
      </c>
      <c r="B10" s="40"/>
      <c r="C10" s="84"/>
      <c r="D10" s="15"/>
      <c r="E10" s="36"/>
      <c r="F10" s="36"/>
      <c r="G10" s="35"/>
      <c r="H10" s="35"/>
      <c r="I10" s="2"/>
    </row>
    <row r="11" spans="1:9" ht="15" customHeight="1">
      <c r="A11" s="33" t="s">
        <v>61</v>
      </c>
      <c r="B11" s="6"/>
      <c r="C11" s="33" t="s">
        <v>63</v>
      </c>
      <c r="D11" s="6" t="s">
        <v>1</v>
      </c>
      <c r="E11" s="67"/>
      <c r="F11" s="37"/>
      <c r="G11" s="37"/>
      <c r="H11" s="37"/>
      <c r="I11" s="2"/>
    </row>
    <row r="12" spans="1:9" ht="15" customHeight="1">
      <c r="A12" s="33" t="s">
        <v>62</v>
      </c>
      <c r="B12" s="34"/>
      <c r="C12" s="6"/>
      <c r="D12" s="34"/>
      <c r="E12" s="34"/>
      <c r="F12" s="35"/>
      <c r="G12" s="35"/>
      <c r="H12" s="37"/>
      <c r="I12" s="2"/>
    </row>
    <row r="13" spans="1:9" ht="15.4" customHeight="1">
      <c r="A13" s="37"/>
      <c r="B13" s="37"/>
      <c r="C13" s="41"/>
      <c r="D13" s="37"/>
      <c r="E13" s="37"/>
      <c r="F13" s="37"/>
      <c r="G13" s="37"/>
      <c r="H13" s="38" t="s">
        <v>15</v>
      </c>
      <c r="I13" s="2"/>
    </row>
    <row r="14" spans="1:9" ht="15.4" customHeight="1">
      <c r="A14" s="42" t="s">
        <v>39</v>
      </c>
      <c r="B14" s="43"/>
      <c r="C14" s="44" t="s">
        <v>16</v>
      </c>
      <c r="D14" s="18"/>
      <c r="E14" s="13">
        <f>B11</f>
        <v>0</v>
      </c>
      <c r="F14" s="49" t="s">
        <v>65</v>
      </c>
      <c r="G14" s="12" t="str">
        <f>D11</f>
        <v xml:space="preserve"> </v>
      </c>
      <c r="H14" s="97">
        <f>CEILING(D14*E14+D14*G14/30,0.01)</f>
        <v>0</v>
      </c>
      <c r="I14" s="2"/>
    </row>
    <row r="15" spans="1:9" ht="15.4" customHeight="1">
      <c r="A15" s="45" t="s">
        <v>40</v>
      </c>
      <c r="B15" s="46"/>
      <c r="C15" s="47" t="s">
        <v>16</v>
      </c>
      <c r="D15" s="19"/>
      <c r="E15" s="10">
        <f>B11</f>
        <v>0</v>
      </c>
      <c r="F15" s="46" t="s">
        <v>65</v>
      </c>
      <c r="G15" s="11" t="str">
        <f>D11</f>
        <v xml:space="preserve"> </v>
      </c>
      <c r="H15" s="94">
        <f>CEILING(D15*E15+D15*G15/30,0.01)</f>
        <v>0</v>
      </c>
      <c r="I15" s="2"/>
    </row>
    <row r="16" spans="1:9" ht="15.4" customHeight="1">
      <c r="A16" s="45" t="s">
        <v>18</v>
      </c>
      <c r="B16" s="46"/>
      <c r="C16" s="48" t="s">
        <v>5</v>
      </c>
      <c r="D16" s="7"/>
      <c r="E16" s="50" t="s">
        <v>64</v>
      </c>
      <c r="F16" s="22"/>
      <c r="G16" s="46"/>
      <c r="H16" s="94">
        <f>CEILING(D16*F16,0.01)</f>
        <v>0</v>
      </c>
      <c r="I16" s="2"/>
    </row>
    <row r="17" spans="1:9" ht="15.4" customHeight="1">
      <c r="A17" s="45" t="s">
        <v>41</v>
      </c>
      <c r="B17" s="640"/>
      <c r="C17" s="640"/>
      <c r="D17" s="640"/>
      <c r="E17" s="640"/>
      <c r="F17" s="640"/>
      <c r="G17" s="641"/>
      <c r="H17" s="95"/>
      <c r="I17" s="2"/>
    </row>
    <row r="18" spans="1:9" ht="15.4" customHeight="1">
      <c r="A18" s="45" t="s">
        <v>42</v>
      </c>
      <c r="B18" s="640"/>
      <c r="C18" s="640"/>
      <c r="D18" s="640"/>
      <c r="E18" s="640"/>
      <c r="F18" s="640"/>
      <c r="G18" s="641"/>
      <c r="H18" s="95"/>
      <c r="I18" s="2"/>
    </row>
    <row r="19" spans="1:9" ht="15.4" customHeight="1">
      <c r="A19" s="45" t="s">
        <v>43</v>
      </c>
      <c r="B19" s="46"/>
      <c r="C19" s="53" t="s">
        <v>16</v>
      </c>
      <c r="D19" s="19"/>
      <c r="E19" s="10">
        <f>B11</f>
        <v>0</v>
      </c>
      <c r="F19" s="52" t="s">
        <v>65</v>
      </c>
      <c r="G19" s="11" t="str">
        <f>D11</f>
        <v xml:space="preserve"> </v>
      </c>
      <c r="H19" s="94">
        <f>CEILING(D19*E19+D19*G19/30,0.01)</f>
        <v>0</v>
      </c>
      <c r="I19" s="2"/>
    </row>
    <row r="20" spans="1:9" ht="15.4" customHeight="1">
      <c r="A20" s="45" t="s">
        <v>44</v>
      </c>
      <c r="B20" s="46"/>
      <c r="C20" s="640"/>
      <c r="D20" s="640"/>
      <c r="E20" s="640"/>
      <c r="F20" s="640"/>
      <c r="G20" s="641"/>
      <c r="H20" s="95"/>
      <c r="I20" s="2"/>
    </row>
    <row r="21" spans="1:9" ht="15.4" customHeight="1">
      <c r="A21" s="45" t="s">
        <v>45</v>
      </c>
      <c r="B21" s="54"/>
      <c r="C21" s="48" t="s">
        <v>16</v>
      </c>
      <c r="D21" s="56"/>
      <c r="E21" s="57">
        <f>B11</f>
        <v>0</v>
      </c>
      <c r="F21" s="46" t="s">
        <v>65</v>
      </c>
      <c r="G21" s="58" t="str">
        <f>D11</f>
        <v xml:space="preserve"> </v>
      </c>
      <c r="H21" s="99">
        <f>D21*E21+D21*G21/30</f>
        <v>0</v>
      </c>
      <c r="I21" s="2"/>
    </row>
    <row r="22" spans="1:9" ht="15.4" customHeight="1">
      <c r="A22" s="51" t="s">
        <v>46</v>
      </c>
      <c r="B22" s="55"/>
      <c r="C22" s="642"/>
      <c r="D22" s="642"/>
      <c r="E22" s="642"/>
      <c r="F22" s="642"/>
      <c r="G22" s="643"/>
      <c r="H22" s="98"/>
      <c r="I22" s="2"/>
    </row>
    <row r="23" spans="1:9" ht="15.4" customHeight="1">
      <c r="A23" s="59" t="s">
        <v>6</v>
      </c>
      <c r="B23" s="60"/>
      <c r="C23" s="60"/>
      <c r="D23" s="61"/>
      <c r="E23" s="61"/>
      <c r="F23" s="61"/>
      <c r="G23" s="85"/>
      <c r="H23" s="20">
        <f>SUM(H14:H22)</f>
        <v>0</v>
      </c>
      <c r="I23" s="2"/>
    </row>
    <row r="24" spans="1:9" ht="15.4" customHeight="1">
      <c r="A24" s="62" t="s">
        <v>7</v>
      </c>
      <c r="B24" s="63"/>
      <c r="C24" s="63"/>
      <c r="D24" s="63"/>
      <c r="E24" s="63"/>
      <c r="F24" s="64" t="str">
        <f>IF(H24&lt;0,"DEBIT","CREDIT")</f>
        <v>CREDIT</v>
      </c>
      <c r="G24" s="86"/>
      <c r="H24" s="101"/>
      <c r="I24" s="2"/>
    </row>
    <row r="25" spans="1:9" ht="15.4" customHeight="1">
      <c r="A25" s="65" t="s">
        <v>8</v>
      </c>
      <c r="B25" s="37"/>
      <c r="C25" s="37"/>
      <c r="D25" s="37"/>
      <c r="E25" s="37"/>
      <c r="F25" s="37"/>
      <c r="G25" s="66"/>
      <c r="H25" s="21">
        <f>H23+H24</f>
        <v>0</v>
      </c>
      <c r="I25" s="2"/>
    </row>
    <row r="26" spans="1:9" ht="8.15" customHeight="1">
      <c r="A26" s="67"/>
      <c r="B26" s="37"/>
      <c r="C26" s="37"/>
      <c r="D26" s="37"/>
      <c r="E26" s="37"/>
      <c r="F26" s="37"/>
      <c r="G26" s="68"/>
      <c r="H26" s="66"/>
      <c r="I26" s="2"/>
    </row>
    <row r="27" spans="1:9" ht="15.4" customHeight="1">
      <c r="A27" s="65" t="s">
        <v>9</v>
      </c>
      <c r="B27" s="37"/>
      <c r="C27" s="37"/>
      <c r="D27" s="37"/>
      <c r="E27" s="37"/>
      <c r="F27" s="37"/>
      <c r="G27" s="69" t="s">
        <v>15</v>
      </c>
      <c r="H27" s="66"/>
      <c r="I27" s="2"/>
    </row>
    <row r="28" spans="1:9" ht="15.4" customHeight="1">
      <c r="A28" s="42" t="s">
        <v>47</v>
      </c>
      <c r="B28" s="70" t="s">
        <v>16</v>
      </c>
      <c r="C28" s="71"/>
      <c r="D28" s="72">
        <f>B11</f>
        <v>0</v>
      </c>
      <c r="E28" s="73" t="s">
        <v>66</v>
      </c>
      <c r="F28" s="74" t="str">
        <f>D11</f>
        <v xml:space="preserve"> </v>
      </c>
      <c r="G28" s="100">
        <f>C28*D28+C28*F28/30</f>
        <v>0</v>
      </c>
      <c r="H28" s="66"/>
      <c r="I28" s="2"/>
    </row>
    <row r="29" spans="1:9" ht="15.4" customHeight="1">
      <c r="A29" s="45" t="s">
        <v>49</v>
      </c>
      <c r="B29" s="46"/>
      <c r="C29" s="88"/>
      <c r="D29" s="634" t="e">
        <f>#REF!</f>
        <v>#REF!</v>
      </c>
      <c r="E29" s="634"/>
      <c r="F29" s="635"/>
      <c r="G29" s="94" t="e">
        <f>#REF!</f>
        <v>#REF!</v>
      </c>
      <c r="H29" s="66"/>
      <c r="I29" s="2"/>
    </row>
    <row r="30" spans="1:9" ht="15.4" customHeight="1">
      <c r="A30" s="45" t="s">
        <v>48</v>
      </c>
      <c r="B30" s="46"/>
      <c r="C30" s="88"/>
      <c r="D30" s="634">
        <f>'2AL'!D26</f>
        <v>0</v>
      </c>
      <c r="E30" s="634"/>
      <c r="F30" s="635"/>
      <c r="G30" s="94">
        <f>'2AL'!E26</f>
        <v>0</v>
      </c>
      <c r="H30" s="66"/>
      <c r="I30" s="2"/>
    </row>
    <row r="31" spans="1:9" ht="15.4" customHeight="1">
      <c r="A31" s="45" t="s">
        <v>50</v>
      </c>
      <c r="B31" s="46"/>
      <c r="C31" s="88"/>
      <c r="D31" s="634" t="e">
        <f>#REF!</f>
        <v>#REF!</v>
      </c>
      <c r="E31" s="634"/>
      <c r="F31" s="635"/>
      <c r="G31" s="94" t="e">
        <f>#REF!</f>
        <v>#REF!</v>
      </c>
      <c r="H31" s="66"/>
      <c r="I31" s="2"/>
    </row>
    <row r="32" spans="1:9" ht="15.4" customHeight="1">
      <c r="A32" s="45" t="s">
        <v>51</v>
      </c>
      <c r="B32" s="46"/>
      <c r="C32" s="636" t="e">
        <f>#REF!</f>
        <v>#REF!</v>
      </c>
      <c r="D32" s="636"/>
      <c r="E32" s="636"/>
      <c r="F32" s="637"/>
      <c r="G32" s="94" t="e">
        <f>#REF!</f>
        <v>#REF!</v>
      </c>
      <c r="H32" s="66"/>
      <c r="I32" s="2"/>
    </row>
    <row r="33" spans="1:9" ht="15.4" customHeight="1">
      <c r="A33" s="45" t="s">
        <v>19</v>
      </c>
      <c r="B33" s="46"/>
      <c r="C33" s="88"/>
      <c r="D33" s="636" t="e">
        <f>#REF!</f>
        <v>#REF!</v>
      </c>
      <c r="E33" s="636"/>
      <c r="F33" s="637"/>
      <c r="G33" s="94" t="e">
        <f>#REF!</f>
        <v>#REF!</v>
      </c>
      <c r="H33" s="66"/>
      <c r="I33" s="2"/>
    </row>
    <row r="34" spans="1:9" ht="15.4" customHeight="1">
      <c r="A34" s="45" t="s">
        <v>52</v>
      </c>
      <c r="B34" s="46"/>
      <c r="C34" s="88"/>
      <c r="D34" s="634">
        <f>'1AD'!D26</f>
        <v>0</v>
      </c>
      <c r="E34" s="634"/>
      <c r="F34" s="635"/>
      <c r="G34" s="94">
        <f>'1AD'!E26</f>
        <v>0</v>
      </c>
      <c r="H34" s="66"/>
      <c r="I34" s="2"/>
    </row>
    <row r="35" spans="1:9" ht="15.4" customHeight="1">
      <c r="A35" s="45" t="s">
        <v>53</v>
      </c>
      <c r="B35" s="46"/>
      <c r="C35" s="88"/>
      <c r="D35" s="634" t="e">
        <f>#REF!</f>
        <v>#REF!</v>
      </c>
      <c r="E35" s="634"/>
      <c r="F35" s="635"/>
      <c r="G35" s="94" t="e">
        <f>#REF!</f>
        <v>#REF!</v>
      </c>
      <c r="H35" s="66"/>
      <c r="I35" s="2"/>
    </row>
    <row r="36" spans="1:9" ht="15.4" customHeight="1">
      <c r="A36" s="45" t="s">
        <v>54</v>
      </c>
      <c r="B36" s="46"/>
      <c r="C36" s="88"/>
      <c r="D36" s="634">
        <f>'3AD'!D26</f>
        <v>0</v>
      </c>
      <c r="E36" s="634"/>
      <c r="F36" s="635"/>
      <c r="G36" s="94">
        <f>'3AD'!E26</f>
        <v>0</v>
      </c>
      <c r="H36" s="66"/>
      <c r="I36" s="2"/>
    </row>
    <row r="37" spans="1:9" ht="15.4" customHeight="1">
      <c r="A37" s="45" t="s">
        <v>68</v>
      </c>
      <c r="B37" s="46"/>
      <c r="C37" s="88"/>
      <c r="D37" s="640"/>
      <c r="E37" s="640"/>
      <c r="F37" s="641"/>
      <c r="G37" s="95"/>
      <c r="H37" s="66"/>
      <c r="I37" s="2"/>
    </row>
    <row r="38" spans="1:9" ht="15.4" customHeight="1">
      <c r="A38" s="75" t="s">
        <v>55</v>
      </c>
      <c r="B38" s="76"/>
      <c r="C38" s="642"/>
      <c r="D38" s="642"/>
      <c r="E38" s="642"/>
      <c r="F38" s="643"/>
      <c r="G38" s="96"/>
      <c r="H38" s="66"/>
      <c r="I38" s="2"/>
    </row>
    <row r="39" spans="1:9" ht="15.4" customHeight="1">
      <c r="A39" s="89" t="s">
        <v>10</v>
      </c>
      <c r="B39" s="90"/>
      <c r="C39" s="90"/>
      <c r="D39" s="90"/>
      <c r="E39" s="90"/>
      <c r="F39" s="91"/>
      <c r="G39" s="16" t="e">
        <f>SUM(G28:G38)</f>
        <v>#REF!</v>
      </c>
      <c r="H39" s="87"/>
      <c r="I39" s="2"/>
    </row>
    <row r="40" spans="1:9" ht="8.15" customHeight="1" thickBot="1">
      <c r="A40" s="37"/>
      <c r="B40" s="37"/>
      <c r="C40" s="37"/>
      <c r="D40" s="37"/>
      <c r="E40" s="37"/>
      <c r="F40" s="37"/>
      <c r="G40" s="87"/>
      <c r="H40" s="87"/>
      <c r="I40" s="2"/>
    </row>
    <row r="41" spans="1:9" ht="15.4" customHeight="1" thickBot="1">
      <c r="A41" s="77" t="s">
        <v>11</v>
      </c>
      <c r="B41" s="37"/>
      <c r="C41" s="37"/>
      <c r="D41" s="37"/>
      <c r="E41" s="37"/>
      <c r="F41" s="92" t="e">
        <f>IF(H41&lt;0,"DEBIT","CREDIT")</f>
        <v>#REF!</v>
      </c>
      <c r="G41" s="93" t="s">
        <v>15</v>
      </c>
      <c r="H41" s="14" t="e">
        <f>H25-G39</f>
        <v>#REF!</v>
      </c>
      <c r="I41" s="2"/>
    </row>
    <row r="42" spans="1:9" ht="15.4" customHeight="1">
      <c r="A42" s="37"/>
      <c r="B42" s="37"/>
      <c r="C42" s="37"/>
      <c r="D42" s="37"/>
      <c r="E42" s="37"/>
      <c r="F42" s="37"/>
      <c r="G42" s="37"/>
      <c r="H42" s="37"/>
      <c r="I42" s="2"/>
    </row>
    <row r="43" spans="1:9" ht="30.4" customHeight="1">
      <c r="A43" s="78" t="s">
        <v>69</v>
      </c>
      <c r="B43" s="78"/>
      <c r="C43" s="78"/>
      <c r="D43" s="78"/>
      <c r="E43" s="78"/>
      <c r="F43" s="78"/>
      <c r="G43" s="78"/>
      <c r="H43" s="78"/>
      <c r="I43" s="2"/>
    </row>
    <row r="44" spans="1:9" ht="30.4" customHeight="1">
      <c r="A44" s="82" t="s">
        <v>12</v>
      </c>
      <c r="B44" s="638"/>
      <c r="C44" s="638"/>
      <c r="D44" s="81"/>
      <c r="E44" s="82" t="s">
        <v>13</v>
      </c>
      <c r="F44" s="639"/>
      <c r="G44" s="639"/>
      <c r="H44" s="37"/>
      <c r="I44" s="2"/>
    </row>
    <row r="45" spans="1:9" ht="13.15" customHeight="1">
      <c r="A45" s="37"/>
      <c r="B45" s="35"/>
      <c r="C45" s="35"/>
      <c r="D45" s="35"/>
      <c r="E45" s="37"/>
      <c r="F45" s="35"/>
      <c r="G45" s="37"/>
      <c r="H45" s="37"/>
      <c r="I45" s="2"/>
    </row>
    <row r="46" spans="1:9" ht="13.15" customHeight="1">
      <c r="A46" s="37"/>
      <c r="B46" s="35"/>
      <c r="C46" s="35"/>
      <c r="D46" s="35"/>
      <c r="E46" s="37"/>
      <c r="F46" s="35"/>
      <c r="G46" s="37"/>
      <c r="H46" s="37"/>
      <c r="I46" s="2"/>
    </row>
    <row r="47" spans="1:9" ht="13.15" customHeight="1">
      <c r="A47" s="35" t="s">
        <v>0</v>
      </c>
      <c r="B47" s="37"/>
      <c r="C47" s="37"/>
      <c r="D47" s="37"/>
      <c r="E47" s="37"/>
      <c r="F47" s="35" t="s">
        <v>14</v>
      </c>
      <c r="G47" s="37"/>
      <c r="H47" s="37"/>
      <c r="I47" s="2"/>
    </row>
    <row r="48" spans="1:9" ht="13.15" customHeight="1">
      <c r="A48" s="35"/>
      <c r="B48" s="37"/>
      <c r="C48" s="37"/>
      <c r="D48" s="37"/>
      <c r="E48" s="37"/>
      <c r="F48" s="35"/>
      <c r="G48" s="37"/>
      <c r="H48" s="37"/>
      <c r="I48" s="2"/>
    </row>
    <row r="49" spans="1:9" ht="13.15" customHeight="1">
      <c r="A49" s="37"/>
      <c r="B49" s="34" t="e">
        <f>#REF!</f>
        <v>#REF!</v>
      </c>
      <c r="C49" s="37"/>
      <c r="D49" s="37"/>
      <c r="E49" s="37"/>
      <c r="F49" s="79"/>
      <c r="G49" s="80" t="e">
        <f>B6</f>
        <v>#REF!</v>
      </c>
      <c r="H49" s="37"/>
      <c r="I49" s="2"/>
    </row>
    <row r="50" spans="1:9" ht="13.5">
      <c r="A50" s="17"/>
      <c r="B50" s="17"/>
      <c r="C50" s="17"/>
      <c r="D50" s="17"/>
      <c r="E50" s="17"/>
      <c r="F50" s="17"/>
      <c r="G50" s="17"/>
      <c r="H50" s="17"/>
    </row>
    <row r="51" spans="1:9" ht="13.5">
      <c r="A51" s="17"/>
      <c r="B51" s="17"/>
      <c r="C51" s="17"/>
      <c r="D51" s="17"/>
      <c r="E51" s="17"/>
      <c r="F51" s="17"/>
      <c r="G51" s="17"/>
      <c r="H51" s="17"/>
    </row>
  </sheetData>
  <mergeCells count="18">
    <mergeCell ref="D29:F29"/>
    <mergeCell ref="D30:F30"/>
    <mergeCell ref="A1:G1"/>
    <mergeCell ref="B17:G17"/>
    <mergeCell ref="B18:G18"/>
    <mergeCell ref="C20:G20"/>
    <mergeCell ref="C4:F4"/>
    <mergeCell ref="C22:G22"/>
    <mergeCell ref="D31:F31"/>
    <mergeCell ref="C32:F32"/>
    <mergeCell ref="D35:F35"/>
    <mergeCell ref="B44:C44"/>
    <mergeCell ref="F44:G44"/>
    <mergeCell ref="D36:F36"/>
    <mergeCell ref="D37:F37"/>
    <mergeCell ref="C38:F38"/>
    <mergeCell ref="D33:F33"/>
    <mergeCell ref="D34:F34"/>
  </mergeCells>
  <phoneticPr fontId="0" type="noConversion"/>
  <pageMargins left="0.98425196850393704" right="0.19685039370078741" top="0.39370078740157483" bottom="0" header="0" footer="0"/>
  <pageSetup paperSize="9" orientation="portrait" blackAndWhite="1" horizontalDpi="4294967295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2AL</vt:lpstr>
      <vt:lpstr>1AD</vt:lpstr>
      <vt:lpstr>3AD</vt:lpstr>
      <vt:lpstr>Bond</vt:lpstr>
      <vt:lpstr>Slopchest</vt:lpstr>
      <vt:lpstr>19</vt:lpstr>
      <vt:lpstr>20</vt:lpstr>
      <vt:lpstr>21</vt:lpstr>
      <vt:lpstr>Foglio2</vt:lpstr>
      <vt:lpstr>Foglio3</vt:lpstr>
      <vt:lpstr>Foglio4</vt:lpstr>
      <vt:lpstr>'19'!Print_Area</vt:lpstr>
      <vt:lpstr>'1AD'!Print_Area</vt:lpstr>
      <vt:lpstr>'20'!Print_Area</vt:lpstr>
      <vt:lpstr>'21'!Print_Area</vt:lpstr>
      <vt:lpstr>'2AL'!Print_Area</vt:lpstr>
      <vt:lpstr>'3AD'!Print_Area</vt:lpstr>
      <vt:lpstr>Bond!Print_Area</vt:lpstr>
      <vt:lpstr>Slopchest!Print_Area</vt:lpstr>
    </vt:vector>
  </TitlesOfParts>
  <Company>Xenoscom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eMGA</dc:title>
  <dc:creator>Xenos Panagiotis</dc:creator>
  <cp:lastModifiedBy>Kirthivasan</cp:lastModifiedBy>
  <cp:lastPrinted>2025-12-23T02:19:08Z</cp:lastPrinted>
  <dcterms:created xsi:type="dcterms:W3CDTF">1998-02-09T07:12:06Z</dcterms:created>
  <dcterms:modified xsi:type="dcterms:W3CDTF">2026-02-08T12:27:56Z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7177d19a-4286-469c-ab0c-e94d8adf6037</vt:lpwstr>
  </property>
</Properties>
</file>