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rthivasan\Downloads\Development\Bond\"/>
    </mc:Choice>
  </mc:AlternateContent>
  <xr:revisionPtr revIDLastSave="0" documentId="13_ncr:1_{E4292375-3DA8-4CA3-8AE2-310233E87B10}" xr6:coauthVersionLast="47" xr6:coauthVersionMax="47" xr10:uidLastSave="{00000000-0000-0000-0000-000000000000}"/>
  <bookViews>
    <workbookView xWindow="-110" yWindow="-110" windowWidth="25820" windowHeight="15500" tabRatio="891" firstSheet="3" activeTab="3" xr2:uid="{00000000-000D-0000-FFFF-FFFF00000000}"/>
  </bookViews>
  <sheets>
    <sheet name="2AL" sheetId="3" state="hidden" r:id="rId1"/>
    <sheet name="1AD" sheetId="5" state="hidden" r:id="rId2"/>
    <sheet name="3AD" sheetId="7" state="hidden" r:id="rId3"/>
    <sheet name="Bond" sheetId="92" r:id="rId4"/>
    <sheet name="19" sheetId="88" state="hidden" r:id="rId5"/>
    <sheet name="20" sheetId="90" state="hidden" r:id="rId6"/>
    <sheet name="21" sheetId="33" state="hidden" r:id="rId7"/>
    <sheet name="Foglio2" sheetId="82" state="hidden" r:id="rId8"/>
    <sheet name="Foglio3" sheetId="83" state="hidden" r:id="rId9"/>
    <sheet name="Foglio4" sheetId="84" state="hidden" r:id="rId10"/>
  </sheets>
  <definedNames>
    <definedName name="_xlnm.Print_Area" localSheetId="4">'19'!$A$1:$H$44</definedName>
    <definedName name="_xlnm.Print_Area" localSheetId="1">'1AD'!$A$1:$G$38</definedName>
    <definedName name="_xlnm.Print_Area" localSheetId="5">'20'!$A$1:$H$44</definedName>
    <definedName name="_xlnm.Print_Area" localSheetId="6">'21'!$A$1:$H$49</definedName>
    <definedName name="_xlnm.Print_Area" localSheetId="0">'2AL'!$A$1:$F$35</definedName>
    <definedName name="_xlnm.Print_Area" localSheetId="2">'3AD'!$A$1:$G$35</definedName>
    <definedName name="_xlnm.Print_Area" localSheetId="3">Bond!$A$1:$I$37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92" l="1"/>
  <c r="I12" i="92"/>
  <c r="I11" i="92"/>
  <c r="I10" i="92"/>
  <c r="I9" i="92"/>
  <c r="I7" i="92" l="1"/>
  <c r="I8" i="92"/>
  <c r="I14" i="92"/>
  <c r="I6" i="92"/>
  <c r="I15" i="92" l="1"/>
  <c r="C16" i="5"/>
  <c r="C19" i="5"/>
  <c r="B17" i="3"/>
  <c r="B16" i="5"/>
  <c r="G17" i="88"/>
  <c r="G17" i="90"/>
  <c r="F28" i="90"/>
  <c r="E28" i="90"/>
  <c r="D28" i="90"/>
  <c r="D27" i="90"/>
  <c r="F28" i="88"/>
  <c r="E28" i="88"/>
  <c r="D28" i="88"/>
  <c r="D27" i="88"/>
  <c r="D19" i="90"/>
  <c r="D18" i="90"/>
  <c r="D17" i="90"/>
  <c r="D16" i="90"/>
  <c r="D12" i="90"/>
  <c r="D11" i="90"/>
  <c r="D19" i="88"/>
  <c r="D18" i="88"/>
  <c r="D17" i="88"/>
  <c r="D16" i="88"/>
  <c r="D12" i="88"/>
  <c r="D11" i="88"/>
  <c r="G40" i="90"/>
  <c r="G40" i="88"/>
  <c r="F21" i="90"/>
  <c r="D14" i="90"/>
  <c r="F21" i="88"/>
  <c r="D14" i="88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7" i="5"/>
  <c r="D30" i="88" s="1"/>
  <c r="B6" i="33"/>
  <c r="G49" i="33" s="1"/>
  <c r="H14" i="88"/>
  <c r="H14" i="90"/>
  <c r="G32" i="90"/>
  <c r="G30" i="90"/>
  <c r="G29" i="90"/>
  <c r="G27" i="90"/>
  <c r="D6" i="90"/>
  <c r="D5" i="90"/>
  <c r="H13" i="90"/>
  <c r="D7" i="90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9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7" i="7"/>
  <c r="G32" i="88"/>
  <c r="G30" i="88"/>
  <c r="G29" i="88"/>
  <c r="G27" i="88"/>
  <c r="D6" i="88"/>
  <c r="D5" i="88"/>
  <c r="H13" i="88"/>
  <c r="B22" i="3"/>
  <c r="B7" i="3"/>
  <c r="C8" i="3"/>
  <c r="C9" i="3"/>
  <c r="C10" i="3"/>
  <c r="C11" i="3"/>
  <c r="C12" i="3"/>
  <c r="C13" i="3"/>
  <c r="C14" i="3"/>
  <c r="C15" i="3"/>
  <c r="C16" i="3"/>
  <c r="C17" i="3"/>
  <c r="C18" i="3"/>
  <c r="C19" i="3"/>
  <c r="C7" i="3"/>
  <c r="C9" i="5"/>
  <c r="C10" i="7"/>
  <c r="C12" i="5"/>
  <c r="C24" i="5"/>
  <c r="B13" i="7"/>
  <c r="D13" i="7" s="1"/>
  <c r="B19" i="5"/>
  <c r="B20" i="7"/>
  <c r="D20" i="7" s="1"/>
  <c r="C32" i="5"/>
  <c r="D28" i="33"/>
  <c r="F28" i="33"/>
  <c r="G33" i="33"/>
  <c r="G30" i="33"/>
  <c r="G31" i="33"/>
  <c r="E14" i="33"/>
  <c r="G14" i="33"/>
  <c r="E15" i="33"/>
  <c r="G15" i="33"/>
  <c r="H16" i="33"/>
  <c r="E19" i="33"/>
  <c r="G19" i="33"/>
  <c r="E21" i="33"/>
  <c r="G21" i="33"/>
  <c r="H21" i="33" s="1"/>
  <c r="G32" i="33"/>
  <c r="G34" i="33"/>
  <c r="G36" i="33"/>
  <c r="E2" i="5"/>
  <c r="F24" i="33"/>
  <c r="A3" i="33"/>
  <c r="A1" i="33"/>
  <c r="C32" i="33"/>
  <c r="D36" i="33"/>
  <c r="D34" i="33"/>
  <c r="D31" i="33"/>
  <c r="D30" i="33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2" i="7"/>
  <c r="A24" i="7"/>
  <c r="A25" i="7"/>
  <c r="A26" i="7"/>
  <c r="A7" i="7"/>
  <c r="E28" i="3"/>
  <c r="E27" i="7"/>
  <c r="E27" i="5"/>
  <c r="B7" i="33"/>
  <c r="C13" i="7"/>
  <c r="B8" i="5"/>
  <c r="B10" i="7"/>
  <c r="D10" i="7" s="1"/>
  <c r="B26" i="5"/>
  <c r="B18" i="3"/>
  <c r="B8" i="3"/>
  <c r="C13" i="5"/>
  <c r="C26" i="5"/>
  <c r="C26" i="7"/>
  <c r="B4" i="90"/>
  <c r="C15" i="7"/>
  <c r="C26" i="3"/>
  <c r="B26" i="7"/>
  <c r="B10" i="5"/>
  <c r="B4" i="88"/>
  <c r="C22" i="5"/>
  <c r="B13" i="5"/>
  <c r="C7" i="7"/>
  <c r="C15" i="5"/>
  <c r="C11" i="5"/>
  <c r="C16" i="7"/>
  <c r="C12" i="7"/>
  <c r="C14" i="5"/>
  <c r="D34" i="5"/>
  <c r="D34" i="7"/>
  <c r="B12" i="7"/>
  <c r="D12" i="7" s="1"/>
  <c r="B12" i="3"/>
  <c r="C19" i="7"/>
  <c r="C9" i="7"/>
  <c r="C11" i="7"/>
  <c r="B25" i="5"/>
  <c r="D25" i="5" s="1"/>
  <c r="B15" i="5"/>
  <c r="B13" i="3"/>
  <c r="B11" i="5"/>
  <c r="D33" i="33"/>
  <c r="B16" i="7"/>
  <c r="D16" i="7" s="1"/>
  <c r="B10" i="3"/>
  <c r="C18" i="5"/>
  <c r="B18" i="7"/>
  <c r="D18" i="7" s="1"/>
  <c r="B18" i="5"/>
  <c r="C18" i="7"/>
  <c r="C20" i="7"/>
  <c r="C20" i="3"/>
  <c r="C20" i="5"/>
  <c r="C14" i="7"/>
  <c r="B25" i="3"/>
  <c r="B3" i="88"/>
  <c r="G44" i="88" s="1"/>
  <c r="B25" i="7"/>
  <c r="D25" i="7" s="1"/>
  <c r="C7" i="5"/>
  <c r="D33" i="3"/>
  <c r="B23" i="7"/>
  <c r="D23" i="7" s="1"/>
  <c r="C22" i="3"/>
  <c r="B23" i="3"/>
  <c r="B23" i="5"/>
  <c r="D23" i="5" s="1"/>
  <c r="C23" i="5"/>
  <c r="C23" i="7"/>
  <c r="C23" i="3"/>
  <c r="C21" i="7"/>
  <c r="C21" i="5"/>
  <c r="C21" i="3"/>
  <c r="B24" i="7"/>
  <c r="D24" i="7" s="1"/>
  <c r="B15" i="7"/>
  <c r="D15" i="7" s="1"/>
  <c r="B15" i="3"/>
  <c r="C22" i="7"/>
  <c r="H15" i="90"/>
  <c r="H15" i="88"/>
  <c r="G28" i="33" l="1"/>
  <c r="H19" i="33"/>
  <c r="H15" i="33"/>
  <c r="H14" i="33"/>
  <c r="B21" i="5"/>
  <c r="D21" i="5" s="1"/>
  <c r="B19" i="3"/>
  <c r="B19" i="7"/>
  <c r="D19" i="7" s="1"/>
  <c r="B17" i="5"/>
  <c r="B17" i="7"/>
  <c r="D17" i="7" s="1"/>
  <c r="B21" i="3"/>
  <c r="D30" i="90"/>
  <c r="B21" i="7"/>
  <c r="D21" i="7" s="1"/>
  <c r="B22" i="5"/>
  <c r="D22" i="5" s="1"/>
  <c r="B22" i="7"/>
  <c r="D22" i="7" s="1"/>
  <c r="C25" i="3"/>
  <c r="C25" i="7"/>
  <c r="B49" i="33"/>
  <c r="B9" i="3"/>
  <c r="B14" i="5"/>
  <c r="B9" i="5"/>
  <c r="B14" i="3"/>
  <c r="C17" i="5"/>
  <c r="B11" i="7"/>
  <c r="D11" i="7" s="1"/>
  <c r="B9" i="7"/>
  <c r="D9" i="7" s="1"/>
  <c r="C17" i="7"/>
  <c r="B16" i="3"/>
  <c r="B11" i="3"/>
  <c r="C25" i="5"/>
  <c r="B12" i="5"/>
  <c r="B8" i="88"/>
  <c r="B14" i="7"/>
  <c r="D14" i="7" s="1"/>
  <c r="B8" i="90"/>
  <c r="D8" i="88"/>
  <c r="H17" i="88" s="1"/>
  <c r="D7" i="88"/>
  <c r="C8" i="5"/>
  <c r="B8" i="7"/>
  <c r="D8" i="7" s="1"/>
  <c r="C8" i="7"/>
  <c r="D35" i="33"/>
  <c r="C10" i="5"/>
  <c r="B26" i="3"/>
  <c r="B3" i="90"/>
  <c r="G44" i="90" s="1"/>
  <c r="D29" i="33"/>
  <c r="G34" i="88"/>
  <c r="B44" i="88"/>
  <c r="B44" i="90"/>
  <c r="G31" i="90"/>
  <c r="G35" i="33"/>
  <c r="D26" i="90"/>
  <c r="C24" i="7"/>
  <c r="C24" i="3"/>
  <c r="B24" i="3"/>
  <c r="B24" i="5"/>
  <c r="D24" i="5" s="1"/>
  <c r="D26" i="88"/>
  <c r="B7" i="7"/>
  <c r="D7" i="7" s="1"/>
  <c r="B7" i="5"/>
  <c r="B20" i="5"/>
  <c r="B20" i="3"/>
  <c r="D31" i="88"/>
  <c r="H23" i="33" l="1"/>
  <c r="H25" i="33" s="1"/>
  <c r="G11" i="88"/>
  <c r="H11" i="88" s="1"/>
  <c r="H20" i="88" s="1"/>
  <c r="H22" i="88" s="1"/>
  <c r="G19" i="88"/>
  <c r="H19" i="88" s="1"/>
  <c r="G18" i="88"/>
  <c r="H18" i="88" s="1"/>
  <c r="G12" i="88"/>
  <c r="H12" i="88" s="1"/>
  <c r="E16" i="88"/>
  <c r="E12" i="88"/>
  <c r="E17" i="88"/>
  <c r="E19" i="88"/>
  <c r="D25" i="88"/>
  <c r="G25" i="88" s="1"/>
  <c r="E11" i="88"/>
  <c r="E18" i="88"/>
  <c r="G16" i="88"/>
  <c r="H16" i="88" s="1"/>
  <c r="E17" i="90"/>
  <c r="E12" i="90"/>
  <c r="D25" i="90"/>
  <c r="G25" i="90" s="1"/>
  <c r="E19" i="90"/>
  <c r="E11" i="90"/>
  <c r="E18" i="90"/>
  <c r="E16" i="90"/>
  <c r="D8" i="90"/>
  <c r="G16" i="90" s="1"/>
  <c r="H16" i="90" s="1"/>
  <c r="G34" i="90"/>
  <c r="G31" i="88"/>
  <c r="D32" i="90"/>
  <c r="D32" i="88"/>
  <c r="D31" i="90"/>
  <c r="G11" i="90" l="1"/>
  <c r="H11" i="90" s="1"/>
  <c r="H20" i="90" s="1"/>
  <c r="H22" i="90" s="1"/>
  <c r="G18" i="90"/>
  <c r="H18" i="90" s="1"/>
  <c r="G12" i="90"/>
  <c r="H12" i="90" s="1"/>
  <c r="H17" i="90"/>
  <c r="G19" i="90"/>
  <c r="H19" i="90" s="1"/>
  <c r="G26" i="90" l="1"/>
  <c r="G35" i="90" s="1"/>
  <c r="H35" i="90" s="1"/>
  <c r="H37" i="90" s="1"/>
  <c r="F37" i="90" s="1"/>
  <c r="G29" i="33"/>
  <c r="G39" i="33" s="1"/>
  <c r="H41" i="33" s="1"/>
  <c r="F41" i="33" s="1"/>
  <c r="G26" i="88"/>
  <c r="G35" i="88" s="1"/>
  <c r="H35" i="88" s="1"/>
  <c r="H37" i="88" s="1"/>
  <c r="F37" i="88" s="1"/>
  <c r="G28" i="90"/>
  <c r="G28" i="88" l="1"/>
</calcChain>
</file>

<file path=xl/sharedStrings.xml><?xml version="1.0" encoding="utf-8"?>
<sst xmlns="http://schemas.openxmlformats.org/spreadsheetml/2006/main" count="259" uniqueCount="132">
  <si>
    <t>MASTER:</t>
  </si>
  <si>
    <t xml:space="preserve"> </t>
  </si>
  <si>
    <t>No</t>
  </si>
  <si>
    <t>Month / Year</t>
  </si>
  <si>
    <t>WAGES ACCOUNT</t>
  </si>
  <si>
    <t>hrs:</t>
  </si>
  <si>
    <t>TOTAL EARNINGS OF PERIOD</t>
  </si>
  <si>
    <t>CREDIT/DEBIT FM PREVIOUS ACCOUNTS</t>
  </si>
  <si>
    <t>TOTAL EARNINGS</t>
  </si>
  <si>
    <t>DEDUCTIONS</t>
  </si>
  <si>
    <t>TOTAL DEDUCTIONS</t>
  </si>
  <si>
    <t>CREDIT / DEBIT BALANCE</t>
  </si>
  <si>
    <t>Place:</t>
  </si>
  <si>
    <t>Date:</t>
  </si>
  <si>
    <t>RECIPIENT:</t>
  </si>
  <si>
    <t>USD</t>
  </si>
  <si>
    <t>usd</t>
  </si>
  <si>
    <t>No.</t>
  </si>
  <si>
    <t>Excess  O/T</t>
  </si>
  <si>
    <t>Cables</t>
  </si>
  <si>
    <t>Rate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</si>
  <si>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</si>
  <si>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</si>
  <si>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</si>
  <si>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</si>
  <si>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</si>
  <si>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</si>
  <si>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</si>
  <si>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</si>
  <si>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</si>
  <si>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</si>
  <si>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</si>
  <si>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</si>
  <si>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</si>
  <si>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</si>
  <si>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</si>
  <si>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</si>
  <si>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</si>
  <si>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</si>
  <si>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Total Basic Wages</t>
  </si>
  <si>
    <t>Fixed  O/T</t>
  </si>
  <si>
    <t>Extra 1</t>
  </si>
  <si>
    <t>Extra 2</t>
  </si>
  <si>
    <t>Leave Pay</t>
  </si>
  <si>
    <t>Other  Payments</t>
  </si>
  <si>
    <t>Company  Bonus</t>
  </si>
  <si>
    <t>Master's Bonus</t>
  </si>
  <si>
    <t>S.S.S.</t>
  </si>
  <si>
    <t>Allotment  2</t>
  </si>
  <si>
    <t>Allotment  1</t>
  </si>
  <si>
    <t>Allotment  3</t>
  </si>
  <si>
    <t>Cigarettes &amp; Spirits</t>
  </si>
  <si>
    <t>Advance  1</t>
  </si>
  <si>
    <t>Advance  2</t>
  </si>
  <si>
    <t>Advance  3</t>
  </si>
  <si>
    <t>Other Deductions</t>
  </si>
  <si>
    <t>Of:</t>
  </si>
  <si>
    <t>Rank :</t>
  </si>
  <si>
    <t>Wages Commence on the:</t>
  </si>
  <si>
    <t>Paid until :</t>
  </si>
  <si>
    <t>Total Monthly Wages :</t>
  </si>
  <si>
    <t>Months :</t>
  </si>
  <si>
    <t>Victualing Days :</t>
  </si>
  <si>
    <t>Days:</t>
  </si>
  <si>
    <t>Rate :</t>
  </si>
  <si>
    <t>m        d</t>
  </si>
  <si>
    <t xml:space="preserve"> m       d</t>
  </si>
  <si>
    <t>ALLOTMENT   2</t>
  </si>
  <si>
    <t>Paid by Owners or Agents</t>
  </si>
  <si>
    <t>I received my wages up to date in full settlement including overtimes, leave allowance etc., and
have no further claim whatsoever against the Vessel, her Owners, Master and/or any Agents thereof.</t>
  </si>
  <si>
    <t>No.: 19</t>
  </si>
  <si>
    <t>No.: 20</t>
  </si>
  <si>
    <t xml:space="preserve">AC </t>
  </si>
  <si>
    <t>31</t>
  </si>
  <si>
    <t>Balance to be remitted to  Bank's account respectively</t>
  </si>
  <si>
    <t>CASH ADVANCE  1</t>
  </si>
  <si>
    <t>CASH ADVANCE  3</t>
  </si>
  <si>
    <t>Rank</t>
  </si>
  <si>
    <t>Name</t>
  </si>
  <si>
    <t>Master</t>
  </si>
  <si>
    <t>Total USD</t>
  </si>
  <si>
    <t xml:space="preserve">  Amount USD</t>
  </si>
  <si>
    <t>Master:</t>
  </si>
  <si>
    <t>17</t>
  </si>
  <si>
    <t>Subsistence Allowance</t>
  </si>
  <si>
    <t>Total Received</t>
  </si>
  <si>
    <t>Qty Consumed</t>
  </si>
  <si>
    <t>Units</t>
  </si>
  <si>
    <t>Items</t>
  </si>
  <si>
    <t>Vessel:</t>
  </si>
  <si>
    <t>Fixed deduction</t>
  </si>
  <si>
    <t>Recipient:</t>
  </si>
  <si>
    <t>Wages account</t>
  </si>
  <si>
    <t>Rank:</t>
  </si>
  <si>
    <t>Company Bonus</t>
  </si>
  <si>
    <t>Fixed O/T</t>
  </si>
  <si>
    <t>Paid until:</t>
  </si>
  <si>
    <t>Total Monthly Wages:</t>
  </si>
  <si>
    <t>Months:</t>
  </si>
  <si>
    <t>Victualing Days:</t>
  </si>
  <si>
    <t>Total earningh of period</t>
  </si>
  <si>
    <t>Credit / Debet from previous accounts</t>
  </si>
  <si>
    <t>Total earning</t>
  </si>
  <si>
    <t>Deductions</t>
  </si>
  <si>
    <t>Total deductions</t>
  </si>
  <si>
    <t>Credit / Debet balance</t>
  </si>
  <si>
    <t>hrs</t>
  </si>
  <si>
    <t>Allotment 1</t>
  </si>
  <si>
    <t>Allotment 2</t>
  </si>
  <si>
    <t>Advance 1</t>
  </si>
  <si>
    <t>Advance 2</t>
  </si>
  <si>
    <t>Advance 3</t>
  </si>
  <si>
    <t>Excess O/T</t>
  </si>
  <si>
    <t>Other Payments</t>
  </si>
  <si>
    <t>Price USD</t>
  </si>
  <si>
    <t>BOND CONSUMPTION (OWNERS ACCOUNT)</t>
  </si>
  <si>
    <t xml:space="preserve">Total Expenses: </t>
  </si>
  <si>
    <t>Representation</t>
  </si>
  <si>
    <t>Total Price USD</t>
  </si>
  <si>
    <t xml:space="preserve"> Marlboro Gold Cigarattes / old</t>
  </si>
  <si>
    <t>Customs, Immigrations, Agent, Harbour Master(TANJUNG BERAKIT)</t>
  </si>
  <si>
    <t xml:space="preserve">Manchester Light Cigarattes / New </t>
  </si>
  <si>
    <t>2 SayBolt Surveyors &amp; 1 Sampling Person(TANJUNG BERAKIT)</t>
  </si>
  <si>
    <t>Coke</t>
  </si>
  <si>
    <t>Chocolate Snickers (45 G)</t>
  </si>
  <si>
    <t>Agent,Immigrations,Loading Master,Terminal Manager,Surveyors(YANGPU)</t>
  </si>
  <si>
    <t>ARRIVAL/DEPARTURE PILOTS (YANGPU)</t>
  </si>
  <si>
    <t>Drinking Water 500ml</t>
  </si>
  <si>
    <t>Agent,Immigrations,Loading Master,Terminal Manager,Surveyors,Pilots(YANGPU)</t>
  </si>
  <si>
    <t xml:space="preserve"> "XXXX"</t>
  </si>
  <si>
    <t>Master Name</t>
  </si>
  <si>
    <t>Vessel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</si>
</sst>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&quot;$&quot;#,##0_);\(&quot;$&quot;#,##0\)"/>
    <numFmt numFmtId="167" formatCode="&quot;$&quot;#,##0.00_);\(&quot;$&quot;#,##0.00\)"/>
    <numFmt numFmtId="168" formatCode="_(&quot;$&quot;* #,##0.00_);_(&quot;$&quot;* \(#,##0.00\);_(&quot;$&quot;* &quot;-&quot;??_);_(@_)"/>
    <numFmt numFmtId="169" formatCode="&quot;$&quot;#,##0.00;\-&quot;$&quot;#,##0.00"/>
    <numFmt numFmtId="170" formatCode="_-&quot;$&quot;* #,##0.00_-;\-&quot;$&quot;* #,##0.00_-;_-&quot;$&quot;* &quot;-&quot;??_-;_-@_-"/>
    <numFmt numFmtId="171" formatCode="mm/dd/yy_)"/>
    <numFmt numFmtId="172" formatCode="dd\-mmm_)"/>
    <numFmt numFmtId="173" formatCode="mmm\-yy_)"/>
    <numFmt numFmtId="174" formatCode="0.00_)"/>
    <numFmt numFmtId="175" formatCode="0_)"/>
    <numFmt numFmtId="176" formatCode="#,##0.00_ ;\-#,##0.00\ "/>
    <numFmt numFmtId="177" formatCode="#,##0_ ;\-#,##0\ "/>
    <numFmt numFmtId="178" formatCode="&quot;$&quot;#,##0.00;[Red]&quot;$&quot;#,##0.00"/>
    <numFmt numFmtId="179" formatCode="#,##0.00;[Red]#,##0.00"/>
    <numFmt numFmtId="180" formatCode="#,##0.00_ ;[Red]\-#,##0.00\ "/>
    <numFmt numFmtId="181" formatCode="#,##0;\-#,##0;&quot;-&quot;"/>
    <numFmt numFmtId="182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b/>
      <u/>
      <sz val="11"/>
      <color indexed="8"/>
      <name val="Verdana"/>
      <family val="2"/>
    </font>
    <font>
      <b/>
      <i/>
      <u/>
      <sz val="11"/>
      <color indexed="8"/>
      <name val="Verdana"/>
      <family val="2"/>
    </font>
    <font>
      <b/>
      <i/>
      <sz val="11"/>
      <color indexed="8"/>
      <name val="Verdana"/>
      <family val="2"/>
    </font>
    <font>
      <sz val="9"/>
      <color indexed="8"/>
      <name val="Verdana"/>
      <family val="2"/>
    </font>
    <font>
      <sz val="11"/>
      <name val="Verdana"/>
      <family val="2"/>
    </font>
    <font>
      <b/>
      <sz val="12"/>
      <color indexed="8"/>
      <name val="Verdana"/>
      <family val="2"/>
    </font>
    <font>
      <b/>
      <sz val="9"/>
      <color indexed="8"/>
      <name val="Verdana"/>
      <family val="2"/>
    </font>
    <font>
      <sz val="10"/>
      <name val="Verdana"/>
      <family val="2"/>
    </font>
    <font>
      <sz val="8"/>
      <color indexed="8"/>
      <name val="Verdana"/>
      <family val="2"/>
    </font>
    <font>
      <b/>
      <sz val="16"/>
      <color indexed="8"/>
      <name val="Verdana"/>
      <family val="2"/>
    </font>
    <font>
      <b/>
      <u/>
      <sz val="10"/>
      <color indexed="8"/>
      <name val="Verdana"/>
      <family val="2"/>
    </font>
    <font>
      <b/>
      <i/>
      <sz val="12"/>
      <color indexed="8"/>
      <name val="Verdana"/>
      <family val="2"/>
    </font>
    <font>
      <b/>
      <u/>
      <sz val="14"/>
      <color indexed="8"/>
      <name val="Verdana"/>
      <family val="2"/>
      <charset val="161"/>
    </font>
    <font>
      <b/>
      <u/>
      <sz val="16"/>
      <color indexed="8"/>
      <name val="Verdana"/>
      <family val="2"/>
      <charset val="161"/>
    </font>
    <font>
      <b/>
      <i/>
      <u/>
      <sz val="12"/>
      <color indexed="8"/>
      <name val="Verdana"/>
      <family val="2"/>
    </font>
    <font>
      <b/>
      <u/>
      <sz val="14"/>
      <color indexed="8"/>
      <name val="Arial"/>
      <family val="2"/>
    </font>
    <font>
      <b/>
      <u/>
      <sz val="10"/>
      <color indexed="8"/>
      <name val="Arial"/>
      <family val="2"/>
    </font>
    <font>
      <b/>
      <sz val="16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  <font>
      <b/>
      <u/>
      <sz val="11"/>
      <color indexed="8"/>
      <name val="Arial"/>
      <family val="2"/>
    </font>
    <font>
      <b/>
      <u/>
      <sz val="11"/>
      <name val="Arial"/>
      <family val="2"/>
    </font>
    <font>
      <sz val="10"/>
      <color theme="0"/>
      <name val="Arial"/>
      <family val="2"/>
    </font>
    <font>
      <sz val="11"/>
      <color indexed="8"/>
      <name val="Verdana"/>
      <family val="2"/>
      <charset val="204"/>
    </font>
    <font>
      <sz val="11"/>
      <name val="Verdana"/>
      <family val="2"/>
      <charset val="204"/>
    </font>
    <font>
      <b/>
      <sz val="11"/>
      <color indexed="8"/>
      <name val="Verdana"/>
      <family val="2"/>
      <charset val="204"/>
    </font>
    <font>
      <b/>
      <sz val="20"/>
      <color indexed="8"/>
      <name val="Verdana"/>
      <family val="2"/>
      <charset val="204"/>
    </font>
    <font>
      <b/>
      <u/>
      <sz val="11"/>
      <color indexed="8"/>
      <name val="Verdana"/>
      <family val="2"/>
      <charset val="204"/>
    </font>
    <font>
      <vertAlign val="superscript"/>
      <sz val="11"/>
      <color indexed="8"/>
      <name val="Verdana"/>
      <family val="2"/>
      <charset val="204"/>
    </font>
    <font>
      <sz val="10"/>
      <name val="Arial"/>
      <family val="2"/>
    </font>
    <font>
      <sz val="9"/>
      <name val="Times New Roman"/>
      <family val="1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0"/>
      <name val="Geneva"/>
      <family val="2"/>
    </font>
    <font>
      <sz val="8"/>
      <name val="Century Schoolbook"/>
      <family val="1"/>
    </font>
    <font>
      <sz val="12"/>
      <name val="Times New Roman"/>
      <family val="1"/>
    </font>
    <font>
      <sz val="9"/>
      <color theme="1"/>
      <name val="Arial"/>
      <family val="2"/>
    </font>
    <font>
      <sz val="12"/>
      <color indexed="12"/>
      <name val="Arial"/>
      <family val="2"/>
    </font>
    <font>
      <sz val="16"/>
      <name val="Arial"/>
      <family val="2"/>
    </font>
    <font>
      <sz val="10"/>
      <color indexed="12"/>
      <name val="Arial"/>
      <family val="2"/>
    </font>
    <font>
      <b/>
      <sz val="12"/>
      <color indexed="12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6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8"/>
      </left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64"/>
      </right>
      <top style="thin">
        <color indexed="8"/>
      </top>
      <bottom style="hair">
        <color indexed="8"/>
      </bottom>
      <diagonal/>
    </border>
    <border>
      <left style="double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double">
        <color indexed="64"/>
      </right>
      <top style="hair">
        <color indexed="8"/>
      </top>
      <bottom style="hair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64"/>
      </right>
      <top/>
      <bottom style="thin">
        <color indexed="8"/>
      </bottom>
      <diagonal/>
    </border>
    <border>
      <left style="double">
        <color indexed="64"/>
      </left>
      <right/>
      <top style="hair">
        <color indexed="8"/>
      </top>
      <bottom style="thin">
        <color indexed="8"/>
      </bottom>
      <diagonal/>
    </border>
    <border>
      <left style="medium">
        <color indexed="8"/>
      </left>
      <right style="double">
        <color indexed="64"/>
      </right>
      <top style="medium">
        <color indexed="8"/>
      </top>
      <bottom style="medium">
        <color indexed="8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hair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8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8"/>
      </top>
      <bottom style="double">
        <color indexed="64"/>
      </bottom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hair">
        <color indexed="8"/>
      </top>
      <bottom style="medium">
        <color indexed="64"/>
      </bottom>
      <diagonal/>
    </border>
    <border>
      <left/>
      <right/>
      <top/>
      <bottom style="hair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39" fillId="0" borderId="0"/>
    <xf numFmtId="170" fontId="4" fillId="0" borderId="0" applyFont="0" applyFill="0" applyBorder="0" applyAlignment="0" applyProtection="0"/>
    <xf numFmtId="0" fontId="40" fillId="0" borderId="0"/>
    <xf numFmtId="181" fontId="7" fillId="0" borderId="0" applyFill="0" applyBorder="0" applyAlignment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51" fillId="0" borderId="0">
      <alignment horizontal="left"/>
    </xf>
    <xf numFmtId="0" fontId="38" fillId="0" borderId="64" applyNumberFormat="0" applyAlignment="0" applyProtection="0">
      <alignment horizontal="left" vertical="center"/>
    </xf>
    <xf numFmtId="0" fontId="38" fillId="0" borderId="58">
      <alignment horizontal="left" vertical="center"/>
    </xf>
    <xf numFmtId="0" fontId="4" fillId="0" borderId="0"/>
    <xf numFmtId="0" fontId="3" fillId="0" borderId="0"/>
    <xf numFmtId="0" fontId="57" fillId="0" borderId="0"/>
    <xf numFmtId="0" fontId="3" fillId="0" borderId="0"/>
    <xf numFmtId="4" fontId="51" fillId="0" borderId="0">
      <alignment horizontal="right"/>
    </xf>
    <xf numFmtId="4" fontId="52" fillId="0" borderId="0">
      <alignment horizontal="right"/>
    </xf>
    <xf numFmtId="0" fontId="53" fillId="0" borderId="0">
      <alignment horizontal="left"/>
    </xf>
    <xf numFmtId="0" fontId="54" fillId="0" borderId="0">
      <alignment horizontal="center"/>
    </xf>
    <xf numFmtId="4" fontId="55" fillId="0" borderId="0" applyFont="0" applyFill="0" applyBorder="0" applyAlignment="0" applyProtection="0"/>
    <xf numFmtId="164" fontId="4" fillId="0" borderId="0" applyFont="0" applyFill="0" applyBorder="0" applyAlignment="0" applyProtection="0"/>
    <xf numFmtId="4" fontId="56" fillId="0" borderId="0">
      <alignment horizontal="right"/>
    </xf>
    <xf numFmtId="168" fontId="4" fillId="0" borderId="0" applyFont="0" applyFill="0" applyBorder="0" applyAlignment="0" applyProtection="0"/>
    <xf numFmtId="182" fontId="55" fillId="0" borderId="0" applyFont="0" applyFill="0" applyBorder="0" applyAlignment="0" applyProtection="0"/>
    <xf numFmtId="0" fontId="4" fillId="0" borderId="0"/>
    <xf numFmtId="168" fontId="4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08">
    <xf numFmtId="0" fontId="0" fillId="0" borderId="0" xfId="0"/>
    <xf numFmtId="0" fontId="8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175" fontId="13" fillId="0" borderId="0" xfId="0" applyNumberFormat="1" applyFont="1" applyAlignment="1">
      <alignment horizontal="center"/>
    </xf>
    <xf numFmtId="175" fontId="26" fillId="2" borderId="0" xfId="0" applyNumberFormat="1" applyFont="1" applyFill="1" applyAlignment="1" applyProtection="1">
      <alignment horizontal="center" vertical="center"/>
      <protection locked="0"/>
    </xf>
    <xf numFmtId="0" fontId="26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15" fontId="26" fillId="2" borderId="0" xfId="0" applyNumberFormat="1" applyFont="1" applyFill="1" applyAlignment="1" applyProtection="1">
      <alignment horizontal="center" vertical="center"/>
      <protection locked="0"/>
    </xf>
    <xf numFmtId="175" fontId="23" fillId="2" borderId="1" xfId="0" applyNumberFormat="1" applyFont="1" applyFill="1" applyBorder="1" applyAlignment="1" applyProtection="1">
      <alignment horizontal="right" vertical="center"/>
      <protection locked="0"/>
    </xf>
    <xf numFmtId="175" fontId="23" fillId="2" borderId="1" xfId="0" applyNumberFormat="1" applyFont="1" applyFill="1" applyBorder="1" applyAlignment="1" applyProtection="1">
      <alignment horizontal="left" vertical="center"/>
      <protection locked="0"/>
    </xf>
    <xf numFmtId="175" fontId="23" fillId="2" borderId="2" xfId="0" applyNumberFormat="1" applyFont="1" applyFill="1" applyBorder="1" applyAlignment="1" applyProtection="1">
      <alignment horizontal="left" vertical="center"/>
      <protection locked="0"/>
    </xf>
    <xf numFmtId="175" fontId="23" fillId="2" borderId="2" xfId="0" applyNumberFormat="1" applyFont="1" applyFill="1" applyBorder="1" applyAlignment="1" applyProtection="1">
      <alignment horizontal="right" vertical="center"/>
      <protection locked="0"/>
    </xf>
    <xf numFmtId="179" fontId="22" fillId="4" borderId="3" xfId="0" applyNumberFormat="1" applyFont="1" applyFill="1" applyBorder="1" applyAlignment="1">
      <alignment horizontal="right" vertical="center"/>
    </xf>
    <xf numFmtId="178" fontId="26" fillId="2" borderId="0" xfId="2" applyNumberFormat="1" applyFont="1" applyFill="1" applyAlignment="1" applyProtection="1">
      <alignment horizontal="left" vertical="center"/>
      <protection locked="0"/>
    </xf>
    <xf numFmtId="179" fontId="17" fillId="5" borderId="4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vertical="center"/>
    </xf>
    <xf numFmtId="179" fontId="23" fillId="2" borderId="2" xfId="0" applyNumberFormat="1" applyFont="1" applyFill="1" applyBorder="1" applyAlignment="1" applyProtection="1">
      <alignment horizontal="left" vertical="center"/>
      <protection locked="0"/>
    </xf>
    <xf numFmtId="179" fontId="23" fillId="2" borderId="1" xfId="0" applyNumberFormat="1" applyFont="1" applyFill="1" applyBorder="1" applyAlignment="1" applyProtection="1">
      <alignment horizontal="left" vertical="center"/>
      <protection locked="0"/>
    </xf>
    <xf numFmtId="179" fontId="17" fillId="6" borderId="5" xfId="0" applyNumberFormat="1" applyFont="1" applyFill="1" applyBorder="1" applyAlignment="1">
      <alignment horizontal="right" vertical="center"/>
    </xf>
    <xf numFmtId="179" fontId="17" fillId="6" borderId="4" xfId="0" applyNumberFormat="1" applyFont="1" applyFill="1" applyBorder="1" applyAlignment="1">
      <alignment horizontal="right" vertical="center"/>
    </xf>
    <xf numFmtId="178" fontId="23" fillId="2" borderId="1" xfId="0" applyNumberFormat="1" applyFont="1" applyFill="1" applyBorder="1" applyAlignment="1" applyProtection="1">
      <alignment horizontal="center" vertical="center"/>
      <protection locked="0"/>
    </xf>
    <xf numFmtId="0" fontId="26" fillId="7" borderId="0" xfId="0" applyFont="1" applyFill="1" applyAlignment="1">
      <alignment horizontal="center" vertical="center"/>
    </xf>
    <xf numFmtId="174" fontId="17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horizontal="right" vertical="center"/>
    </xf>
    <xf numFmtId="174" fontId="18" fillId="7" borderId="0" xfId="0" applyNumberFormat="1" applyFont="1" applyFill="1" applyAlignment="1">
      <alignment vertical="center"/>
    </xf>
    <xf numFmtId="174" fontId="16" fillId="7" borderId="0" xfId="0" applyNumberFormat="1" applyFont="1" applyFill="1" applyAlignment="1">
      <alignment vertical="center"/>
    </xf>
    <xf numFmtId="0" fontId="17" fillId="7" borderId="0" xfId="0" applyFont="1" applyFill="1" applyAlignment="1">
      <alignment horizontal="left" vertical="center"/>
    </xf>
    <xf numFmtId="174" fontId="31" fillId="7" borderId="0" xfId="0" applyNumberFormat="1" applyFont="1" applyFill="1" applyAlignment="1">
      <alignment horizontal="left" vertical="center"/>
    </xf>
    <xf numFmtId="174" fontId="16" fillId="7" borderId="0" xfId="0" applyNumberFormat="1" applyFont="1" applyFill="1" applyAlignment="1">
      <alignment horizontal="centerContinuous" vertical="center"/>
    </xf>
    <xf numFmtId="0" fontId="18" fillId="7" borderId="0" xfId="0" quotePrefix="1" applyFont="1" applyFill="1" applyAlignment="1">
      <alignment horizontal="right" vertical="center"/>
    </xf>
    <xf numFmtId="0" fontId="26" fillId="8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17" fillId="8" borderId="0" xfId="0" applyFont="1" applyFill="1" applyAlignment="1">
      <alignment vertical="center"/>
    </xf>
    <xf numFmtId="0" fontId="17" fillId="8" borderId="0" xfId="0" applyFont="1" applyFill="1" applyAlignment="1" applyProtection="1">
      <alignment vertical="center"/>
      <protection locked="0"/>
    </xf>
    <xf numFmtId="0" fontId="16" fillId="8" borderId="0" xfId="0" applyFont="1" applyFill="1" applyAlignment="1">
      <alignment vertical="center"/>
    </xf>
    <xf numFmtId="0" fontId="17" fillId="8" borderId="6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Continuous" vertical="center"/>
    </xf>
    <xf numFmtId="0" fontId="16" fillId="8" borderId="0" xfId="0" applyFont="1" applyFill="1" applyAlignment="1" applyProtection="1">
      <alignment horizontal="centerContinuous" vertical="center"/>
      <protection locked="0"/>
    </xf>
    <xf numFmtId="174" fontId="16" fillId="8" borderId="0" xfId="0" applyNumberFormat="1" applyFont="1" applyFill="1" applyAlignment="1">
      <alignment vertical="center"/>
    </xf>
    <xf numFmtId="0" fontId="23" fillId="8" borderId="7" xfId="0" applyFont="1" applyFill="1" applyBorder="1" applyAlignment="1">
      <alignment horizontal="left" vertical="center" indent="1"/>
    </xf>
    <xf numFmtId="0" fontId="23" fillId="8" borderId="2" xfId="0" applyFont="1" applyFill="1" applyBorder="1" applyAlignment="1">
      <alignment vertical="center"/>
    </xf>
    <xf numFmtId="174" fontId="23" fillId="8" borderId="2" xfId="0" applyNumberFormat="1" applyFont="1" applyFill="1" applyBorder="1" applyAlignment="1">
      <alignment horizontal="right" vertical="center"/>
    </xf>
    <xf numFmtId="0" fontId="23" fillId="8" borderId="8" xfId="0" applyFont="1" applyFill="1" applyBorder="1" applyAlignment="1">
      <alignment horizontal="left" vertical="center" indent="1"/>
    </xf>
    <xf numFmtId="0" fontId="23" fillId="8" borderId="1" xfId="0" applyFont="1" applyFill="1" applyBorder="1" applyAlignment="1">
      <alignment vertical="center"/>
    </xf>
    <xf numFmtId="174" fontId="23" fillId="8" borderId="1" xfId="0" applyNumberFormat="1" applyFont="1" applyFill="1" applyBorder="1" applyAlignment="1">
      <alignment horizontal="right" vertical="center"/>
    </xf>
    <xf numFmtId="0" fontId="23" fillId="8" borderId="1" xfId="0" applyFont="1" applyFill="1" applyBorder="1" applyAlignment="1">
      <alignment horizontal="right" vertical="center"/>
    </xf>
    <xf numFmtId="39" fontId="23" fillId="8" borderId="2" xfId="0" applyNumberFormat="1" applyFont="1" applyFill="1" applyBorder="1" applyAlignment="1">
      <alignment vertical="center"/>
    </xf>
    <xf numFmtId="0" fontId="23" fillId="8" borderId="1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left" vertical="center" indent="1"/>
    </xf>
    <xf numFmtId="174" fontId="23" fillId="8" borderId="1" xfId="0" applyNumberFormat="1" applyFont="1" applyFill="1" applyBorder="1" applyAlignment="1">
      <alignment vertical="center"/>
    </xf>
    <xf numFmtId="175" fontId="23" fillId="8" borderId="1" xfId="0" applyNumberFormat="1" applyFont="1" applyFill="1" applyBorder="1" applyAlignment="1">
      <alignment horizontal="right" vertical="center"/>
    </xf>
    <xf numFmtId="0" fontId="23" fillId="8" borderId="1" xfId="0" applyFont="1" applyFill="1" applyBorder="1" applyAlignment="1" applyProtection="1">
      <alignment vertical="center"/>
      <protection locked="0"/>
    </xf>
    <xf numFmtId="0" fontId="23" fillId="8" borderId="10" xfId="0" applyFont="1" applyFill="1" applyBorder="1" applyAlignment="1" applyProtection="1">
      <alignment vertical="center"/>
      <protection locked="0"/>
    </xf>
    <xf numFmtId="39" fontId="23" fillId="8" borderId="1" xfId="0" applyNumberFormat="1" applyFont="1" applyFill="1" applyBorder="1" applyAlignment="1" applyProtection="1">
      <alignment horizontal="left" vertical="center"/>
      <protection locked="0"/>
    </xf>
    <xf numFmtId="175" fontId="23" fillId="8" borderId="1" xfId="0" applyNumberFormat="1" applyFont="1" applyFill="1" applyBorder="1" applyAlignment="1" applyProtection="1">
      <alignment horizontal="right" vertical="center"/>
      <protection locked="0"/>
    </xf>
    <xf numFmtId="175" fontId="23" fillId="8" borderId="1" xfId="0" applyNumberFormat="1" applyFont="1" applyFill="1" applyBorder="1" applyAlignment="1" applyProtection="1">
      <alignment horizontal="left" vertical="center"/>
      <protection locked="0"/>
    </xf>
    <xf numFmtId="0" fontId="17" fillId="8" borderId="11" xfId="0" applyFont="1" applyFill="1" applyBorder="1" applyAlignment="1">
      <alignment horizontal="left" vertical="center"/>
    </xf>
    <xf numFmtId="0" fontId="17" fillId="8" borderId="12" xfId="0" applyFont="1" applyFill="1" applyBorder="1" applyAlignment="1">
      <alignment vertical="center"/>
    </xf>
    <xf numFmtId="0" fontId="17" fillId="8" borderId="12" xfId="0" applyFont="1" applyFill="1" applyBorder="1" applyAlignment="1" applyProtection="1">
      <alignment vertical="center"/>
      <protection locked="0"/>
    </xf>
    <xf numFmtId="0" fontId="19" fillId="8" borderId="11" xfId="0" applyFont="1" applyFill="1" applyBorder="1" applyAlignment="1">
      <alignment horizontal="left" vertical="center"/>
    </xf>
    <xf numFmtId="0" fontId="19" fillId="8" borderId="12" xfId="0" applyFont="1" applyFill="1" applyBorder="1" applyAlignment="1">
      <alignment vertical="center"/>
    </xf>
    <xf numFmtId="0" fontId="18" fillId="8" borderId="12" xfId="0" applyFont="1" applyFill="1" applyBorder="1" applyAlignment="1">
      <alignment vertical="center"/>
    </xf>
    <xf numFmtId="0" fontId="20" fillId="8" borderId="0" xfId="0" applyFont="1" applyFill="1" applyAlignment="1">
      <alignment horizontal="left" vertical="center"/>
    </xf>
    <xf numFmtId="169" fontId="16" fillId="8" borderId="0" xfId="0" applyNumberFormat="1" applyFont="1" applyFill="1" applyAlignment="1">
      <alignment vertical="center"/>
    </xf>
    <xf numFmtId="0" fontId="16" fillId="8" borderId="0" xfId="0" applyFont="1" applyFill="1" applyAlignment="1">
      <alignment horizontal="left" vertical="center"/>
    </xf>
    <xf numFmtId="169" fontId="17" fillId="8" borderId="0" xfId="0" applyNumberFormat="1" applyFont="1" applyFill="1" applyAlignment="1">
      <alignment horizontal="center" vertical="center"/>
    </xf>
    <xf numFmtId="169" fontId="17" fillId="8" borderId="6" xfId="0" applyNumberFormat="1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right" vertical="center"/>
    </xf>
    <xf numFmtId="179" fontId="23" fillId="8" borderId="2" xfId="0" applyNumberFormat="1" applyFont="1" applyFill="1" applyBorder="1" applyAlignment="1" applyProtection="1">
      <alignment horizontal="left" vertical="center"/>
      <protection locked="0"/>
    </xf>
    <xf numFmtId="175" fontId="23" fillId="8" borderId="2" xfId="0" applyNumberFormat="1" applyFont="1" applyFill="1" applyBorder="1" applyAlignment="1" applyProtection="1">
      <alignment horizontal="right" vertical="center"/>
      <protection locked="0"/>
    </xf>
    <xf numFmtId="0" fontId="23" fillId="8" borderId="2" xfId="0" applyFont="1" applyFill="1" applyBorder="1" applyAlignment="1">
      <alignment horizontal="left" vertical="center"/>
    </xf>
    <xf numFmtId="175" fontId="23" fillId="8" borderId="2" xfId="0" applyNumberFormat="1" applyFont="1" applyFill="1" applyBorder="1" applyAlignment="1" applyProtection="1">
      <alignment horizontal="left" vertical="center"/>
      <protection locked="0"/>
    </xf>
    <xf numFmtId="0" fontId="23" fillId="8" borderId="13" xfId="0" applyFont="1" applyFill="1" applyBorder="1" applyAlignment="1">
      <alignment horizontal="left" vertical="center" indent="1"/>
    </xf>
    <xf numFmtId="0" fontId="23" fillId="8" borderId="14" xfId="0" applyFont="1" applyFill="1" applyBorder="1" applyAlignment="1">
      <alignment vertical="center"/>
    </xf>
    <xf numFmtId="0" fontId="21" fillId="8" borderId="0" xfId="0" applyFont="1" applyFill="1" applyAlignment="1">
      <alignment vertical="center"/>
    </xf>
    <xf numFmtId="0" fontId="28" fillId="8" borderId="0" xfId="0" applyFont="1" applyFill="1" applyAlignment="1">
      <alignment horizontal="centerContinuous" vertical="center" wrapText="1"/>
    </xf>
    <xf numFmtId="0" fontId="24" fillId="8" borderId="0" xfId="0" applyFont="1" applyFill="1" applyAlignment="1">
      <alignment vertical="center"/>
    </xf>
    <xf numFmtId="175" fontId="17" fillId="8" borderId="0" xfId="0" applyNumberFormat="1" applyFont="1" applyFill="1" applyAlignment="1">
      <alignment horizontal="left" vertical="center"/>
    </xf>
    <xf numFmtId="0" fontId="26" fillId="8" borderId="0" xfId="0" applyFont="1" applyFill="1" applyAlignment="1" applyProtection="1">
      <alignment vertical="center"/>
      <protection locked="0"/>
    </xf>
    <xf numFmtId="0" fontId="23" fillId="8" borderId="0" xfId="0" applyFont="1" applyFill="1" applyAlignment="1">
      <alignment vertical="center"/>
    </xf>
    <xf numFmtId="0" fontId="17" fillId="8" borderId="0" xfId="0" applyFont="1" applyFill="1" applyAlignment="1" applyProtection="1">
      <alignment horizontal="right" vertical="center"/>
      <protection locked="0"/>
    </xf>
    <xf numFmtId="167" fontId="17" fillId="8" borderId="0" xfId="0" applyNumberFormat="1" applyFont="1" applyFill="1" applyAlignment="1" applyProtection="1">
      <alignment horizontal="right" vertical="center"/>
      <protection locked="0"/>
    </xf>
    <xf numFmtId="169" fontId="17" fillId="8" borderId="12" xfId="0" applyNumberFormat="1" applyFont="1" applyFill="1" applyBorder="1" applyAlignment="1" applyProtection="1">
      <alignment horizontal="left" vertical="center"/>
      <protection locked="0"/>
    </xf>
    <xf numFmtId="169" fontId="19" fillId="8" borderId="12" xfId="0" applyNumberFormat="1" applyFont="1" applyFill="1" applyBorder="1" applyAlignment="1">
      <alignment horizontal="left" vertical="center"/>
    </xf>
    <xf numFmtId="176" fontId="16" fillId="8" borderId="0" xfId="0" applyNumberFormat="1" applyFont="1" applyFill="1" applyAlignment="1">
      <alignment vertical="center"/>
    </xf>
    <xf numFmtId="0" fontId="23" fillId="8" borderId="1" xfId="0" applyFont="1" applyFill="1" applyBorder="1" applyAlignment="1">
      <alignment horizontal="left" vertical="center"/>
    </xf>
    <xf numFmtId="0" fontId="20" fillId="8" borderId="15" xfId="0" applyFont="1" applyFill="1" applyBorder="1" applyAlignment="1">
      <alignment vertical="center"/>
    </xf>
    <xf numFmtId="0" fontId="16" fillId="8" borderId="15" xfId="0" applyFont="1" applyFill="1" applyBorder="1" applyAlignment="1">
      <alignment vertical="center"/>
    </xf>
    <xf numFmtId="0" fontId="16" fillId="8" borderId="16" xfId="0" applyFont="1" applyFill="1" applyBorder="1" applyAlignment="1">
      <alignment vertical="center"/>
    </xf>
    <xf numFmtId="0" fontId="22" fillId="8" borderId="0" xfId="0" applyFont="1" applyFill="1" applyAlignment="1">
      <alignment horizontal="right" vertical="center"/>
    </xf>
    <xf numFmtId="176" fontId="22" fillId="8" borderId="0" xfId="0" applyNumberFormat="1" applyFont="1" applyFill="1" applyAlignment="1">
      <alignment horizontal="center" vertical="center"/>
    </xf>
    <xf numFmtId="179" fontId="16" fillId="2" borderId="17" xfId="0" applyNumberFormat="1" applyFont="1" applyFill="1" applyBorder="1" applyAlignment="1">
      <alignment horizontal="right" vertical="center"/>
    </xf>
    <xf numFmtId="179" fontId="16" fillId="2" borderId="17" xfId="0" applyNumberFormat="1" applyFont="1" applyFill="1" applyBorder="1" applyAlignment="1" applyProtection="1">
      <alignment horizontal="right" vertical="center"/>
      <protection locked="0"/>
    </xf>
    <xf numFmtId="179" fontId="16" fillId="2" borderId="18" xfId="0" applyNumberFormat="1" applyFont="1" applyFill="1" applyBorder="1" applyAlignment="1" applyProtection="1">
      <alignment horizontal="right" vertical="center"/>
      <protection locked="0"/>
    </xf>
    <xf numFmtId="179" fontId="16" fillId="2" borderId="19" xfId="0" applyNumberFormat="1" applyFont="1" applyFill="1" applyBorder="1" applyAlignment="1">
      <alignment horizontal="right" vertical="center"/>
    </xf>
    <xf numFmtId="179" fontId="16" fillId="2" borderId="20" xfId="0" applyNumberFormat="1" applyFont="1" applyFill="1" applyBorder="1" applyAlignment="1" applyProtection="1">
      <alignment horizontal="right" vertical="center"/>
      <protection locked="0"/>
    </xf>
    <xf numFmtId="179" fontId="16" fillId="8" borderId="17" xfId="0" applyNumberFormat="1" applyFont="1" applyFill="1" applyBorder="1" applyAlignment="1">
      <alignment horizontal="right" vertical="center"/>
    </xf>
    <xf numFmtId="179" fontId="16" fillId="8" borderId="19" xfId="0" applyNumberFormat="1" applyFont="1" applyFill="1" applyBorder="1" applyAlignment="1">
      <alignment horizontal="right" vertical="center"/>
    </xf>
    <xf numFmtId="179" fontId="16" fillId="6" borderId="5" xfId="0" applyNumberFormat="1" applyFont="1" applyFill="1" applyBorder="1" applyAlignment="1" applyProtection="1">
      <alignment horizontal="right" vertical="center"/>
      <protection locked="0"/>
    </xf>
    <xf numFmtId="0" fontId="16" fillId="0" borderId="0" xfId="0" applyFont="1" applyAlignment="1">
      <alignment vertical="center"/>
    </xf>
    <xf numFmtId="174" fontId="16" fillId="0" borderId="0" xfId="0" applyNumberFormat="1" applyFont="1" applyAlignment="1">
      <alignment vertical="center"/>
    </xf>
    <xf numFmtId="180" fontId="16" fillId="0" borderId="17" xfId="0" applyNumberFormat="1" applyFont="1" applyBorder="1" applyAlignment="1">
      <alignment horizontal="right" vertical="center"/>
    </xf>
    <xf numFmtId="0" fontId="17" fillId="0" borderId="12" xfId="0" applyFont="1" applyBorder="1" applyAlignment="1" applyProtection="1">
      <alignment vertical="center"/>
      <protection locked="0"/>
    </xf>
    <xf numFmtId="169" fontId="17" fillId="0" borderId="12" xfId="0" applyNumberFormat="1" applyFont="1" applyBorder="1" applyAlignment="1" applyProtection="1">
      <alignment horizontal="left" vertical="center"/>
      <protection locked="0"/>
    </xf>
    <xf numFmtId="0" fontId="19" fillId="0" borderId="12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169" fontId="19" fillId="0" borderId="12" xfId="0" applyNumberFormat="1" applyFont="1" applyBorder="1" applyAlignment="1">
      <alignment vertical="center"/>
    </xf>
    <xf numFmtId="169" fontId="17" fillId="0" borderId="0" xfId="0" applyNumberFormat="1" applyFont="1" applyAlignment="1">
      <alignment horizontal="center" vertical="center"/>
    </xf>
    <xf numFmtId="169" fontId="17" fillId="0" borderId="6" xfId="0" applyNumberFormat="1" applyFont="1" applyBorder="1" applyAlignment="1">
      <alignment horizontal="center" vertical="center"/>
    </xf>
    <xf numFmtId="174" fontId="31" fillId="0" borderId="22" xfId="0" applyNumberFormat="1" applyFont="1" applyBorder="1" applyAlignment="1">
      <alignment horizontal="left" vertical="center"/>
    </xf>
    <xf numFmtId="174" fontId="16" fillId="0" borderId="0" xfId="0" applyNumberFormat="1" applyFont="1" applyAlignment="1">
      <alignment horizontal="centerContinuous" vertical="center"/>
    </xf>
    <xf numFmtId="174" fontId="31" fillId="0" borderId="0" xfId="0" applyNumberFormat="1" applyFont="1" applyAlignment="1">
      <alignment horizontal="left" vertical="center"/>
    </xf>
    <xf numFmtId="0" fontId="19" fillId="0" borderId="22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 applyProtection="1">
      <alignment vertical="center"/>
      <protection locked="0"/>
    </xf>
    <xf numFmtId="0" fontId="17" fillId="0" borderId="23" xfId="0" applyFont="1" applyBorder="1" applyAlignment="1" applyProtection="1">
      <alignment vertical="center"/>
      <protection locked="0"/>
    </xf>
    <xf numFmtId="0" fontId="17" fillId="0" borderId="23" xfId="0" applyFont="1" applyBorder="1" applyAlignment="1">
      <alignment vertical="center"/>
    </xf>
    <xf numFmtId="175" fontId="26" fillId="0" borderId="0" xfId="0" applyNumberFormat="1" applyFont="1" applyAlignment="1" applyProtection="1">
      <alignment horizontal="center" vertical="center"/>
      <protection locked="0"/>
    </xf>
    <xf numFmtId="0" fontId="16" fillId="0" borderId="23" xfId="0" applyFont="1" applyBorder="1" applyAlignment="1">
      <alignment vertical="center"/>
    </xf>
    <xf numFmtId="0" fontId="16" fillId="0" borderId="22" xfId="0" applyFont="1" applyBorder="1" applyAlignment="1">
      <alignment vertical="center"/>
    </xf>
    <xf numFmtId="0" fontId="17" fillId="0" borderId="24" xfId="0" applyFont="1" applyBorder="1" applyAlignment="1">
      <alignment horizontal="center" vertical="center"/>
    </xf>
    <xf numFmtId="0" fontId="19" fillId="0" borderId="29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169" fontId="16" fillId="0" borderId="0" xfId="0" applyNumberFormat="1" applyFont="1" applyAlignment="1">
      <alignment vertical="center"/>
    </xf>
    <xf numFmtId="0" fontId="16" fillId="0" borderId="22" xfId="0" applyFont="1" applyBorder="1" applyAlignment="1">
      <alignment horizontal="left" vertical="center"/>
    </xf>
    <xf numFmtId="169" fontId="16" fillId="0" borderId="23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71" fontId="17" fillId="0" borderId="0" xfId="0" applyNumberFormat="1" applyFont="1" applyAlignment="1" applyProtection="1">
      <alignment vertical="center"/>
      <protection locked="0"/>
    </xf>
    <xf numFmtId="171" fontId="16" fillId="0" borderId="0" xfId="0" applyNumberFormat="1" applyFont="1" applyAlignment="1" applyProtection="1">
      <alignment vertical="center"/>
      <protection locked="0"/>
    </xf>
    <xf numFmtId="179" fontId="16" fillId="0" borderId="17" xfId="0" applyNumberFormat="1" applyFont="1" applyBorder="1" applyAlignment="1">
      <alignment horizontal="right" vertical="center"/>
    </xf>
    <xf numFmtId="179" fontId="16" fillId="0" borderId="17" xfId="0" applyNumberFormat="1" applyFont="1" applyBorder="1" applyAlignment="1" applyProtection="1">
      <alignment horizontal="right" vertical="center"/>
      <protection locked="0"/>
    </xf>
    <xf numFmtId="179" fontId="16" fillId="0" borderId="18" xfId="0" applyNumberFormat="1" applyFont="1" applyBorder="1" applyAlignment="1" applyProtection="1">
      <alignment horizontal="right" vertical="center"/>
      <protection locked="0"/>
    </xf>
    <xf numFmtId="0" fontId="18" fillId="0" borderId="0" xfId="0" applyFont="1" applyAlignment="1" applyProtection="1">
      <alignment vertical="center"/>
      <protection locked="0"/>
    </xf>
    <xf numFmtId="179" fontId="16" fillId="0" borderId="26" xfId="0" applyNumberFormat="1" applyFont="1" applyBorder="1" applyAlignment="1">
      <alignment horizontal="right" vertical="center"/>
    </xf>
    <xf numFmtId="179" fontId="16" fillId="0" borderId="28" xfId="0" applyNumberFormat="1" applyFont="1" applyBorder="1" applyAlignment="1">
      <alignment horizontal="right" vertical="center"/>
    </xf>
    <xf numFmtId="179" fontId="16" fillId="0" borderId="28" xfId="0" applyNumberFormat="1" applyFont="1" applyBorder="1" applyAlignment="1" applyProtection="1">
      <alignment horizontal="right" vertical="center"/>
      <protection locked="0"/>
    </xf>
    <xf numFmtId="0" fontId="10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172" fontId="16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Continuous"/>
    </xf>
    <xf numFmtId="0" fontId="12" fillId="0" borderId="0" xfId="0" applyFont="1" applyAlignment="1" applyProtection="1">
      <alignment horizontal="centerContinuous"/>
      <protection locked="0"/>
    </xf>
    <xf numFmtId="0" fontId="13" fillId="0" borderId="0" xfId="0" applyFont="1"/>
    <xf numFmtId="0" fontId="13" fillId="0" borderId="0" xfId="0" applyFont="1" applyProtection="1">
      <protection locked="0"/>
    </xf>
    <xf numFmtId="0" fontId="12" fillId="0" borderId="0" xfId="0" applyFont="1" applyAlignment="1" applyProtection="1">
      <alignment horizontal="right"/>
      <protection locked="0"/>
    </xf>
    <xf numFmtId="39" fontId="12" fillId="0" borderId="0" xfId="0" applyNumberFormat="1" applyFont="1"/>
    <xf numFmtId="0" fontId="12" fillId="0" borderId="0" xfId="0" applyFont="1" applyAlignment="1" applyProtection="1">
      <alignment horizontal="left"/>
      <protection locked="0"/>
    </xf>
    <xf numFmtId="167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67" fontId="13" fillId="0" borderId="0" xfId="0" applyNumberFormat="1" applyFont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167" fontId="12" fillId="0" borderId="0" xfId="0" applyNumberFormat="1" applyFont="1" applyAlignment="1" applyProtection="1">
      <alignment horizontal="right"/>
      <protection locked="0"/>
    </xf>
    <xf numFmtId="174" fontId="12" fillId="0" borderId="0" xfId="0" applyNumberFormat="1" applyFont="1"/>
    <xf numFmtId="167" fontId="13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167" fontId="12" fillId="0" borderId="0" xfId="0" applyNumberFormat="1" applyFont="1"/>
    <xf numFmtId="0" fontId="12" fillId="0" borderId="0" xfId="0" applyFont="1" applyAlignment="1" applyProtection="1">
      <alignment horizontal="center"/>
      <protection locked="0"/>
    </xf>
    <xf numFmtId="0" fontId="9" fillId="0" borderId="0" xfId="0" applyFont="1"/>
    <xf numFmtId="171" fontId="13" fillId="0" borderId="0" xfId="0" applyNumberFormat="1" applyFont="1" applyProtection="1">
      <protection locked="0"/>
    </xf>
    <xf numFmtId="0" fontId="33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Protection="1">
      <protection locked="0"/>
    </xf>
    <xf numFmtId="0" fontId="5" fillId="0" borderId="0" xfId="0" applyFont="1" applyProtection="1">
      <protection locked="0"/>
    </xf>
    <xf numFmtId="166" fontId="9" fillId="0" borderId="0" xfId="0" applyNumberFormat="1" applyFont="1" applyProtection="1">
      <protection locked="0"/>
    </xf>
    <xf numFmtId="0" fontId="7" fillId="0" borderId="4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15" fillId="0" borderId="0" xfId="0" applyFont="1"/>
    <xf numFmtId="0" fontId="7" fillId="0" borderId="4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80" fontId="9" fillId="0" borderId="45" xfId="2" applyNumberFormat="1" applyFont="1" applyFill="1" applyBorder="1" applyAlignment="1" applyProtection="1">
      <alignment horizontal="center" vertical="center"/>
      <protection locked="0"/>
    </xf>
    <xf numFmtId="0" fontId="7" fillId="0" borderId="46" xfId="0" applyFont="1" applyBorder="1" applyAlignment="1">
      <alignment horizontal="center" vertical="center"/>
    </xf>
    <xf numFmtId="49" fontId="7" fillId="0" borderId="46" xfId="0" applyNumberFormat="1" applyFont="1" applyBorder="1" applyAlignment="1" applyProtection="1">
      <alignment horizontal="center" vertical="center"/>
      <protection locked="0"/>
    </xf>
    <xf numFmtId="180" fontId="9" fillId="0" borderId="47" xfId="2" applyNumberFormat="1" applyFont="1" applyFill="1" applyBorder="1" applyAlignment="1" applyProtection="1">
      <alignment horizontal="center" vertical="center"/>
      <protection locked="0"/>
    </xf>
    <xf numFmtId="49" fontId="7" fillId="0" borderId="42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180" fontId="7" fillId="0" borderId="45" xfId="0" applyNumberFormat="1" applyFont="1" applyBorder="1" applyAlignment="1" applyProtection="1">
      <alignment horizontal="center" vertical="center"/>
      <protection locked="0"/>
    </xf>
    <xf numFmtId="49" fontId="7" fillId="0" borderId="50" xfId="0" applyNumberFormat="1" applyFont="1" applyBorder="1" applyAlignment="1" applyProtection="1">
      <alignment horizontal="center" vertical="center"/>
      <protection locked="0"/>
    </xf>
    <xf numFmtId="180" fontId="7" fillId="0" borderId="48" xfId="0" applyNumberFormat="1" applyFont="1" applyBorder="1" applyAlignment="1" applyProtection="1">
      <alignment horizontal="center" vertical="center"/>
      <protection locked="0"/>
    </xf>
    <xf numFmtId="0" fontId="6" fillId="8" borderId="44" xfId="0" applyFont="1" applyFill="1" applyBorder="1" applyAlignment="1">
      <alignment horizontal="center" vertical="center"/>
    </xf>
    <xf numFmtId="0" fontId="6" fillId="8" borderId="43" xfId="0" applyFont="1" applyFill="1" applyBorder="1" applyAlignment="1">
      <alignment horizontal="center" vertical="center"/>
    </xf>
    <xf numFmtId="0" fontId="6" fillId="8" borderId="49" xfId="0" applyFont="1" applyFill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77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/>
    </xf>
    <xf numFmtId="0" fontId="36" fillId="0" borderId="0" xfId="0" applyFont="1"/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172" fontId="6" fillId="8" borderId="43" xfId="0" applyNumberFormat="1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180" fontId="6" fillId="0" borderId="4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6" fillId="0" borderId="0" xfId="0" applyFont="1" applyAlignment="1" applyProtection="1">
      <alignment vertical="center"/>
      <protection locked="0"/>
    </xf>
    <xf numFmtId="166" fontId="7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>
      <alignment horizontal="right" vertical="center"/>
    </xf>
    <xf numFmtId="180" fontId="6" fillId="0" borderId="52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7" fillId="0" borderId="0" xfId="0" applyFont="1" applyAlignment="1">
      <alignment horizontal="right" vertical="center"/>
    </xf>
    <xf numFmtId="172" fontId="12" fillId="0" borderId="0" xfId="0" applyNumberFormat="1" applyFont="1" applyAlignment="1">
      <alignment vertical="center"/>
    </xf>
    <xf numFmtId="0" fontId="6" fillId="0" borderId="46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49" fontId="5" fillId="0" borderId="0" xfId="0" applyNumberFormat="1" applyFont="1" applyAlignment="1">
      <alignment horizontal="right"/>
    </xf>
    <xf numFmtId="0" fontId="6" fillId="0" borderId="50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11" fillId="0" borderId="0" xfId="0" applyFont="1"/>
    <xf numFmtId="180" fontId="6" fillId="0" borderId="48" xfId="0" applyNumberFormat="1" applyFont="1" applyBorder="1" applyAlignment="1" applyProtection="1">
      <alignment horizontal="center" vertical="center"/>
      <protection locked="0"/>
    </xf>
    <xf numFmtId="180" fontId="6" fillId="0" borderId="45" xfId="0" applyNumberFormat="1" applyFont="1" applyBorder="1" applyAlignment="1" applyProtection="1">
      <alignment horizontal="center" vertical="center"/>
      <protection locked="0"/>
    </xf>
    <xf numFmtId="180" fontId="6" fillId="0" borderId="47" xfId="0" applyNumberFormat="1" applyFont="1" applyBorder="1" applyAlignment="1" applyProtection="1">
      <alignment horizontal="center" vertical="center"/>
      <protection locked="0"/>
    </xf>
    <xf numFmtId="49" fontId="43" fillId="0" borderId="55" xfId="0" applyNumberFormat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80" fontId="9" fillId="0" borderId="49" xfId="2" applyNumberFormat="1" applyFont="1" applyFill="1" applyBorder="1" applyAlignment="1" applyProtection="1">
      <alignment horizontal="center" vertical="center"/>
    </xf>
    <xf numFmtId="179" fontId="24" fillId="0" borderId="19" xfId="0" applyNumberFormat="1" applyFont="1" applyBorder="1" applyAlignment="1">
      <alignment horizontal="right" vertical="center"/>
    </xf>
    <xf numFmtId="0" fontId="4" fillId="0" borderId="42" xfId="0" applyFont="1" applyBorder="1" applyAlignment="1">
      <alignment horizontal="center" vertical="center"/>
    </xf>
    <xf numFmtId="0" fontId="4" fillId="3" borderId="0" xfId="0" applyFont="1" applyFill="1"/>
    <xf numFmtId="49" fontId="4" fillId="0" borderId="42" xfId="0" applyNumberFormat="1" applyFont="1" applyBorder="1" applyAlignment="1" applyProtection="1">
      <alignment horizontal="center" vertical="center"/>
      <protection locked="0"/>
    </xf>
    <xf numFmtId="180" fontId="4" fillId="0" borderId="45" xfId="0" applyNumberFormat="1" applyFont="1" applyBorder="1" applyAlignment="1" applyProtection="1">
      <alignment horizontal="center" vertical="center"/>
      <protection locked="0"/>
    </xf>
    <xf numFmtId="180" fontId="0" fillId="0" borderId="0" xfId="0" applyNumberFormat="1"/>
    <xf numFmtId="180" fontId="8" fillId="0" borderId="45" xfId="2" applyNumberFormat="1" applyFont="1" applyFill="1" applyBorder="1" applyAlignment="1" applyProtection="1">
      <alignment horizontal="center" vertical="center"/>
      <protection locked="0"/>
    </xf>
    <xf numFmtId="0" fontId="4" fillId="0" borderId="40" xfId="0" applyFont="1" applyBorder="1" applyAlignment="1">
      <alignment horizontal="center" vertical="center"/>
    </xf>
    <xf numFmtId="180" fontId="8" fillId="0" borderId="48" xfId="2" applyNumberFormat="1" applyFont="1" applyFill="1" applyBorder="1" applyAlignment="1" applyProtection="1">
      <alignment horizontal="center" vertical="center"/>
      <protection locked="0"/>
    </xf>
    <xf numFmtId="49" fontId="4" fillId="0" borderId="40" xfId="0" applyNumberFormat="1" applyFont="1" applyBorder="1" applyAlignment="1">
      <alignment horizontal="center" vertical="center"/>
    </xf>
    <xf numFmtId="0" fontId="40" fillId="3" borderId="0" xfId="0" applyFont="1" applyFill="1"/>
    <xf numFmtId="180" fontId="14" fillId="0" borderId="45" xfId="0" applyNumberFormat="1" applyFont="1" applyBorder="1" applyAlignment="1" applyProtection="1">
      <alignment horizontal="center" vertical="center"/>
      <protection locked="0"/>
    </xf>
    <xf numFmtId="0" fontId="4" fillId="0" borderId="55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41" fillId="0" borderId="0" xfId="0" applyFont="1"/>
    <xf numFmtId="0" fontId="42" fillId="0" borderId="0" xfId="0" applyFont="1"/>
    <xf numFmtId="0" fontId="41" fillId="0" borderId="0" xfId="0" applyFont="1" applyAlignment="1">
      <alignment vertical="center"/>
    </xf>
    <xf numFmtId="0" fontId="40" fillId="0" borderId="0" xfId="0" applyFont="1"/>
    <xf numFmtId="0" fontId="7" fillId="0" borderId="42" xfId="0" applyFont="1" applyBorder="1" applyAlignment="1" applyProtection="1">
      <alignment horizontal="center" vertical="center"/>
      <protection locked="0"/>
    </xf>
    <xf numFmtId="0" fontId="4" fillId="0" borderId="46" xfId="0" applyFont="1" applyBorder="1" applyAlignment="1">
      <alignment horizontal="center" vertical="center"/>
    </xf>
    <xf numFmtId="49" fontId="4" fillId="0" borderId="46" xfId="0" applyNumberFormat="1" applyFont="1" applyBorder="1" applyAlignment="1" applyProtection="1">
      <alignment horizontal="center" vertical="center"/>
      <protection locked="0"/>
    </xf>
    <xf numFmtId="180" fontId="4" fillId="0" borderId="47" xfId="0" applyNumberFormat="1" applyFont="1" applyBorder="1" applyAlignment="1" applyProtection="1">
      <alignment horizontal="center" vertical="center"/>
      <protection locked="0"/>
    </xf>
    <xf numFmtId="179" fontId="46" fillId="10" borderId="17" xfId="0" applyNumberFormat="1" applyFont="1" applyFill="1" applyBorder="1" applyAlignment="1">
      <alignment horizontal="right" vertical="center"/>
    </xf>
    <xf numFmtId="179" fontId="44" fillId="0" borderId="4" xfId="0" applyNumberFormat="1" applyFont="1" applyBorder="1" applyAlignment="1">
      <alignment horizontal="right" vertical="center"/>
    </xf>
    <xf numFmtId="179" fontId="44" fillId="0" borderId="30" xfId="0" applyNumberFormat="1" applyFont="1" applyBorder="1" applyAlignment="1" applyProtection="1">
      <alignment horizontal="right" vertical="center"/>
      <protection locked="0"/>
    </xf>
    <xf numFmtId="179" fontId="44" fillId="0" borderId="30" xfId="0" applyNumberFormat="1" applyFont="1" applyBorder="1" applyAlignment="1">
      <alignment horizontal="right" vertical="center"/>
    </xf>
    <xf numFmtId="179" fontId="44" fillId="0" borderId="31" xfId="0" applyNumberFormat="1" applyFont="1" applyBorder="1" applyAlignment="1">
      <alignment horizontal="right" vertical="center"/>
    </xf>
    <xf numFmtId="0" fontId="26" fillId="9" borderId="0" xfId="0" applyFont="1" applyFill="1" applyAlignment="1" applyProtection="1">
      <alignment horizontal="center" vertical="center"/>
      <protection locked="0"/>
    </xf>
    <xf numFmtId="0" fontId="44" fillId="0" borderId="22" xfId="0" applyFont="1" applyBorder="1" applyAlignment="1">
      <alignment vertical="center"/>
    </xf>
    <xf numFmtId="0" fontId="44" fillId="0" borderId="0" xfId="0" applyFont="1" applyAlignment="1">
      <alignment vertical="center"/>
    </xf>
    <xf numFmtId="0" fontId="44" fillId="0" borderId="34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5" fillId="0" borderId="35" xfId="0" applyFont="1" applyBorder="1" applyAlignment="1">
      <alignment vertical="center"/>
    </xf>
    <xf numFmtId="0" fontId="44" fillId="0" borderId="56" xfId="0" applyFont="1" applyBorder="1" applyAlignment="1">
      <alignment vertical="center"/>
    </xf>
    <xf numFmtId="0" fontId="44" fillId="0" borderId="59" xfId="0" applyFont="1" applyBorder="1" applyAlignment="1">
      <alignment vertical="center"/>
    </xf>
    <xf numFmtId="0" fontId="26" fillId="0" borderId="0" xfId="0" applyFont="1" applyAlignment="1" applyProtection="1">
      <alignment horizontal="center" vertical="center"/>
      <protection locked="0"/>
    </xf>
    <xf numFmtId="0" fontId="19" fillId="0" borderId="22" xfId="0" applyFont="1" applyBorder="1" applyAlignment="1">
      <alignment horizontal="right" vertical="center"/>
    </xf>
    <xf numFmtId="0" fontId="48" fillId="0" borderId="22" xfId="0" applyFont="1" applyBorder="1" applyAlignment="1">
      <alignment vertical="center"/>
    </xf>
    <xf numFmtId="0" fontId="46" fillId="0" borderId="0" xfId="0" applyFont="1" applyAlignment="1">
      <alignment horizontal="right" vertical="center"/>
    </xf>
    <xf numFmtId="0" fontId="4" fillId="0" borderId="41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1" xfId="0" applyFont="1" applyBorder="1" applyAlignment="1" applyProtection="1">
      <alignment horizontal="center" vertical="center"/>
      <protection locked="0"/>
    </xf>
    <xf numFmtId="180" fontId="6" fillId="0" borderId="62" xfId="0" applyNumberFormat="1" applyFont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right" vertical="center"/>
    </xf>
    <xf numFmtId="14" fontId="26" fillId="0" borderId="0" xfId="0" applyNumberFormat="1" applyFont="1" applyAlignment="1" applyProtection="1">
      <alignment horizontal="center" vertical="center"/>
      <protection locked="0"/>
    </xf>
    <xf numFmtId="175" fontId="18" fillId="0" borderId="0" xfId="0" applyNumberFormat="1" applyFont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0" fontId="18" fillId="0" borderId="23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3" fontId="18" fillId="0" borderId="0" xfId="2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169" fontId="46" fillId="0" borderId="0" xfId="0" applyNumberFormat="1" applyFont="1" applyAlignment="1">
      <alignment horizontal="center" vertical="center"/>
    </xf>
    <xf numFmtId="179" fontId="46" fillId="0" borderId="33" xfId="0" applyNumberFormat="1" applyFont="1" applyBorder="1" applyAlignment="1">
      <alignment horizontal="right" vertical="center"/>
    </xf>
    <xf numFmtId="15" fontId="18" fillId="0" borderId="0" xfId="0" applyNumberFormat="1" applyFont="1" applyAlignment="1" applyProtection="1">
      <alignment horizontal="center" vertical="center"/>
      <protection locked="0"/>
    </xf>
    <xf numFmtId="174" fontId="19" fillId="0" borderId="2" xfId="0" applyNumberFormat="1" applyFont="1" applyBorder="1" applyAlignment="1">
      <alignment horizontal="right" vertical="center"/>
    </xf>
    <xf numFmtId="180" fontId="19" fillId="0" borderId="2" xfId="0" applyNumberFormat="1" applyFont="1" applyBorder="1" applyAlignment="1" applyProtection="1">
      <alignment horizontal="right" vertical="center"/>
      <protection locked="0"/>
    </xf>
    <xf numFmtId="175" fontId="19" fillId="0" borderId="2" xfId="0" applyNumberFormat="1" applyFont="1" applyBorder="1" applyAlignment="1" applyProtection="1">
      <alignment horizontal="right" vertical="center"/>
      <protection locked="0"/>
    </xf>
    <xf numFmtId="175" fontId="19" fillId="0" borderId="2" xfId="0" applyNumberFormat="1" applyFont="1" applyBorder="1" applyAlignment="1" applyProtection="1">
      <alignment horizontal="left" vertical="center"/>
      <protection locked="0"/>
    </xf>
    <xf numFmtId="174" fontId="19" fillId="0" borderId="1" xfId="0" applyNumberFormat="1" applyFont="1" applyBorder="1" applyAlignment="1">
      <alignment horizontal="right" vertical="center"/>
    </xf>
    <xf numFmtId="180" fontId="19" fillId="0" borderId="1" xfId="0" applyNumberFormat="1" applyFont="1" applyBorder="1" applyAlignment="1" applyProtection="1">
      <alignment horizontal="right" vertical="center"/>
      <protection locked="0"/>
    </xf>
    <xf numFmtId="175" fontId="19" fillId="0" borderId="1" xfId="0" applyNumberFormat="1" applyFont="1" applyBorder="1" applyAlignment="1" applyProtection="1">
      <alignment horizontal="right" vertical="center"/>
      <protection locked="0"/>
    </xf>
    <xf numFmtId="0" fontId="19" fillId="0" borderId="1" xfId="0" applyFont="1" applyBorder="1" applyAlignment="1">
      <alignment horizontal="left" vertical="center"/>
    </xf>
    <xf numFmtId="175" fontId="19" fillId="0" borderId="1" xfId="0" applyNumberFormat="1" applyFont="1" applyBorder="1" applyAlignment="1" applyProtection="1">
      <alignment horizontal="left" vertical="center"/>
      <protection locked="0"/>
    </xf>
    <xf numFmtId="0" fontId="19" fillId="0" borderId="1" xfId="0" applyFont="1" applyBorder="1" applyAlignment="1">
      <alignment horizontal="right" vertical="center"/>
    </xf>
    <xf numFmtId="0" fontId="18" fillId="0" borderId="1" xfId="0" applyFont="1" applyBorder="1" applyAlignment="1" applyProtection="1">
      <alignment horizontal="left" vertical="center"/>
      <protection locked="0"/>
    </xf>
    <xf numFmtId="167" fontId="18" fillId="0" borderId="1" xfId="0" applyNumberFormat="1" applyFont="1" applyBorder="1" applyAlignment="1" applyProtection="1">
      <alignment horizontal="left" vertical="center"/>
      <protection locked="0"/>
    </xf>
    <xf numFmtId="0" fontId="19" fillId="0" borderId="1" xfId="0" applyFont="1" applyBorder="1" applyAlignment="1" applyProtection="1">
      <alignment horizontal="right" vertical="center"/>
      <protection locked="0"/>
    </xf>
    <xf numFmtId="175" fontId="19" fillId="0" borderId="1" xfId="0" applyNumberFormat="1" applyFont="1" applyBorder="1" applyAlignment="1">
      <alignment horizontal="right" vertical="center"/>
    </xf>
    <xf numFmtId="174" fontId="19" fillId="0" borderId="1" xfId="0" applyNumberFormat="1" applyFont="1" applyBorder="1" applyAlignment="1">
      <alignment horizontal="left" vertical="center"/>
    </xf>
    <xf numFmtId="0" fontId="19" fillId="0" borderId="14" xfId="0" applyFont="1" applyBorder="1" applyAlignment="1" applyProtection="1">
      <alignment horizontal="left" vertical="center"/>
      <protection locked="0"/>
    </xf>
    <xf numFmtId="0" fontId="19" fillId="0" borderId="25" xfId="0" applyFont="1" applyBorder="1" applyAlignment="1">
      <alignment horizontal="left" vertical="center" indent="1"/>
    </xf>
    <xf numFmtId="0" fontId="19" fillId="0" borderId="2" xfId="0" applyFont="1" applyBorder="1" applyAlignment="1">
      <alignment horizontal="right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 applyProtection="1">
      <alignment horizontal="left" vertical="center"/>
      <protection locked="0"/>
    </xf>
    <xf numFmtId="173" fontId="19" fillId="0" borderId="1" xfId="0" applyNumberFormat="1" applyFont="1" applyBorder="1" applyAlignment="1">
      <alignment horizontal="center" vertical="center"/>
    </xf>
    <xf numFmtId="173" fontId="19" fillId="0" borderId="1" xfId="0" applyNumberFormat="1" applyFont="1" applyBorder="1" applyAlignment="1">
      <alignment vertical="center"/>
    </xf>
    <xf numFmtId="173" fontId="19" fillId="0" borderId="39" xfId="0" applyNumberFormat="1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39" xfId="0" applyFont="1" applyBorder="1" applyAlignment="1">
      <alignment horizontal="left" vertical="center"/>
    </xf>
    <xf numFmtId="0" fontId="19" fillId="0" borderId="22" xfId="0" applyFont="1" applyBorder="1" applyAlignment="1">
      <alignment horizontal="right" vertical="top"/>
    </xf>
    <xf numFmtId="0" fontId="26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right" vertical="top"/>
    </xf>
    <xf numFmtId="0" fontId="19" fillId="0" borderId="63" xfId="0" applyFont="1" applyBorder="1" applyAlignment="1">
      <alignment horizontal="right" vertical="center"/>
    </xf>
    <xf numFmtId="0" fontId="19" fillId="0" borderId="63" xfId="0" applyFont="1" applyBorder="1" applyAlignment="1">
      <alignment horizontal="center" vertical="center"/>
    </xf>
    <xf numFmtId="0" fontId="19" fillId="0" borderId="63" xfId="0" applyFont="1" applyBorder="1" applyAlignment="1">
      <alignment horizontal="left" vertical="center"/>
    </xf>
    <xf numFmtId="0" fontId="16" fillId="0" borderId="56" xfId="0" applyFont="1" applyBorder="1" applyAlignment="1">
      <alignment vertical="center"/>
    </xf>
    <xf numFmtId="0" fontId="4" fillId="0" borderId="0" xfId="3" applyFont="1"/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/>
    </xf>
    <xf numFmtId="0" fontId="43" fillId="0" borderId="0" xfId="3" applyFont="1" applyAlignment="1">
      <alignment horizontal="center" vertical="center"/>
    </xf>
    <xf numFmtId="170" fontId="58" fillId="9" borderId="0" xfId="8" applyNumberFormat="1" applyFont="1" applyFill="1" applyBorder="1" applyAlignment="1">
      <alignment vertical="center"/>
    </xf>
    <xf numFmtId="0" fontId="11" fillId="0" borderId="0" xfId="3" applyFont="1" applyAlignment="1">
      <alignment horizontal="center"/>
    </xf>
    <xf numFmtId="0" fontId="11" fillId="0" borderId="0" xfId="3" applyFont="1" applyAlignment="1">
      <alignment horizontal="right"/>
    </xf>
    <xf numFmtId="15" fontId="13" fillId="0" borderId="0" xfId="3" applyNumberFormat="1" applyFont="1" applyAlignment="1">
      <alignment horizontal="center"/>
    </xf>
    <xf numFmtId="0" fontId="63" fillId="0" borderId="0" xfId="3" applyFont="1"/>
    <xf numFmtId="0" fontId="14" fillId="9" borderId="67" xfId="3" applyFont="1" applyFill="1" applyBorder="1" applyAlignment="1">
      <alignment horizontal="center" vertical="center"/>
    </xf>
    <xf numFmtId="0" fontId="14" fillId="9" borderId="68" xfId="3" applyFont="1" applyFill="1" applyBorder="1" applyAlignment="1">
      <alignment horizontal="center" vertical="center"/>
    </xf>
    <xf numFmtId="0" fontId="14" fillId="9" borderId="68" xfId="3" applyFont="1" applyFill="1" applyBorder="1" applyAlignment="1">
      <alignment horizontal="center" vertical="center" wrapText="1"/>
    </xf>
    <xf numFmtId="0" fontId="14" fillId="9" borderId="66" xfId="3" applyFont="1" applyFill="1" applyBorder="1" applyAlignment="1">
      <alignment horizontal="center" vertical="center" wrapText="1"/>
    </xf>
    <xf numFmtId="0" fontId="14" fillId="9" borderId="69" xfId="3" applyFont="1" applyFill="1" applyBorder="1" applyAlignment="1">
      <alignment horizontal="center" vertical="center" wrapText="1"/>
    </xf>
    <xf numFmtId="4" fontId="61" fillId="9" borderId="71" xfId="3" applyNumberFormat="1" applyFont="1" applyFill="1" applyBorder="1" applyAlignment="1">
      <alignment horizontal="center" vertical="center"/>
    </xf>
    <xf numFmtId="4" fontId="62" fillId="6" borderId="72" xfId="3" applyNumberFormat="1" applyFont="1" applyFill="1" applyBorder="1" applyAlignment="1">
      <alignment horizontal="center" vertical="center"/>
    </xf>
    <xf numFmtId="0" fontId="14" fillId="9" borderId="57" xfId="3" applyFont="1" applyFill="1" applyBorder="1" applyAlignment="1">
      <alignment horizontal="center" vertical="center" wrapText="1"/>
    </xf>
    <xf numFmtId="0" fontId="14" fillId="9" borderId="74" xfId="3" applyFont="1" applyFill="1" applyBorder="1" applyAlignment="1">
      <alignment horizontal="center" vertical="center"/>
    </xf>
    <xf numFmtId="170" fontId="51" fillId="0" borderId="57" xfId="8" applyNumberFormat="1" applyFont="1" applyFill="1" applyBorder="1" applyAlignment="1">
      <alignment vertical="center"/>
    </xf>
    <xf numFmtId="0" fontId="64" fillId="9" borderId="57" xfId="3" applyFont="1" applyFill="1" applyBorder="1" applyAlignment="1">
      <alignment horizontal="center" vertical="center"/>
    </xf>
    <xf numFmtId="0" fontId="64" fillId="9" borderId="73" xfId="3" applyFont="1" applyFill="1" applyBorder="1" applyAlignment="1">
      <alignment horizontal="center" vertical="center"/>
    </xf>
    <xf numFmtId="165" fontId="14" fillId="9" borderId="57" xfId="3" applyNumberFormat="1" applyFont="1" applyFill="1" applyBorder="1" applyAlignment="1">
      <alignment horizontal="left" vertical="center" wrapText="1"/>
    </xf>
    <xf numFmtId="0" fontId="65" fillId="9" borderId="57" xfId="3" applyFont="1" applyFill="1" applyBorder="1" applyAlignment="1">
      <alignment horizontal="center" vertical="center"/>
    </xf>
    <xf numFmtId="0" fontId="64" fillId="9" borderId="75" xfId="3" applyFont="1" applyFill="1" applyBorder="1" applyAlignment="1">
      <alignment horizontal="center" vertical="center"/>
    </xf>
    <xf numFmtId="170" fontId="67" fillId="9" borderId="57" xfId="8" applyNumberFormat="1" applyFont="1" applyFill="1" applyBorder="1" applyAlignment="1">
      <alignment vertical="center"/>
    </xf>
    <xf numFmtId="0" fontId="66" fillId="9" borderId="57" xfId="3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59" fillId="0" borderId="34" xfId="3" applyFont="1" applyBorder="1" applyAlignment="1">
      <alignment horizontal="right" vertical="center"/>
    </xf>
    <xf numFmtId="0" fontId="59" fillId="0" borderId="65" xfId="3" applyFont="1" applyBorder="1" applyAlignment="1">
      <alignment horizontal="right" vertical="center"/>
    </xf>
    <xf numFmtId="0" fontId="59" fillId="0" borderId="70" xfId="3" applyFont="1" applyBorder="1" applyAlignment="1">
      <alignment horizontal="right" vertical="center"/>
    </xf>
    <xf numFmtId="0" fontId="60" fillId="9" borderId="65" xfId="3" applyFont="1" applyFill="1" applyBorder="1" applyAlignment="1">
      <alignment horizontal="center"/>
    </xf>
    <xf numFmtId="0" fontId="14" fillId="9" borderId="68" xfId="3" applyFont="1" applyFill="1" applyBorder="1" applyAlignment="1">
      <alignment horizontal="center" vertical="center"/>
    </xf>
    <xf numFmtId="0" fontId="11" fillId="0" borderId="0" xfId="3" applyFont="1" applyAlignment="1">
      <alignment horizontal="center"/>
    </xf>
    <xf numFmtId="0" fontId="65" fillId="9" borderId="57" xfId="3" applyFont="1" applyFill="1" applyBorder="1" applyAlignment="1">
      <alignment horizontal="center" vertical="center" wrapText="1"/>
    </xf>
    <xf numFmtId="0" fontId="66" fillId="9" borderId="57" xfId="3" applyFont="1" applyFill="1" applyBorder="1" applyAlignment="1">
      <alignment horizontal="center" vertical="center" wrapText="1"/>
    </xf>
    <xf numFmtId="0" fontId="49" fillId="0" borderId="35" xfId="0" applyFont="1" applyBorder="1" applyAlignment="1">
      <alignment horizontal="center" vertical="center"/>
    </xf>
    <xf numFmtId="175" fontId="49" fillId="0" borderId="35" xfId="0" applyNumberFormat="1" applyFont="1" applyBorder="1" applyAlignment="1">
      <alignment horizontal="center" vertical="center"/>
    </xf>
    <xf numFmtId="175" fontId="49" fillId="0" borderId="36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27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32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22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9" fillId="0" borderId="23" xfId="0" applyFont="1" applyBorder="1" applyAlignment="1">
      <alignment horizontal="center" vertical="top" wrapText="1"/>
    </xf>
    <xf numFmtId="0" fontId="19" fillId="0" borderId="14" xfId="0" applyFont="1" applyBorder="1" applyAlignment="1" applyProtection="1">
      <alignment horizontal="left" vertical="center"/>
      <protection locked="0"/>
    </xf>
    <xf numFmtId="0" fontId="19" fillId="0" borderId="54" xfId="0" applyFont="1" applyBorder="1" applyAlignment="1" applyProtection="1">
      <alignment horizontal="left" vertical="center"/>
      <protection locked="0"/>
    </xf>
    <xf numFmtId="0" fontId="26" fillId="0" borderId="0" xfId="0" applyFont="1" applyAlignment="1" applyProtection="1">
      <alignment horizontal="center" vertical="top"/>
      <protection locked="0"/>
    </xf>
    <xf numFmtId="49" fontId="19" fillId="0" borderId="1" xfId="0" applyNumberFormat="1" applyFont="1" applyBorder="1" applyAlignment="1">
      <alignment horizontal="left" vertical="center"/>
    </xf>
    <xf numFmtId="49" fontId="19" fillId="0" borderId="39" xfId="0" applyNumberFormat="1" applyFont="1" applyBorder="1" applyAlignment="1">
      <alignment horizontal="left" vertical="center"/>
    </xf>
    <xf numFmtId="0" fontId="19" fillId="0" borderId="1" xfId="0" applyFont="1" applyBorder="1" applyAlignment="1" applyProtection="1">
      <alignment horizontal="left" vertical="center"/>
      <protection locked="0"/>
    </xf>
    <xf numFmtId="0" fontId="19" fillId="0" borderId="39" xfId="0" applyFont="1" applyBorder="1" applyAlignment="1" applyProtection="1">
      <alignment horizontal="left" vertical="center"/>
      <protection locked="0"/>
    </xf>
    <xf numFmtId="0" fontId="44" fillId="0" borderId="0" xfId="0" applyFont="1" applyAlignment="1">
      <alignment horizontal="right" vertical="center"/>
    </xf>
    <xf numFmtId="0" fontId="18" fillId="9" borderId="0" xfId="0" applyFont="1" applyFill="1" applyAlignment="1" applyProtection="1">
      <alignment horizontal="left" vertical="top"/>
      <protection locked="0"/>
    </xf>
    <xf numFmtId="0" fontId="18" fillId="9" borderId="23" xfId="0" applyFont="1" applyFill="1" applyBorder="1" applyAlignment="1" applyProtection="1">
      <alignment horizontal="left" vertical="top"/>
      <protection locked="0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39" xfId="0" applyNumberFormat="1" applyFont="1" applyBorder="1" applyAlignment="1" applyProtection="1">
      <alignment horizontal="center" vertical="center"/>
      <protection locked="0"/>
    </xf>
    <xf numFmtId="173" fontId="19" fillId="0" borderId="1" xfId="0" applyNumberFormat="1" applyFont="1" applyBorder="1" applyAlignment="1">
      <alignment horizontal="left" vertical="center"/>
    </xf>
    <xf numFmtId="173" fontId="19" fillId="0" borderId="39" xfId="0" applyNumberFormat="1" applyFont="1" applyBorder="1" applyAlignment="1">
      <alignment horizontal="left" vertical="center"/>
    </xf>
    <xf numFmtId="174" fontId="47" fillId="0" borderId="38" xfId="0" applyNumberFormat="1" applyFont="1" applyBorder="1" applyAlignment="1">
      <alignment horizontal="center" vertical="center"/>
    </xf>
    <xf numFmtId="174" fontId="47" fillId="0" borderId="37" xfId="0" applyNumberFormat="1" applyFont="1" applyBorder="1" applyAlignment="1">
      <alignment horizontal="center" vertical="center"/>
    </xf>
    <xf numFmtId="174" fontId="47" fillId="0" borderId="21" xfId="0" applyNumberFormat="1" applyFont="1" applyBorder="1" applyAlignment="1">
      <alignment horizontal="center" vertical="center"/>
    </xf>
    <xf numFmtId="0" fontId="19" fillId="0" borderId="2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39" xfId="0" applyFont="1" applyBorder="1" applyAlignment="1" applyProtection="1">
      <alignment horizontal="center" vertical="center"/>
      <protection locked="0"/>
    </xf>
    <xf numFmtId="173" fontId="23" fillId="2" borderId="1" xfId="0" applyNumberFormat="1" applyFont="1" applyFill="1" applyBorder="1" applyAlignment="1">
      <alignment horizontal="left" vertical="center"/>
    </xf>
    <xf numFmtId="173" fontId="23" fillId="2" borderId="39" xfId="0" applyNumberFormat="1" applyFont="1" applyFill="1" applyBorder="1" applyAlignment="1">
      <alignment horizontal="left" vertical="center"/>
    </xf>
    <xf numFmtId="174" fontId="20" fillId="7" borderId="0" xfId="0" applyNumberFormat="1" applyFont="1" applyFill="1" applyAlignment="1">
      <alignment horizontal="center" vertical="center"/>
    </xf>
    <xf numFmtId="0" fontId="23" fillId="2" borderId="1" xfId="0" applyFont="1" applyFill="1" applyBorder="1" applyAlignment="1" applyProtection="1">
      <alignment horizontal="left" vertical="center"/>
      <protection locked="0"/>
    </xf>
    <xf numFmtId="0" fontId="23" fillId="2" borderId="39" xfId="0" applyFont="1" applyFill="1" applyBorder="1" applyAlignment="1" applyProtection="1">
      <alignment horizontal="left" vertical="center"/>
      <protection locked="0"/>
    </xf>
    <xf numFmtId="174" fontId="34" fillId="7" borderId="0" xfId="0" applyNumberFormat="1" applyFont="1" applyFill="1" applyAlignment="1">
      <alignment horizontal="center" vertical="center"/>
    </xf>
    <xf numFmtId="0" fontId="23" fillId="2" borderId="14" xfId="0" applyFont="1" applyFill="1" applyBorder="1" applyAlignment="1" applyProtection="1">
      <alignment horizontal="left" vertical="center"/>
      <protection locked="0"/>
    </xf>
    <xf numFmtId="0" fontId="23" fillId="2" borderId="54" xfId="0" applyFont="1" applyFill="1" applyBorder="1" applyAlignment="1" applyProtection="1">
      <alignment horizontal="left" vertical="center"/>
      <protection locked="0"/>
    </xf>
    <xf numFmtId="0" fontId="23" fillId="2" borderId="1" xfId="0" applyFont="1" applyFill="1" applyBorder="1" applyAlignment="1">
      <alignment horizontal="left" vertical="center"/>
    </xf>
    <xf numFmtId="0" fontId="23" fillId="2" borderId="39" xfId="0" applyFont="1" applyFill="1" applyBorder="1" applyAlignment="1">
      <alignment horizontal="left" vertical="center"/>
    </xf>
    <xf numFmtId="0" fontId="26" fillId="2" borderId="0" xfId="0" applyFont="1" applyFill="1" applyAlignment="1" applyProtection="1">
      <alignment horizontal="center" vertical="center"/>
      <protection locked="0"/>
    </xf>
    <xf numFmtId="15" fontId="26" fillId="2" borderId="0" xfId="0" applyNumberFormat="1" applyFont="1" applyFill="1" applyAlignment="1" applyProtection="1">
      <alignment horizontal="center" vertical="center"/>
      <protection locked="0"/>
    </xf>
  </cellXfs>
  <cellStyles count="35">
    <cellStyle name="Calc Currency (0)" xfId="4" xr:uid="{00000000-0005-0000-0000-000000000000}"/>
    <cellStyle name="Comma 2" xfId="5" xr:uid="{00000000-0005-0000-0000-000001000000}"/>
    <cellStyle name="Comma 3" xfId="6" xr:uid="{00000000-0005-0000-0000-000002000000}"/>
    <cellStyle name="Currency" xfId="2" builtinId="4"/>
    <cellStyle name="Currency 2" xfId="8" xr:uid="{00000000-0005-0000-0000-000004000000}"/>
    <cellStyle name="Currency 2 2" xfId="9" xr:uid="{00000000-0005-0000-0000-000005000000}"/>
    <cellStyle name="Currency 3" xfId="10" xr:uid="{00000000-0005-0000-0000-000006000000}"/>
    <cellStyle name="Currency 4" xfId="7" xr:uid="{00000000-0005-0000-0000-000007000000}"/>
    <cellStyle name="Currency 4 2" xfId="28" xr:uid="{00000000-0005-0000-0000-000008000000}"/>
    <cellStyle name="entry" xfId="11" xr:uid="{00000000-0005-0000-0000-000009000000}"/>
    <cellStyle name="Header1" xfId="12" xr:uid="{00000000-0005-0000-0000-00000A000000}"/>
    <cellStyle name="Header2" xfId="13" xr:uid="{00000000-0005-0000-0000-00000B000000}"/>
    <cellStyle name="Normal" xfId="0" builtinId="0"/>
    <cellStyle name="Normal 2" xfId="14" xr:uid="{00000000-0005-0000-0000-00000D000000}"/>
    <cellStyle name="Normal 2 4" xfId="15" xr:uid="{00000000-0005-0000-0000-00000E000000}"/>
    <cellStyle name="Normal 2 4 2" xfId="29" xr:uid="{00000000-0005-0000-0000-00000F000000}"/>
    <cellStyle name="Normal 2 4 2 2" xfId="33" xr:uid="{00000000-0005-0000-0000-000010000000}"/>
    <cellStyle name="Normal 2 4 3" xfId="31" xr:uid="{00000000-0005-0000-0000-000011000000}"/>
    <cellStyle name="Normal 39" xfId="16" xr:uid="{00000000-0005-0000-0000-000012000000}"/>
    <cellStyle name="Normal 4" xfId="17" xr:uid="{00000000-0005-0000-0000-000013000000}"/>
    <cellStyle name="Normal 4 2" xfId="30" xr:uid="{00000000-0005-0000-0000-000014000000}"/>
    <cellStyle name="Normal 4 2 2" xfId="34" xr:uid="{00000000-0005-0000-0000-000015000000}"/>
    <cellStyle name="Normal 4 3" xfId="32" xr:uid="{00000000-0005-0000-0000-000016000000}"/>
    <cellStyle name="Normale 2" xfId="1" xr:uid="{00000000-0005-0000-0000-000017000000}"/>
    <cellStyle name="Normale 2 2" xfId="27" xr:uid="{00000000-0005-0000-0000-000018000000}"/>
    <cellStyle name="price" xfId="18" xr:uid="{00000000-0005-0000-0000-000019000000}"/>
    <cellStyle name="revised" xfId="19" xr:uid="{00000000-0005-0000-0000-00001A000000}"/>
    <cellStyle name="section" xfId="20" xr:uid="{00000000-0005-0000-0000-00001B000000}"/>
    <cellStyle name="title 2" xfId="21" xr:uid="{00000000-0005-0000-0000-00001C000000}"/>
    <cellStyle name="Обычный 2" xfId="3" xr:uid="{00000000-0005-0000-0000-00001D000000}"/>
    <cellStyle name="桁区切り [0.00]_１１月価格表" xfId="22" xr:uid="{00000000-0005-0000-0000-00001E000000}"/>
    <cellStyle name="桁区切り_１１月価格表" xfId="23" xr:uid="{00000000-0005-0000-0000-00001F000000}"/>
    <cellStyle name="標準_１１月価格表" xfId="24" xr:uid="{00000000-0005-0000-0000-000020000000}"/>
    <cellStyle name="通貨 [0.00]_１１月価格表" xfId="25" xr:uid="{00000000-0005-0000-0000-000021000000}"/>
    <cellStyle name="通貨_１１月価格表" xfId="26" xr:uid="{00000000-0005-0000-0000-00002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57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BFFFF"/>
      <rgbColor rgb="00CCFFCC"/>
      <rgbColor rgb="00FDFFBB"/>
      <rgbColor rgb="00AFD7FF"/>
      <rgbColor rgb="00FFCDE1"/>
      <rgbColor rgb="00F0C9FF"/>
      <rgbColor rgb="00FFCC99"/>
      <rgbColor rgb="003366FF"/>
      <rgbColor rgb="0075DFDD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262890</xdr:colOff>
      <xdr:row>10</xdr:row>
      <xdr:rowOff>190500</xdr:rowOff>
    </xdr:from>
    <xdr:to>
      <xdr:col>4</xdr:col>
      <xdr:colOff>1005843</xdr:colOff>
      <xdr:row>14</xdr:row>
      <xdr:rowOff>0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00000000-0008-0000-0500-000001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676650" y="2809875"/>
          <a:ext cx="1857375" cy="9144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/>
            </a:rPr>
            <a:t>NIL</a:t>
          </a:r>
          <a:endParaRPr lang="ru-RU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/>
            <a:latin typeface="Arial Black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4">
    <pageSetUpPr autoPageBreaks="0"/>
  </sheetPr>
  <dimension ref="A1:I37"/>
  <sheetViews>
    <sheetView showGridLines="0" showZeros="0" showOutlineSymbols="0" defaultGridColor="0" colorId="8" zoomScaleNormal="75" zoomScaleSheetLayoutView="120" workbookViewId="0">
      <selection activeCell="B23" sqref="B23"/>
    </sheetView>
  </sheetViews>
  <sheetFormatPr defaultColWidth="9.7265625" defaultRowHeight="12.5"/>
  <cols>
    <col min="1" max="1" width="4.7265625" customWidth="1"/>
    <col min="2" max="2" width="32.7265625" customWidth="1"/>
    <col min="3" max="3" width="13.7265625" customWidth="1"/>
    <col min="4" max="4" width="16.7265625" customWidth="1"/>
    <col min="5" max="5" width="20.7265625" customWidth="1"/>
    <col min="6" max="10" width="0.7265625" customWidth="1"/>
  </cols>
  <sheetData>
    <row r="1" spans="1:9" ht="15.5">
      <c r="A1" s="102"/>
      <c r="B1" s="102"/>
      <c r="C1" s="102"/>
      <c r="D1" s="102"/>
      <c r="E1" s="102"/>
      <c r="F1" s="1"/>
      <c r="G1" s="1"/>
      <c r="H1" s="1"/>
      <c r="I1" s="1"/>
    </row>
    <row r="2" spans="1:9" ht="15.5">
      <c r="A2" s="116"/>
      <c r="B2" s="102"/>
      <c r="C2" s="102"/>
      <c r="D2" s="143"/>
      <c r="E2" s="148"/>
      <c r="F2" s="1"/>
      <c r="G2" s="1"/>
      <c r="H2" s="1"/>
      <c r="I2" s="1"/>
    </row>
    <row r="3" spans="1:9" ht="14.25" customHeight="1">
      <c r="A3" s="102"/>
      <c r="B3" s="144"/>
      <c r="C3" s="145"/>
      <c r="D3" s="146"/>
      <c r="E3" s="102"/>
      <c r="F3" s="1"/>
      <c r="G3" s="1"/>
      <c r="H3" s="1"/>
      <c r="I3" s="1"/>
    </row>
    <row r="4" spans="1:9" ht="17.5">
      <c r="A4" s="349" t="s">
        <v>67</v>
      </c>
      <c r="B4" s="349"/>
      <c r="C4" s="349"/>
      <c r="D4" s="349"/>
      <c r="E4" s="349"/>
      <c r="F4" s="1"/>
      <c r="G4" s="1"/>
      <c r="H4" s="1"/>
      <c r="I4" s="1"/>
    </row>
    <row r="5" spans="1:9" ht="16" thickBot="1">
      <c r="A5" s="102"/>
      <c r="B5" s="102"/>
      <c r="C5" s="102"/>
      <c r="D5" s="102"/>
      <c r="E5" s="147"/>
      <c r="F5" s="1"/>
      <c r="G5" s="1"/>
      <c r="H5" s="1"/>
      <c r="I5" s="1"/>
    </row>
    <row r="6" spans="1:9" ht="41.25" customHeight="1" thickTop="1" thickBot="1">
      <c r="A6" s="191" t="s">
        <v>2</v>
      </c>
      <c r="B6" s="192" t="s">
        <v>78</v>
      </c>
      <c r="C6" s="192" t="s">
        <v>77</v>
      </c>
      <c r="D6" s="204" t="s">
        <v>3</v>
      </c>
      <c r="E6" s="193" t="s">
        <v>81</v>
      </c>
      <c r="F6" s="1"/>
      <c r="G6" s="1"/>
      <c r="H6" s="1"/>
      <c r="I6" s="1"/>
    </row>
    <row r="7" spans="1:9" ht="22.15" customHeight="1" thickTop="1">
      <c r="A7" s="203">
        <v>1</v>
      </c>
      <c r="B7" s="175" t="e">
        <f>#REF!</f>
        <v>#REF!</v>
      </c>
      <c r="C7" s="179" t="e">
        <f>#REF!</f>
        <v>#REF!</v>
      </c>
      <c r="D7" s="185"/>
      <c r="E7" s="190"/>
      <c r="F7" s="1"/>
      <c r="G7" s="1"/>
      <c r="H7" s="1"/>
      <c r="I7" s="1"/>
    </row>
    <row r="8" spans="1:9" ht="22.15" customHeight="1">
      <c r="A8" s="202" t="s">
        <v>21</v>
      </c>
      <c r="B8" s="175" t="e">
        <f>#REF!</f>
        <v>#REF!</v>
      </c>
      <c r="C8" s="179" t="e">
        <f>#REF!</f>
        <v>#REF!</v>
      </c>
      <c r="D8" s="185"/>
      <c r="E8" s="188"/>
      <c r="F8" s="2"/>
      <c r="G8" s="2"/>
      <c r="H8" s="2"/>
      <c r="I8" s="149"/>
    </row>
    <row r="9" spans="1:9" ht="22.15" customHeight="1">
      <c r="A9" s="202" t="s">
        <v>22</v>
      </c>
      <c r="B9" s="175" t="e">
        <f>#REF!</f>
        <v>#REF!</v>
      </c>
      <c r="C9" s="179" t="e">
        <f>#REF!</f>
        <v>#REF!</v>
      </c>
      <c r="D9" s="185"/>
      <c r="E9" s="188"/>
      <c r="F9" s="2"/>
      <c r="G9" s="2"/>
      <c r="H9" s="2"/>
      <c r="I9" s="2"/>
    </row>
    <row r="10" spans="1:9" ht="22.15" customHeight="1">
      <c r="A10" s="202" t="s">
        <v>23</v>
      </c>
      <c r="B10" s="175" t="e">
        <f>#REF!</f>
        <v>#REF!</v>
      </c>
      <c r="C10" s="179" t="e">
        <f>#REF!</f>
        <v>#REF!</v>
      </c>
      <c r="D10" s="185"/>
      <c r="E10" s="188"/>
      <c r="F10" s="150"/>
      <c r="G10" s="150"/>
      <c r="H10" s="150"/>
      <c r="I10" s="151"/>
    </row>
    <row r="11" spans="1:9" ht="22.15" customHeight="1">
      <c r="A11" s="202" t="s">
        <v>24</v>
      </c>
      <c r="B11" s="175" t="e">
        <f>#REF!</f>
        <v>#REF!</v>
      </c>
      <c r="C11" s="179" t="e">
        <f>#REF!</f>
        <v>#REF!</v>
      </c>
      <c r="D11" s="185"/>
      <c r="E11" s="188"/>
      <c r="F11" s="150"/>
      <c r="G11" s="150"/>
      <c r="H11" s="150"/>
      <c r="I11" s="151"/>
    </row>
    <row r="12" spans="1:9" ht="22.15" customHeight="1">
      <c r="A12" s="202" t="s">
        <v>25</v>
      </c>
      <c r="B12" s="175" t="e">
        <f>#REF!</f>
        <v>#REF!</v>
      </c>
      <c r="C12" s="179" t="e">
        <f>#REF!</f>
        <v>#REF!</v>
      </c>
      <c r="D12" s="185"/>
      <c r="E12" s="188"/>
      <c r="F12" s="152"/>
      <c r="G12" s="152"/>
      <c r="H12" s="153"/>
      <c r="I12" s="153"/>
    </row>
    <row r="13" spans="1:9" ht="22.15" customHeight="1">
      <c r="A13" s="202" t="s">
        <v>26</v>
      </c>
      <c r="B13" s="175" t="e">
        <f>#REF!</f>
        <v>#REF!</v>
      </c>
      <c r="C13" s="179" t="e">
        <f>#REF!</f>
        <v>#REF!</v>
      </c>
      <c r="D13" s="185"/>
      <c r="E13" s="188"/>
      <c r="F13" s="152"/>
      <c r="G13" s="152"/>
      <c r="H13" s="152"/>
      <c r="I13" s="153"/>
    </row>
    <row r="14" spans="1:9" ht="22.15" customHeight="1">
      <c r="A14" s="202" t="s">
        <v>27</v>
      </c>
      <c r="B14" s="175" t="e">
        <f>#REF!</f>
        <v>#REF!</v>
      </c>
      <c r="C14" s="179" t="e">
        <f>#REF!</f>
        <v>#REF!</v>
      </c>
      <c r="D14" s="185"/>
      <c r="E14" s="188"/>
      <c r="F14" s="153"/>
      <c r="G14" s="153"/>
      <c r="H14" s="153"/>
      <c r="I14" s="152"/>
    </row>
    <row r="15" spans="1:9" ht="22.15" customHeight="1">
      <c r="A15" s="202" t="s">
        <v>28</v>
      </c>
      <c r="B15" s="175" t="e">
        <f>#REF!</f>
        <v>#REF!</v>
      </c>
      <c r="C15" s="179" t="e">
        <f>#REF!</f>
        <v>#REF!</v>
      </c>
      <c r="D15" s="185"/>
      <c r="E15" s="188"/>
      <c r="F15" s="153"/>
      <c r="G15" s="153"/>
      <c r="H15" s="153"/>
      <c r="I15" s="152"/>
    </row>
    <row r="16" spans="1:9" ht="22.15" customHeight="1">
      <c r="A16" s="202" t="s">
        <v>29</v>
      </c>
      <c r="B16" s="175" t="e">
        <f>#REF!</f>
        <v>#REF!</v>
      </c>
      <c r="C16" s="179" t="e">
        <f>#REF!</f>
        <v>#REF!</v>
      </c>
      <c r="D16" s="185"/>
      <c r="E16" s="188"/>
      <c r="F16" s="153"/>
      <c r="G16" s="153"/>
      <c r="H16" s="152"/>
      <c r="I16" s="152"/>
    </row>
    <row r="17" spans="1:9" ht="22.15" customHeight="1">
      <c r="A17" s="202" t="s">
        <v>30</v>
      </c>
      <c r="B17" s="175" t="e">
        <f>#REF!</f>
        <v>#REF!</v>
      </c>
      <c r="C17" s="179" t="e">
        <f>#REF!</f>
        <v>#REF!</v>
      </c>
      <c r="D17" s="185"/>
      <c r="E17" s="188"/>
      <c r="F17" s="3"/>
      <c r="G17" s="3"/>
      <c r="H17" s="3"/>
      <c r="I17" s="3"/>
    </row>
    <row r="18" spans="1:9" ht="22.15" customHeight="1">
      <c r="A18" s="202" t="s">
        <v>31</v>
      </c>
      <c r="B18" s="175" t="e">
        <f>#REF!</f>
        <v>#REF!</v>
      </c>
      <c r="C18" s="179" t="e">
        <f>#REF!</f>
        <v>#REF!</v>
      </c>
      <c r="D18" s="185"/>
      <c r="E18" s="188"/>
      <c r="F18" s="152"/>
      <c r="G18" s="152"/>
      <c r="H18" s="152"/>
      <c r="I18" s="3"/>
    </row>
    <row r="19" spans="1:9" ht="22.15" customHeight="1">
      <c r="A19" s="202" t="s">
        <v>32</v>
      </c>
      <c r="B19" s="175" t="e">
        <f>#REF!</f>
        <v>#REF!</v>
      </c>
      <c r="C19" s="179" t="e">
        <f>#REF!</f>
        <v>#REF!</v>
      </c>
      <c r="D19" s="185"/>
      <c r="E19" s="188"/>
      <c r="F19" s="3"/>
      <c r="G19" s="3"/>
      <c r="H19" s="3"/>
      <c r="I19" s="4"/>
    </row>
    <row r="20" spans="1:9" ht="22.15" customHeight="1">
      <c r="A20" s="202" t="s">
        <v>33</v>
      </c>
      <c r="B20" s="175" t="e">
        <f>#REF!</f>
        <v>#REF!</v>
      </c>
      <c r="C20" s="180" t="e">
        <f>#REF!</f>
        <v>#REF!</v>
      </c>
      <c r="D20" s="185"/>
      <c r="E20" s="188"/>
      <c r="F20" s="154"/>
      <c r="G20" s="155"/>
      <c r="H20" s="156"/>
      <c r="I20" s="157"/>
    </row>
    <row r="21" spans="1:9" ht="22.15" customHeight="1">
      <c r="A21" s="242" t="s">
        <v>34</v>
      </c>
      <c r="B21" s="175" t="e">
        <f>#REF!</f>
        <v>#REF!</v>
      </c>
      <c r="C21" s="231" t="e">
        <f>#REF!</f>
        <v>#REF!</v>
      </c>
      <c r="D21" s="236"/>
      <c r="E21" s="237"/>
      <c r="F21" s="154"/>
      <c r="G21" s="3"/>
      <c r="H21" s="156"/>
      <c r="I21" s="157"/>
    </row>
    <row r="22" spans="1:9" ht="22.15" customHeight="1">
      <c r="A22" s="242" t="s">
        <v>35</v>
      </c>
      <c r="B22" s="175" t="e">
        <f>#REF!</f>
        <v>#REF!</v>
      </c>
      <c r="C22" s="180" t="e">
        <f>#REF!</f>
        <v>#REF!</v>
      </c>
      <c r="D22" s="185"/>
      <c r="E22" s="188"/>
      <c r="F22" s="158"/>
      <c r="G22" s="159"/>
      <c r="H22" s="158"/>
      <c r="I22" s="157"/>
    </row>
    <row r="23" spans="1:9" ht="22.15" customHeight="1">
      <c r="A23" s="242" t="s">
        <v>83</v>
      </c>
      <c r="B23" s="175" t="e">
        <f>#REF!</f>
        <v>#REF!</v>
      </c>
      <c r="C23" s="231" t="e">
        <f>#REF!</f>
        <v>#REF!</v>
      </c>
      <c r="D23" s="236"/>
      <c r="E23" s="237"/>
      <c r="F23" s="160"/>
      <c r="G23" s="160"/>
      <c r="H23" s="156"/>
      <c r="I23" s="161"/>
    </row>
    <row r="24" spans="1:9" ht="22.15" customHeight="1">
      <c r="A24" s="242" t="s">
        <v>36</v>
      </c>
      <c r="B24" s="230" t="e">
        <f>#REF!</f>
        <v>#REF!</v>
      </c>
      <c r="C24" s="231" t="e">
        <f>#REF!</f>
        <v>#REF!</v>
      </c>
      <c r="D24" s="236"/>
      <c r="E24" s="237"/>
      <c r="F24" s="160"/>
      <c r="G24" s="160"/>
      <c r="H24" s="156"/>
      <c r="I24" s="161"/>
    </row>
    <row r="25" spans="1:9" ht="22.15" customHeight="1">
      <c r="A25" s="242" t="s">
        <v>37</v>
      </c>
      <c r="B25" s="230" t="e">
        <f>#REF!</f>
        <v>#REF!</v>
      </c>
      <c r="C25" s="231" t="e">
        <f>#REF!</f>
        <v>#REF!</v>
      </c>
      <c r="D25" s="236"/>
      <c r="E25" s="237"/>
      <c r="F25" s="154"/>
      <c r="G25" s="162"/>
      <c r="H25" s="156"/>
      <c r="I25" s="157"/>
    </row>
    <row r="26" spans="1:9" ht="22.15" customHeight="1">
      <c r="A26" s="242" t="s">
        <v>38</v>
      </c>
      <c r="B26" s="231" t="e">
        <f>#REF!</f>
        <v>#REF!</v>
      </c>
      <c r="C26" s="231" t="e">
        <f>#REF!</f>
        <v>#REF!</v>
      </c>
      <c r="D26" s="236"/>
      <c r="E26" s="237"/>
      <c r="F26" s="160"/>
      <c r="G26" s="160"/>
      <c r="H26" s="156"/>
      <c r="I26" s="161"/>
    </row>
    <row r="27" spans="1:9" ht="22.15" customHeight="1" thickBot="1">
      <c r="A27" s="228" t="s">
        <v>73</v>
      </c>
      <c r="B27" s="253"/>
      <c r="C27" s="253"/>
      <c r="D27" s="254"/>
      <c r="E27" s="255"/>
      <c r="F27" s="3"/>
      <c r="G27" s="3"/>
      <c r="H27" s="4"/>
      <c r="I27" s="3"/>
    </row>
    <row r="28" spans="1:9" ht="20.149999999999999" customHeight="1" thickTop="1" thickBot="1">
      <c r="A28" s="197"/>
      <c r="B28" s="197"/>
      <c r="C28" s="197"/>
      <c r="D28" s="205" t="s">
        <v>80</v>
      </c>
      <c r="E28" s="206">
        <f>SUM(E7:E27)</f>
        <v>0</v>
      </c>
      <c r="F28" s="164"/>
      <c r="G28" s="158"/>
      <c r="H28" s="157"/>
      <c r="I28" s="165"/>
    </row>
    <row r="29" spans="1:9" ht="20.149999999999999" customHeight="1" thickTop="1">
      <c r="A29" s="186"/>
      <c r="B29" s="198"/>
      <c r="C29" s="186"/>
      <c r="D29" s="195"/>
      <c r="E29" s="199"/>
      <c r="F29" s="166"/>
      <c r="G29" s="156"/>
      <c r="H29" s="161"/>
      <c r="I29" s="165"/>
    </row>
    <row r="30" spans="1:9" ht="14.25" customHeight="1">
      <c r="A30" s="170"/>
      <c r="B30" s="200"/>
      <c r="C30" s="170"/>
      <c r="D30" s="170"/>
      <c r="E30" s="170"/>
      <c r="F30" s="160"/>
      <c r="G30" s="156"/>
      <c r="H30" s="161"/>
      <c r="I30" s="165"/>
    </row>
    <row r="31" spans="1:9" ht="14.25" customHeight="1">
      <c r="A31" s="170"/>
      <c r="B31" s="201"/>
      <c r="C31" s="196"/>
      <c r="D31" s="196"/>
      <c r="E31" s="196"/>
      <c r="F31" s="3"/>
      <c r="G31" s="3"/>
      <c r="H31" s="163"/>
      <c r="I31" s="165"/>
    </row>
    <row r="32" spans="1:9" ht="10.15" customHeight="1">
      <c r="A32" s="178"/>
      <c r="B32" s="170"/>
      <c r="C32" s="171"/>
      <c r="D32" s="171"/>
      <c r="E32" s="196"/>
      <c r="F32" s="3"/>
      <c r="G32" s="168"/>
      <c r="H32" s="2"/>
      <c r="I32" s="3"/>
    </row>
    <row r="33" spans="1:9" ht="14">
      <c r="A33" s="178"/>
      <c r="B33" s="170"/>
      <c r="C33" s="152" t="s">
        <v>79</v>
      </c>
      <c r="D33" s="152" t="e">
        <f>#REF!</f>
        <v>#REF!</v>
      </c>
      <c r="E33" s="207"/>
      <c r="F33" s="3"/>
      <c r="G33" s="152"/>
      <c r="H33" s="3"/>
      <c r="I33" s="3"/>
    </row>
    <row r="34" spans="1:9" ht="15.5">
      <c r="A34" s="1"/>
      <c r="B34" s="3"/>
      <c r="C34" s="3"/>
      <c r="D34" s="3"/>
      <c r="E34" s="3"/>
      <c r="F34" s="3"/>
      <c r="G34" s="3"/>
      <c r="H34" s="3"/>
      <c r="I34" s="3"/>
    </row>
    <row r="35" spans="1:9" ht="15.5">
      <c r="A35" s="1"/>
      <c r="B35" s="152"/>
      <c r="C35" s="3"/>
      <c r="D35" s="3"/>
      <c r="E35" s="3"/>
      <c r="F35" s="3"/>
      <c r="G35" s="152"/>
      <c r="H35" s="3"/>
      <c r="I35" s="3"/>
    </row>
    <row r="36" spans="1:9" ht="15.5">
      <c r="A36" s="1"/>
      <c r="B36" s="152"/>
      <c r="C36" s="3"/>
      <c r="D36" s="3"/>
      <c r="E36" s="3"/>
      <c r="F36" s="3"/>
      <c r="G36" s="152"/>
      <c r="H36" s="3"/>
      <c r="I36" s="3"/>
    </row>
    <row r="37" spans="1:9" ht="15.5">
      <c r="A37" s="1"/>
      <c r="B37" s="3"/>
      <c r="C37" s="4"/>
      <c r="D37" s="3"/>
      <c r="E37" s="3"/>
      <c r="F37" s="3"/>
      <c r="G37" s="2"/>
      <c r="H37" s="5"/>
      <c r="I37" s="3"/>
    </row>
  </sheetData>
  <mergeCells count="1">
    <mergeCell ref="A4:E4"/>
  </mergeCells>
  <phoneticPr fontId="0" type="noConversion"/>
  <pageMargins left="0.98425196850393704" right="0.19685039370078741" top="0.39370078740157483" bottom="0" header="0" footer="0"/>
  <pageSetup paperSize="9" orientation="portrait" blackAndWhite="1" horizontalDpi="360" verticalDpi="300" copies="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Sheet5">
    <pageSetUpPr autoPageBreaks="0"/>
  </sheetPr>
  <dimension ref="A1:O38"/>
  <sheetViews>
    <sheetView showGridLines="0" showZeros="0" showOutlineSymbols="0" defaultGridColor="0" colorId="8" zoomScaleNormal="75" zoomScaleSheetLayoutView="120" workbookViewId="0">
      <selection activeCell="E7" sqref="E7"/>
    </sheetView>
  </sheetViews>
  <sheetFormatPr defaultColWidth="9.7265625" defaultRowHeight="12.5"/>
  <cols>
    <col min="1" max="1" width="4.7265625" customWidth="1"/>
    <col min="2" max="2" width="33.7265625" customWidth="1"/>
    <col min="3" max="3" width="14.7265625" customWidth="1"/>
    <col min="4" max="4" width="16.7265625" customWidth="1"/>
    <col min="5" max="5" width="18.7265625" customWidth="1"/>
    <col min="6" max="8" width="1.7265625" customWidth="1"/>
  </cols>
  <sheetData>
    <row r="1" spans="1:15" ht="15" customHeight="1">
      <c r="A1" s="102"/>
      <c r="B1" s="102"/>
      <c r="C1" s="102"/>
      <c r="D1" s="102"/>
      <c r="E1" s="102"/>
      <c r="F1" s="1"/>
      <c r="J1" s="8"/>
      <c r="K1" s="8"/>
    </row>
    <row r="2" spans="1:15" ht="15" customHeight="1">
      <c r="A2" s="116"/>
      <c r="B2" s="102"/>
      <c r="C2" s="102"/>
      <c r="D2" s="143"/>
      <c r="E2" s="169" t="e">
        <f>#REF!</f>
        <v>#REF!</v>
      </c>
      <c r="F2" s="1"/>
      <c r="J2" s="8"/>
      <c r="K2" s="8"/>
    </row>
    <row r="3" spans="1:15" ht="20.149999999999999" customHeight="1">
      <c r="A3" s="102"/>
      <c r="B3" s="144"/>
      <c r="C3" s="145"/>
      <c r="D3" s="146"/>
      <c r="E3" s="102"/>
      <c r="F3" s="1"/>
      <c r="J3" s="8"/>
      <c r="K3" s="8"/>
    </row>
    <row r="4" spans="1:15" ht="18" customHeight="1">
      <c r="A4" s="349" t="s">
        <v>75</v>
      </c>
      <c r="B4" s="349"/>
      <c r="C4" s="349"/>
      <c r="D4" s="349"/>
      <c r="E4" s="349"/>
      <c r="F4" s="1"/>
      <c r="J4" s="8"/>
      <c r="K4" s="243"/>
      <c r="L4" s="251"/>
    </row>
    <row r="5" spans="1:15" ht="10.15" customHeight="1" thickBot="1">
      <c r="A5" s="102"/>
      <c r="B5" s="102"/>
      <c r="C5" s="102"/>
      <c r="D5" s="102"/>
      <c r="E5" s="102"/>
      <c r="F5" s="1"/>
      <c r="J5" s="8"/>
      <c r="K5" s="8"/>
    </row>
    <row r="6" spans="1:15" ht="39" customHeight="1" thickTop="1" thickBot="1">
      <c r="A6" s="191" t="s">
        <v>2</v>
      </c>
      <c r="B6" s="192" t="s">
        <v>78</v>
      </c>
      <c r="C6" s="192" t="s">
        <v>77</v>
      </c>
      <c r="D6" s="192" t="s">
        <v>3</v>
      </c>
      <c r="E6" s="193" t="s">
        <v>81</v>
      </c>
      <c r="F6" s="1"/>
      <c r="J6" s="8"/>
      <c r="K6" s="8"/>
    </row>
    <row r="7" spans="1:15" ht="22.15" customHeight="1" thickTop="1">
      <c r="A7" s="176">
        <v>1</v>
      </c>
      <c r="B7" s="177" t="e">
        <f>#REF!</f>
        <v>#REF!</v>
      </c>
      <c r="C7" s="179" t="e">
        <f>#REF!</f>
        <v>#REF!</v>
      </c>
      <c r="D7" s="252" t="e">
        <f>#REF!</f>
        <v>#REF!</v>
      </c>
      <c r="E7" s="225"/>
      <c r="F7" s="1"/>
      <c r="J7" s="8"/>
      <c r="K7" s="8"/>
    </row>
    <row r="8" spans="1:15" ht="22.15" customHeight="1">
      <c r="A8" s="174">
        <v>2</v>
      </c>
      <c r="B8" s="175" t="e">
        <f>#REF!</f>
        <v>#REF!</v>
      </c>
      <c r="C8" s="180" t="e">
        <f>#REF!</f>
        <v>#REF!</v>
      </c>
      <c r="D8" s="252" t="e">
        <f>#REF!</f>
        <v>#REF!</v>
      </c>
      <c r="E8" s="226"/>
      <c r="F8" s="1"/>
      <c r="J8" s="8"/>
      <c r="K8" s="8"/>
    </row>
    <row r="9" spans="1:15" ht="22.15" customHeight="1">
      <c r="A9" s="174">
        <v>3</v>
      </c>
      <c r="B9" s="175" t="e">
        <f>#REF!</f>
        <v>#REF!</v>
      </c>
      <c r="C9" s="180" t="e">
        <f>#REF!</f>
        <v>#REF!</v>
      </c>
      <c r="D9" s="252" t="e">
        <f>#REF!</f>
        <v>#REF!</v>
      </c>
      <c r="E9" s="226"/>
      <c r="F9" s="1"/>
      <c r="J9" s="8"/>
      <c r="K9" s="8"/>
    </row>
    <row r="10" spans="1:15" ht="22.15" customHeight="1">
      <c r="A10" s="174">
        <v>4</v>
      </c>
      <c r="B10" s="175" t="e">
        <f>#REF!</f>
        <v>#REF!</v>
      </c>
      <c r="C10" s="180" t="e">
        <f>#REF!</f>
        <v>#REF!</v>
      </c>
      <c r="D10" s="252" t="e">
        <f>#REF!</f>
        <v>#REF!</v>
      </c>
      <c r="E10" s="226"/>
      <c r="F10" s="1"/>
      <c r="J10" s="8"/>
      <c r="K10" s="8"/>
    </row>
    <row r="11" spans="1:15" ht="22.15" customHeight="1">
      <c r="A11" s="174">
        <v>5</v>
      </c>
      <c r="B11" s="175" t="e">
        <f>#REF!</f>
        <v>#REF!</v>
      </c>
      <c r="C11" s="180" t="e">
        <f>#REF!</f>
        <v>#REF!</v>
      </c>
      <c r="D11" s="252" t="e">
        <f>#REF!</f>
        <v>#REF!</v>
      </c>
      <c r="E11" s="226"/>
      <c r="F11" s="1"/>
      <c r="J11" s="8"/>
      <c r="K11" s="8"/>
    </row>
    <row r="12" spans="1:15" ht="22.15" customHeight="1">
      <c r="A12" s="174">
        <v>6</v>
      </c>
      <c r="B12" s="175" t="e">
        <f>#REF!</f>
        <v>#REF!</v>
      </c>
      <c r="C12" s="180" t="e">
        <f>#REF!</f>
        <v>#REF!</v>
      </c>
      <c r="D12" s="252" t="e">
        <f>#REF!</f>
        <v>#REF!</v>
      </c>
      <c r="E12" s="226"/>
      <c r="F12" s="1"/>
      <c r="I12" s="8"/>
      <c r="J12" s="8"/>
      <c r="K12" s="235"/>
      <c r="O12" s="238"/>
    </row>
    <row r="13" spans="1:15" ht="22.15" customHeight="1">
      <c r="A13" s="174">
        <v>7</v>
      </c>
      <c r="B13" s="175" t="e">
        <f>#REF!</f>
        <v>#REF!</v>
      </c>
      <c r="C13" s="180" t="e">
        <f>#REF!</f>
        <v>#REF!</v>
      </c>
      <c r="D13" s="252" t="e">
        <f>#REF!</f>
        <v>#REF!</v>
      </c>
      <c r="E13" s="226"/>
      <c r="F13" s="1"/>
      <c r="I13" s="8"/>
      <c r="J13" s="8"/>
      <c r="K13" s="235"/>
      <c r="O13" s="238"/>
    </row>
    <row r="14" spans="1:15" ht="22.15" customHeight="1">
      <c r="A14" s="174">
        <v>8</v>
      </c>
      <c r="B14" s="175" t="e">
        <f>#REF!</f>
        <v>#REF!</v>
      </c>
      <c r="C14" s="180" t="e">
        <f>#REF!</f>
        <v>#REF!</v>
      </c>
      <c r="D14" s="252" t="e">
        <f>#REF!</f>
        <v>#REF!</v>
      </c>
      <c r="E14" s="226"/>
      <c r="F14" s="1"/>
      <c r="I14" s="8"/>
      <c r="J14" s="8"/>
      <c r="K14" s="235"/>
      <c r="O14" s="238"/>
    </row>
    <row r="15" spans="1:15" ht="22.15" customHeight="1">
      <c r="A15" s="174">
        <v>9</v>
      </c>
      <c r="B15" s="175" t="e">
        <f>#REF!</f>
        <v>#REF!</v>
      </c>
      <c r="C15" s="180" t="e">
        <f>#REF!</f>
        <v>#REF!</v>
      </c>
      <c r="D15" s="252" t="e">
        <f>#REF!</f>
        <v>#REF!</v>
      </c>
      <c r="E15" s="226"/>
      <c r="F15" s="1"/>
      <c r="I15" s="8"/>
      <c r="J15" s="8"/>
      <c r="K15" s="235"/>
      <c r="O15" s="238"/>
    </row>
    <row r="16" spans="1:15" ht="22.15" customHeight="1">
      <c r="A16" s="174">
        <v>10</v>
      </c>
      <c r="B16" s="175" t="e">
        <f>#REF!</f>
        <v>#REF!</v>
      </c>
      <c r="C16" s="180" t="e">
        <f>#REF!</f>
        <v>#REF!</v>
      </c>
      <c r="D16" s="252" t="e">
        <f>#REF!</f>
        <v>#REF!</v>
      </c>
      <c r="E16" s="226"/>
      <c r="F16" s="1"/>
      <c r="I16" s="8"/>
      <c r="J16" s="8"/>
      <c r="K16" s="235"/>
      <c r="O16" s="238"/>
    </row>
    <row r="17" spans="1:15" ht="22.15" customHeight="1">
      <c r="A17" s="174">
        <v>11</v>
      </c>
      <c r="B17" s="175" t="e">
        <f>#REF!</f>
        <v>#REF!</v>
      </c>
      <c r="C17" s="180" t="e">
        <f>#REF!</f>
        <v>#REF!</v>
      </c>
      <c r="D17" s="252" t="e">
        <f>#REF!</f>
        <v>#REF!</v>
      </c>
      <c r="E17" s="226"/>
      <c r="F17" s="1"/>
      <c r="I17" s="8"/>
      <c r="J17" s="8"/>
      <c r="K17" s="235"/>
      <c r="O17" s="238"/>
    </row>
    <row r="18" spans="1:15" ht="22.15" customHeight="1">
      <c r="A18" s="174">
        <v>12</v>
      </c>
      <c r="B18" s="175" t="e">
        <f>#REF!</f>
        <v>#REF!</v>
      </c>
      <c r="C18" s="180" t="e">
        <f>#REF!</f>
        <v>#REF!</v>
      </c>
      <c r="D18" s="252" t="e">
        <f>#REF!</f>
        <v>#REF!</v>
      </c>
      <c r="E18" s="226"/>
      <c r="F18" s="1"/>
      <c r="I18" s="8"/>
      <c r="J18" s="8"/>
      <c r="K18" s="235"/>
      <c r="O18" s="238"/>
    </row>
    <row r="19" spans="1:15" ht="22.15" customHeight="1">
      <c r="A19" s="174">
        <v>13</v>
      </c>
      <c r="B19" s="175" t="e">
        <f>#REF!</f>
        <v>#REF!</v>
      </c>
      <c r="C19" s="180" t="e">
        <f>#REF!</f>
        <v>#REF!</v>
      </c>
      <c r="D19" s="252" t="e">
        <f>#REF!</f>
        <v>#REF!</v>
      </c>
      <c r="E19" s="226"/>
      <c r="F19" s="1"/>
      <c r="I19" s="8"/>
      <c r="J19" s="8"/>
      <c r="K19" s="235"/>
      <c r="O19" s="238"/>
    </row>
    <row r="20" spans="1:15" ht="22.15" customHeight="1" thickBot="1">
      <c r="A20" s="274">
        <v>14</v>
      </c>
      <c r="B20" s="275" t="e">
        <f>#REF!</f>
        <v>#REF!</v>
      </c>
      <c r="C20" s="276" t="e">
        <f>#REF!</f>
        <v>#REF!</v>
      </c>
      <c r="D20" s="277" t="e">
        <f>#REF!</f>
        <v>#REF!</v>
      </c>
      <c r="E20" s="278"/>
      <c r="F20" s="1"/>
      <c r="I20" s="8"/>
      <c r="J20" s="8"/>
      <c r="K20" s="235"/>
      <c r="O20" s="238"/>
    </row>
    <row r="21" spans="1:15" ht="22.15" customHeight="1">
      <c r="A21" s="273">
        <v>15</v>
      </c>
      <c r="B21" s="177" t="e">
        <f>#REF!</f>
        <v>#REF!</v>
      </c>
      <c r="C21" s="179" t="e">
        <f>#REF!</f>
        <v>#REF!</v>
      </c>
      <c r="D21" s="252" t="e">
        <f>IF(B21="","",#REF!)</f>
        <v>#REF!</v>
      </c>
      <c r="E21" s="225"/>
      <c r="F21" s="1"/>
      <c r="I21" s="8"/>
      <c r="J21" s="8"/>
      <c r="K21" s="235"/>
      <c r="L21" s="8"/>
      <c r="O21" s="238"/>
    </row>
    <row r="22" spans="1:15" ht="22.15" customHeight="1">
      <c r="A22" s="240">
        <v>16</v>
      </c>
      <c r="B22" s="175" t="e">
        <f>#REF!</f>
        <v>#REF!</v>
      </c>
      <c r="C22" s="180" t="e">
        <f>#REF!</f>
        <v>#REF!</v>
      </c>
      <c r="D22" s="252" t="e">
        <f>IF(B22="","",#REF!)</f>
        <v>#REF!</v>
      </c>
      <c r="E22" s="244"/>
      <c r="F22" s="1"/>
      <c r="I22" s="8"/>
      <c r="J22" s="8"/>
      <c r="K22" s="235"/>
      <c r="O22" s="238"/>
    </row>
    <row r="23" spans="1:15" ht="22.15" customHeight="1">
      <c r="A23" s="240">
        <v>17</v>
      </c>
      <c r="B23" s="175" t="e">
        <f>#REF!</f>
        <v>#REF!</v>
      </c>
      <c r="C23" s="180" t="e">
        <f>#REF!</f>
        <v>#REF!</v>
      </c>
      <c r="D23" s="252" t="e">
        <f>IF(B23="","",#REF!)</f>
        <v>#REF!</v>
      </c>
      <c r="E23" s="244"/>
      <c r="F23" s="1"/>
      <c r="J23" s="8"/>
      <c r="K23" s="8"/>
      <c r="O23" s="238"/>
    </row>
    <row r="24" spans="1:15" ht="22.15" customHeight="1">
      <c r="A24" s="240">
        <v>18</v>
      </c>
      <c r="B24" s="175" t="e">
        <f>#REF!</f>
        <v>#REF!</v>
      </c>
      <c r="C24" s="180" t="e">
        <f>#REF!</f>
        <v>#REF!</v>
      </c>
      <c r="D24" s="252" t="e">
        <f>IF(B24="","",#REF!)</f>
        <v>#REF!</v>
      </c>
      <c r="E24" s="226"/>
      <c r="F24" s="1"/>
      <c r="J24" s="8"/>
      <c r="K24" s="8"/>
      <c r="O24" s="238"/>
    </row>
    <row r="25" spans="1:15" ht="22.15" customHeight="1">
      <c r="A25" s="240">
        <v>19</v>
      </c>
      <c r="B25" s="175" t="e">
        <f>#REF!</f>
        <v>#REF!</v>
      </c>
      <c r="C25" s="180" t="e">
        <f>#REF!</f>
        <v>#REF!</v>
      </c>
      <c r="D25" s="252" t="e">
        <f>IF(B25="","",#REF!)</f>
        <v>#REF!</v>
      </c>
      <c r="E25" s="226"/>
      <c r="F25" s="1"/>
      <c r="J25" s="8"/>
      <c r="K25" s="8"/>
      <c r="O25" s="238"/>
    </row>
    <row r="26" spans="1:15" ht="22.15" customHeight="1" thickBot="1">
      <c r="A26" s="245">
        <v>20</v>
      </c>
      <c r="B26" s="219" t="e">
        <f>#REF!</f>
        <v>#REF!</v>
      </c>
      <c r="C26" s="182" t="e">
        <f>#REF!</f>
        <v>#REF!</v>
      </c>
      <c r="D26" s="189"/>
      <c r="E26" s="227"/>
      <c r="F26" s="1"/>
      <c r="J26" s="8"/>
      <c r="K26" s="8"/>
      <c r="O26" s="238"/>
    </row>
    <row r="27" spans="1:15" ht="24" customHeight="1" thickTop="1" thickBot="1">
      <c r="A27" s="197"/>
      <c r="B27" s="197"/>
      <c r="C27" s="197"/>
      <c r="D27" s="194" t="s">
        <v>80</v>
      </c>
      <c r="E27" s="211">
        <f>SUM(E7:E26)</f>
        <v>0</v>
      </c>
      <c r="F27" s="1"/>
      <c r="J27" s="8"/>
      <c r="K27" s="8"/>
      <c r="L27" s="8"/>
      <c r="O27" s="238"/>
    </row>
    <row r="28" spans="1:15" ht="12.4" customHeight="1" thickTop="1">
      <c r="A28" s="186"/>
      <c r="B28" s="178"/>
      <c r="C28" s="186"/>
      <c r="D28" s="208"/>
      <c r="E28" s="209"/>
      <c r="F28" s="1"/>
      <c r="J28" s="8"/>
      <c r="K28" s="8"/>
    </row>
    <row r="29" spans="1:15" ht="12.4" customHeight="1">
      <c r="A29" s="186"/>
      <c r="B29" s="186"/>
      <c r="C29" s="350"/>
      <c r="D29" s="350"/>
      <c r="E29" s="187"/>
      <c r="F29" s="1"/>
      <c r="J29" s="8"/>
      <c r="K29" s="8"/>
    </row>
    <row r="30" spans="1:15" ht="12.4" customHeight="1">
      <c r="A30" s="186"/>
      <c r="B30" s="186"/>
      <c r="C30" s="186"/>
      <c r="D30" s="186"/>
      <c r="E30" s="186"/>
      <c r="F30" s="1"/>
      <c r="J30" s="8"/>
      <c r="K30" s="8"/>
    </row>
    <row r="31" spans="1:15" ht="12.4" customHeight="1">
      <c r="A31" s="186"/>
      <c r="B31" s="187"/>
      <c r="C31" s="186"/>
      <c r="D31" s="208"/>
      <c r="E31" s="209"/>
      <c r="F31" s="1"/>
      <c r="J31" s="8"/>
      <c r="K31" s="8"/>
    </row>
    <row r="32" spans="1:15" ht="13.15" customHeight="1">
      <c r="A32" s="186"/>
      <c r="B32" s="186"/>
      <c r="C32" s="350" t="e">
        <f>#REF!</f>
        <v>#REF!</v>
      </c>
      <c r="D32" s="350"/>
      <c r="E32" s="186"/>
      <c r="J32" s="8"/>
      <c r="K32" s="8"/>
    </row>
    <row r="33" spans="1:11">
      <c r="A33" s="186"/>
      <c r="B33" s="186"/>
      <c r="C33" s="186"/>
      <c r="D33" s="186"/>
      <c r="E33" s="186"/>
      <c r="J33" s="8"/>
      <c r="K33" s="8"/>
    </row>
    <row r="34" spans="1:11" ht="14">
      <c r="A34" s="186"/>
      <c r="B34" s="186"/>
      <c r="C34" s="250" t="s">
        <v>79</v>
      </c>
      <c r="D34" s="248" t="e">
        <f>#REF!</f>
        <v>#REF!</v>
      </c>
      <c r="E34" s="213"/>
      <c r="J34" s="8"/>
      <c r="K34" s="8"/>
    </row>
    <row r="35" spans="1:11">
      <c r="A35" s="170"/>
      <c r="B35" s="170"/>
      <c r="C35" s="170"/>
      <c r="D35" s="170"/>
      <c r="E35" s="170"/>
      <c r="J35" s="8"/>
      <c r="K35" s="8"/>
    </row>
    <row r="36" spans="1:11">
      <c r="A36" s="178"/>
      <c r="B36" s="178"/>
      <c r="C36" s="178"/>
      <c r="D36" s="178"/>
      <c r="E36" s="178"/>
    </row>
    <row r="37" spans="1:11">
      <c r="A37" s="178"/>
      <c r="B37" s="178"/>
      <c r="C37" s="178"/>
      <c r="D37" s="178"/>
      <c r="E37" s="178"/>
    </row>
    <row r="38" spans="1:11">
      <c r="A38" s="178"/>
      <c r="B38" s="178"/>
      <c r="C38" s="178"/>
      <c r="D38" s="178"/>
      <c r="E38" s="178"/>
    </row>
  </sheetData>
  <mergeCells count="3">
    <mergeCell ref="C29:D29"/>
    <mergeCell ref="C32:D32"/>
    <mergeCell ref="A4:E4"/>
  </mergeCells>
  <phoneticPr fontId="0" type="noConversion"/>
  <pageMargins left="0.98425196850393704" right="0.19685039370078741" top="0.39370078740157483" bottom="0" header="0" footer="0"/>
  <pageSetup paperSize="9" orientation="portrait" blackAndWhite="1" horizontalDpi="4294967295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transitionEvaluation="1" codeName="Sheet7"/>
  <dimension ref="A1:L34"/>
  <sheetViews>
    <sheetView showGridLines="0" showZeros="0" showOutlineSymbols="0" defaultGridColor="0" colorId="8" zoomScaleNormal="120" zoomScaleSheetLayoutView="120" workbookViewId="0">
      <selection activeCell="M19" sqref="M19"/>
    </sheetView>
  </sheetViews>
  <sheetFormatPr defaultColWidth="9.7265625" defaultRowHeight="12.5"/>
  <cols>
    <col min="1" max="1" width="4.7265625" customWidth="1"/>
    <col min="2" max="2" width="32.7265625" customWidth="1"/>
    <col min="3" max="3" width="14.7265625" customWidth="1"/>
    <col min="4" max="4" width="16.7265625" customWidth="1"/>
    <col min="5" max="5" width="18.7265625" customWidth="1"/>
    <col min="6" max="8" width="1.7265625" customWidth="1"/>
  </cols>
  <sheetData>
    <row r="1" spans="1:12" ht="20.149999999999999" customHeight="1">
      <c r="A1" s="214"/>
      <c r="B1" s="214"/>
      <c r="C1" s="214"/>
      <c r="D1" s="214"/>
      <c r="E1" s="214"/>
      <c r="F1" s="1"/>
      <c r="J1" s="8"/>
    </row>
    <row r="2" spans="1:12" ht="13.15" customHeight="1">
      <c r="A2" s="212"/>
      <c r="B2" s="214"/>
      <c r="C2" s="214"/>
      <c r="D2" s="210"/>
      <c r="E2" s="215"/>
      <c r="F2" s="1"/>
      <c r="J2" s="8"/>
    </row>
    <row r="3" spans="1:12" ht="14.25" customHeight="1">
      <c r="A3" s="214"/>
      <c r="B3" s="216"/>
      <c r="C3" s="217"/>
      <c r="D3" s="218"/>
      <c r="E3" s="214"/>
      <c r="F3" s="1"/>
      <c r="J3" s="8"/>
    </row>
    <row r="4" spans="1:12" ht="18" customHeight="1">
      <c r="A4" s="352" t="s">
        <v>76</v>
      </c>
      <c r="B4" s="352"/>
      <c r="C4" s="352"/>
      <c r="D4" s="352"/>
      <c r="E4" s="352"/>
      <c r="F4" s="1"/>
      <c r="J4" s="8"/>
    </row>
    <row r="5" spans="1:12" ht="13.15" customHeight="1" thickBot="1">
      <c r="A5" s="214"/>
      <c r="B5" s="214"/>
      <c r="C5" s="214"/>
      <c r="D5" s="214"/>
      <c r="E5" s="214"/>
      <c r="F5" s="1"/>
      <c r="J5" s="8"/>
    </row>
    <row r="6" spans="1:12" ht="36" customHeight="1" thickTop="1" thickBot="1">
      <c r="A6" s="191" t="s">
        <v>2</v>
      </c>
      <c r="B6" s="192" t="s">
        <v>78</v>
      </c>
      <c r="C6" s="192" t="s">
        <v>77</v>
      </c>
      <c r="D6" s="192" t="s">
        <v>3</v>
      </c>
      <c r="E6" s="193" t="s">
        <v>81</v>
      </c>
      <c r="F6" s="1"/>
      <c r="J6" s="243"/>
    </row>
    <row r="7" spans="1:12" ht="22.15" customHeight="1" thickTop="1">
      <c r="A7" s="176" t="e">
        <f>#REF!</f>
        <v>#REF!</v>
      </c>
      <c r="B7" s="177" t="e">
        <f>#REF!</f>
        <v>#REF!</v>
      </c>
      <c r="C7" s="179" t="e">
        <f>#REF!</f>
        <v>#REF!</v>
      </c>
      <c r="D7" s="252" t="e">
        <f>IF(B7="","",#REF!)</f>
        <v>#REF!</v>
      </c>
      <c r="E7" s="241"/>
      <c r="F7" s="1"/>
      <c r="J7" s="8">
        <f>I7*$I$6</f>
        <v>0</v>
      </c>
    </row>
    <row r="8" spans="1:12" ht="22.15" customHeight="1">
      <c r="A8" s="174" t="e">
        <f>#REF!</f>
        <v>#REF!</v>
      </c>
      <c r="B8" s="177" t="e">
        <f>#REF!</f>
        <v>#REF!</v>
      </c>
      <c r="C8" s="179" t="e">
        <f>#REF!</f>
        <v>#REF!</v>
      </c>
      <c r="D8" s="252" t="e">
        <f>IF(B8="","",#REF!)</f>
        <v>#REF!</v>
      </c>
      <c r="E8" s="241"/>
      <c r="F8" s="1"/>
      <c r="J8" s="8">
        <f t="shared" ref="J8:J22" si="0">I8*$I$6</f>
        <v>0</v>
      </c>
    </row>
    <row r="9" spans="1:12" ht="22.15" customHeight="1">
      <c r="A9" s="174" t="e">
        <f>#REF!</f>
        <v>#REF!</v>
      </c>
      <c r="B9" s="177" t="e">
        <f>#REF!</f>
        <v>#REF!</v>
      </c>
      <c r="C9" s="179" t="e">
        <f>#REF!</f>
        <v>#REF!</v>
      </c>
      <c r="D9" s="252" t="e">
        <f>IF(B9="","",#REF!)</f>
        <v>#REF!</v>
      </c>
      <c r="E9" s="241"/>
      <c r="F9" s="1"/>
      <c r="J9" s="8">
        <f t="shared" si="0"/>
        <v>0</v>
      </c>
      <c r="L9">
        <f>K9*$K$6</f>
        <v>0</v>
      </c>
    </row>
    <row r="10" spans="1:12" ht="22.15" customHeight="1">
      <c r="A10" s="174" t="e">
        <f>#REF!</f>
        <v>#REF!</v>
      </c>
      <c r="B10" s="177" t="e">
        <f>#REF!</f>
        <v>#REF!</v>
      </c>
      <c r="C10" s="179" t="e">
        <f>#REF!</f>
        <v>#REF!</v>
      </c>
      <c r="D10" s="252" t="e">
        <f>IF(B10="","",#REF!)</f>
        <v>#REF!</v>
      </c>
      <c r="E10" s="241"/>
      <c r="F10" s="1"/>
      <c r="J10" s="8">
        <f t="shared" si="0"/>
        <v>0</v>
      </c>
      <c r="L10">
        <f t="shared" ref="L10:L25" si="1">K10*$K$6</f>
        <v>0</v>
      </c>
    </row>
    <row r="11" spans="1:12" ht="22.15" customHeight="1">
      <c r="A11" s="174" t="e">
        <f>#REF!</f>
        <v>#REF!</v>
      </c>
      <c r="B11" s="177" t="e">
        <f>#REF!</f>
        <v>#REF!</v>
      </c>
      <c r="C11" s="179" t="e">
        <f>#REF!</f>
        <v>#REF!</v>
      </c>
      <c r="D11" s="252" t="e">
        <f>IF(B11="","",#REF!)</f>
        <v>#REF!</v>
      </c>
      <c r="E11" s="241"/>
      <c r="F11" s="1"/>
      <c r="J11" s="8">
        <f t="shared" si="0"/>
        <v>0</v>
      </c>
      <c r="L11">
        <f t="shared" si="1"/>
        <v>0</v>
      </c>
    </row>
    <row r="12" spans="1:12" ht="22.15" customHeight="1">
      <c r="A12" s="174" t="e">
        <f>#REF!</f>
        <v>#REF!</v>
      </c>
      <c r="B12" s="177" t="e">
        <f>#REF!</f>
        <v>#REF!</v>
      </c>
      <c r="C12" s="179" t="e">
        <f>#REF!</f>
        <v>#REF!</v>
      </c>
      <c r="D12" s="252" t="e">
        <f>IF(B12="","",#REF!)</f>
        <v>#REF!</v>
      </c>
      <c r="E12" s="241"/>
      <c r="F12" s="1"/>
      <c r="J12" s="8">
        <f t="shared" si="0"/>
        <v>0</v>
      </c>
      <c r="L12">
        <f t="shared" si="1"/>
        <v>0</v>
      </c>
    </row>
    <row r="13" spans="1:12" ht="22.15" customHeight="1">
      <c r="A13" s="174" t="e">
        <f>#REF!</f>
        <v>#REF!</v>
      </c>
      <c r="B13" s="177" t="e">
        <f>#REF!</f>
        <v>#REF!</v>
      </c>
      <c r="C13" s="179" t="e">
        <f>#REF!</f>
        <v>#REF!</v>
      </c>
      <c r="D13" s="252" t="e">
        <f>IF(B13="","",#REF!)</f>
        <v>#REF!</v>
      </c>
      <c r="E13" s="241"/>
      <c r="F13" s="1"/>
      <c r="J13" s="8">
        <f t="shared" si="0"/>
        <v>0</v>
      </c>
      <c r="L13">
        <f t="shared" si="1"/>
        <v>0</v>
      </c>
    </row>
    <row r="14" spans="1:12" ht="22.15" customHeight="1">
      <c r="A14" s="174" t="e">
        <f>#REF!</f>
        <v>#REF!</v>
      </c>
      <c r="B14" s="177" t="e">
        <f>#REF!</f>
        <v>#REF!</v>
      </c>
      <c r="C14" s="179" t="e">
        <f>#REF!</f>
        <v>#REF!</v>
      </c>
      <c r="D14" s="252" t="e">
        <f>IF(B14="","",#REF!)</f>
        <v>#REF!</v>
      </c>
      <c r="E14" s="241"/>
      <c r="F14" s="1"/>
      <c r="J14" s="8">
        <f t="shared" si="0"/>
        <v>0</v>
      </c>
      <c r="L14">
        <f t="shared" si="1"/>
        <v>0</v>
      </c>
    </row>
    <row r="15" spans="1:12" ht="22.15" customHeight="1">
      <c r="A15" s="174" t="e">
        <f>#REF!</f>
        <v>#REF!</v>
      </c>
      <c r="B15" s="177" t="e">
        <f>#REF!</f>
        <v>#REF!</v>
      </c>
      <c r="C15" s="179" t="e">
        <f>#REF!</f>
        <v>#REF!</v>
      </c>
      <c r="D15" s="252" t="e">
        <f>IF(B15="","",#REF!)</f>
        <v>#REF!</v>
      </c>
      <c r="E15" s="241"/>
      <c r="F15" s="1"/>
      <c r="J15" s="8">
        <f t="shared" si="0"/>
        <v>0</v>
      </c>
      <c r="L15">
        <f t="shared" si="1"/>
        <v>0</v>
      </c>
    </row>
    <row r="16" spans="1:12" ht="22.15" customHeight="1">
      <c r="A16" s="174" t="e">
        <f>#REF!</f>
        <v>#REF!</v>
      </c>
      <c r="B16" s="177" t="e">
        <f>#REF!</f>
        <v>#REF!</v>
      </c>
      <c r="C16" s="179" t="e">
        <f>#REF!</f>
        <v>#REF!</v>
      </c>
      <c r="D16" s="252" t="e">
        <f>IF(B16="","",#REF!)</f>
        <v>#REF!</v>
      </c>
      <c r="E16" s="241"/>
      <c r="F16" s="1"/>
      <c r="J16" s="8">
        <f t="shared" si="0"/>
        <v>0</v>
      </c>
      <c r="L16">
        <f t="shared" si="1"/>
        <v>0</v>
      </c>
    </row>
    <row r="17" spans="1:12" ht="22.15" customHeight="1">
      <c r="A17" s="174" t="e">
        <f>#REF!</f>
        <v>#REF!</v>
      </c>
      <c r="B17" s="177" t="e">
        <f>#REF!</f>
        <v>#REF!</v>
      </c>
      <c r="C17" s="179" t="e">
        <f>#REF!</f>
        <v>#REF!</v>
      </c>
      <c r="D17" s="252" t="e">
        <f>IF(B17="","",#REF!)</f>
        <v>#REF!</v>
      </c>
      <c r="E17" s="241"/>
      <c r="F17" s="1"/>
      <c r="J17" s="8">
        <f t="shared" si="0"/>
        <v>0</v>
      </c>
      <c r="L17">
        <f t="shared" si="1"/>
        <v>0</v>
      </c>
    </row>
    <row r="18" spans="1:12" ht="22.15" customHeight="1">
      <c r="A18" s="174" t="e">
        <f>#REF!</f>
        <v>#REF!</v>
      </c>
      <c r="B18" s="177" t="e">
        <f>#REF!</f>
        <v>#REF!</v>
      </c>
      <c r="C18" s="179" t="e">
        <f>#REF!</f>
        <v>#REF!</v>
      </c>
      <c r="D18" s="252" t="e">
        <f>IF(B18="","",#REF!)</f>
        <v>#REF!</v>
      </c>
      <c r="E18" s="241"/>
      <c r="F18" s="1"/>
      <c r="J18" s="8">
        <f t="shared" si="0"/>
        <v>0</v>
      </c>
      <c r="L18">
        <f t="shared" si="1"/>
        <v>0</v>
      </c>
    </row>
    <row r="19" spans="1:12" ht="22.15" customHeight="1">
      <c r="A19" s="174" t="e">
        <f>#REF!</f>
        <v>#REF!</v>
      </c>
      <c r="B19" s="177" t="e">
        <f>#REF!</f>
        <v>#REF!</v>
      </c>
      <c r="C19" s="179" t="e">
        <f>#REF!</f>
        <v>#REF!</v>
      </c>
      <c r="D19" s="252" t="e">
        <f>IF(B19="","",#REF!)</f>
        <v>#REF!</v>
      </c>
      <c r="E19" s="241"/>
      <c r="F19" s="1"/>
      <c r="J19" s="8">
        <f t="shared" si="0"/>
        <v>0</v>
      </c>
      <c r="L19">
        <f t="shared" si="1"/>
        <v>0</v>
      </c>
    </row>
    <row r="20" spans="1:12" ht="22.15" customHeight="1">
      <c r="A20" s="174" t="e">
        <f>#REF!</f>
        <v>#REF!</v>
      </c>
      <c r="B20" s="177" t="e">
        <f>#REF!</f>
        <v>#REF!</v>
      </c>
      <c r="C20" s="179" t="e">
        <f>#REF!</f>
        <v>#REF!</v>
      </c>
      <c r="D20" s="252" t="e">
        <f>IF(B20="","",#REF!)</f>
        <v>#REF!</v>
      </c>
      <c r="E20" s="241"/>
      <c r="F20" s="1"/>
      <c r="J20" s="8">
        <f t="shared" si="0"/>
        <v>0</v>
      </c>
      <c r="L20">
        <f t="shared" si="1"/>
        <v>0</v>
      </c>
    </row>
    <row r="21" spans="1:12" ht="22.15" customHeight="1">
      <c r="A21" s="240">
        <v>15</v>
      </c>
      <c r="B21" s="229" t="e">
        <f>#REF!</f>
        <v>#REF!</v>
      </c>
      <c r="C21" s="234" t="e">
        <f>#REF!</f>
        <v>#REF!</v>
      </c>
      <c r="D21" s="252" t="e">
        <f>IF(B21="","",#REF!)</f>
        <v>#REF!</v>
      </c>
      <c r="E21" s="241"/>
      <c r="F21" s="1"/>
      <c r="J21" s="8">
        <f t="shared" si="0"/>
        <v>0</v>
      </c>
      <c r="L21">
        <f t="shared" si="1"/>
        <v>0</v>
      </c>
    </row>
    <row r="22" spans="1:12" ht="22.15" customHeight="1">
      <c r="A22" s="240" t="e">
        <f>#REF!</f>
        <v>#REF!</v>
      </c>
      <c r="B22" s="229" t="e">
        <f>#REF!</f>
        <v>#REF!</v>
      </c>
      <c r="C22" s="234" t="e">
        <f>#REF!</f>
        <v>#REF!</v>
      </c>
      <c r="D22" s="252" t="e">
        <f>IF(B22="","",#REF!)</f>
        <v>#REF!</v>
      </c>
      <c r="E22" s="241"/>
      <c r="F22" s="1"/>
      <c r="J22" s="8">
        <f t="shared" si="0"/>
        <v>0</v>
      </c>
      <c r="L22">
        <f t="shared" si="1"/>
        <v>0</v>
      </c>
    </row>
    <row r="23" spans="1:12" ht="22.15" customHeight="1">
      <c r="A23" s="240">
        <v>17</v>
      </c>
      <c r="B23" s="229" t="e">
        <f>#REF!</f>
        <v>#REF!</v>
      </c>
      <c r="C23" s="234" t="e">
        <f>#REF!</f>
        <v>#REF!</v>
      </c>
      <c r="D23" s="252" t="e">
        <f>IF(B23="","",#REF!)</f>
        <v>#REF!</v>
      </c>
      <c r="E23" s="239"/>
      <c r="F23" s="1"/>
      <c r="J23" s="8"/>
      <c r="L23">
        <f t="shared" si="1"/>
        <v>0</v>
      </c>
    </row>
    <row r="24" spans="1:12" ht="22.15" customHeight="1">
      <c r="A24" s="240" t="e">
        <f>#REF!</f>
        <v>#REF!</v>
      </c>
      <c r="B24" s="229" t="e">
        <f>#REF!</f>
        <v>#REF!</v>
      </c>
      <c r="C24" s="234" t="e">
        <f>#REF!</f>
        <v>#REF!</v>
      </c>
      <c r="D24" s="252" t="e">
        <f>IF(B24="","",#REF!)</f>
        <v>#REF!</v>
      </c>
      <c r="E24" s="239"/>
      <c r="F24" s="1"/>
      <c r="J24" s="8"/>
      <c r="L24">
        <f t="shared" si="1"/>
        <v>0</v>
      </c>
    </row>
    <row r="25" spans="1:12" ht="22.15" customHeight="1">
      <c r="A25" s="240" t="e">
        <f>#REF!</f>
        <v>#REF!</v>
      </c>
      <c r="B25" s="177" t="e">
        <f>#REF!</f>
        <v>#REF!</v>
      </c>
      <c r="C25" s="179" t="e">
        <f>#REF!</f>
        <v>#REF!</v>
      </c>
      <c r="D25" s="252" t="e">
        <f>IF(B25="","",#REF!)</f>
        <v>#REF!</v>
      </c>
      <c r="E25" s="181"/>
      <c r="F25" s="1"/>
      <c r="J25" s="8"/>
      <c r="L25">
        <f t="shared" si="1"/>
        <v>0</v>
      </c>
    </row>
    <row r="26" spans="1:12" ht="22.15" customHeight="1" thickBot="1">
      <c r="A26" s="245" t="e">
        <f>#REF!</f>
        <v>#REF!</v>
      </c>
      <c r="B26" s="222" t="e">
        <f>#REF!</f>
        <v>#REF!</v>
      </c>
      <c r="C26" s="223" t="e">
        <f>#REF!</f>
        <v>#REF!</v>
      </c>
      <c r="D26" s="183"/>
      <c r="E26" s="184"/>
      <c r="F26" s="1"/>
      <c r="J26" s="8"/>
    </row>
    <row r="27" spans="1:12" ht="22.15" customHeight="1" thickTop="1" thickBot="1">
      <c r="A27" s="214"/>
      <c r="B27" s="214"/>
      <c r="C27" s="214"/>
      <c r="D27" s="220" t="s">
        <v>80</v>
      </c>
      <c r="E27" s="232">
        <f>SUM(E7:E26)</f>
        <v>0</v>
      </c>
      <c r="F27" s="1"/>
      <c r="J27" s="8"/>
    </row>
    <row r="28" spans="1:12" ht="13.15" customHeight="1" thickTop="1">
      <c r="A28" s="167"/>
      <c r="B28" s="167"/>
      <c r="C28" s="167"/>
      <c r="D28" s="172"/>
      <c r="E28" s="173"/>
      <c r="F28" s="1"/>
      <c r="J28" s="8"/>
    </row>
    <row r="29" spans="1:12" ht="13.15" customHeight="1">
      <c r="A29" s="167"/>
      <c r="B29" s="221"/>
      <c r="C29" s="167"/>
      <c r="D29" s="167"/>
      <c r="E29" s="167"/>
      <c r="F29" s="1"/>
      <c r="J29" s="8"/>
    </row>
    <row r="30" spans="1:12" ht="13.15" customHeight="1">
      <c r="A30" s="170"/>
      <c r="B30" s="170"/>
      <c r="C30" s="351"/>
      <c r="D30" s="351"/>
      <c r="E30" s="351"/>
      <c r="J30" s="8"/>
    </row>
    <row r="31" spans="1:12">
      <c r="A31" s="170"/>
      <c r="B31" s="170"/>
      <c r="C31" s="170"/>
      <c r="D31" s="170"/>
      <c r="E31" s="170"/>
      <c r="J31" s="8"/>
    </row>
    <row r="32" spans="1:12">
      <c r="A32" s="170"/>
      <c r="B32" s="170"/>
      <c r="C32" s="170"/>
      <c r="D32" s="170"/>
      <c r="E32" s="170"/>
      <c r="J32" s="8"/>
    </row>
    <row r="33" spans="1:10">
      <c r="A33" s="170"/>
      <c r="B33" s="170"/>
      <c r="C33" s="170"/>
      <c r="D33" s="170"/>
      <c r="E33" s="170"/>
      <c r="J33" s="8"/>
    </row>
    <row r="34" spans="1:10" ht="14">
      <c r="B34" s="224"/>
      <c r="C34" s="249" t="s">
        <v>79</v>
      </c>
      <c r="D34" s="248" t="e">
        <f>#REF!</f>
        <v>#REF!</v>
      </c>
      <c r="E34" s="4"/>
      <c r="F34" s="4"/>
      <c r="G34" s="4"/>
    </row>
  </sheetData>
  <mergeCells count="2">
    <mergeCell ref="C30:E30"/>
    <mergeCell ref="A4:E4"/>
  </mergeCells>
  <phoneticPr fontId="0" type="noConversion"/>
  <pageMargins left="0.98425196850393704" right="0.19685039370078741" top="0.39370078740157483" bottom="0" header="0" footer="0"/>
  <pageSetup paperSize="9" orientation="portrait" blackAndWhite="1" horizontalDpi="4294967293" vertic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S26"/>
  <sheetViews>
    <sheetView showGridLines="0" tabSelected="1" view="pageBreakPreview" zoomScaleNormal="100" zoomScaleSheetLayoutView="100" workbookViewId="0">
      <selection activeCell="H27" sqref="H27"/>
    </sheetView>
  </sheetViews>
  <sheetFormatPr defaultColWidth="9.26953125" defaultRowHeight="12.5"/>
  <cols>
    <col min="1" max="1" width="5.1796875" style="323" customWidth="1"/>
    <col min="2" max="2" width="9.26953125" style="323"/>
    <col min="3" max="3" width="16.7265625" style="323" customWidth="1"/>
    <col min="4" max="4" width="7.81640625" style="323" customWidth="1"/>
    <col min="5" max="5" width="34.453125" style="323" customWidth="1"/>
    <col min="6" max="6" width="10.453125" style="323" customWidth="1"/>
    <col min="7" max="7" width="11.7265625" style="323" customWidth="1"/>
    <col min="8" max="8" width="11.54296875" style="323" customWidth="1"/>
    <col min="9" max="9" width="26.453125" style="323" customWidth="1"/>
    <col min="10" max="10" width="9.26953125" style="323"/>
    <col min="11" max="11" width="9.26953125" style="324"/>
    <col min="12" max="16384" width="9.26953125" style="323"/>
  </cols>
  <sheetData>
    <row r="1" spans="1:19" ht="27" customHeight="1" thickBot="1">
      <c r="A1" s="356" t="s">
        <v>115</v>
      </c>
      <c r="B1" s="356"/>
      <c r="C1" s="356"/>
      <c r="D1" s="356"/>
      <c r="E1" s="356"/>
      <c r="F1" s="356"/>
      <c r="G1" s="356"/>
      <c r="H1" s="356"/>
      <c r="I1" s="356"/>
    </row>
    <row r="2" spans="1:19" ht="3" customHeight="1" thickTop="1"/>
    <row r="3" spans="1:19" ht="19.5" customHeight="1">
      <c r="A3" s="358" t="s">
        <v>89</v>
      </c>
      <c r="B3" s="358"/>
      <c r="C3" s="358" t="s">
        <v>129</v>
      </c>
      <c r="D3" s="358"/>
      <c r="E3" s="328"/>
      <c r="F3" s="328"/>
      <c r="G3" s="328"/>
      <c r="H3" s="329" t="s">
        <v>13</v>
      </c>
      <c r="I3" s="330">
        <v>46022</v>
      </c>
    </row>
    <row r="4" spans="1:19" ht="3" customHeight="1" thickBot="1">
      <c r="A4" s="325"/>
      <c r="B4" s="325"/>
      <c r="C4" s="325"/>
      <c r="D4" s="325"/>
      <c r="E4" s="325"/>
      <c r="F4" s="325"/>
      <c r="G4" s="325"/>
      <c r="H4" s="325"/>
      <c r="I4" s="325"/>
    </row>
    <row r="5" spans="1:19" ht="40.5" customHeight="1" thickTop="1">
      <c r="A5" s="332" t="s">
        <v>17</v>
      </c>
      <c r="B5" s="357" t="s">
        <v>88</v>
      </c>
      <c r="C5" s="357"/>
      <c r="D5" s="340" t="s">
        <v>87</v>
      </c>
      <c r="E5" s="334" t="s">
        <v>117</v>
      </c>
      <c r="F5" s="334" t="s">
        <v>86</v>
      </c>
      <c r="G5" s="333" t="s">
        <v>114</v>
      </c>
      <c r="H5" s="335" t="s">
        <v>85</v>
      </c>
      <c r="I5" s="336" t="s">
        <v>118</v>
      </c>
      <c r="K5" s="326"/>
    </row>
    <row r="6" spans="1:19" ht="53.25" customHeight="1">
      <c r="A6" s="346">
        <v>1</v>
      </c>
      <c r="B6" s="359" t="s">
        <v>119</v>
      </c>
      <c r="C6" s="359"/>
      <c r="D6" s="343"/>
      <c r="E6" s="348" t="s">
        <v>120</v>
      </c>
      <c r="F6" s="345">
        <v>4</v>
      </c>
      <c r="G6" s="341">
        <v>25.56</v>
      </c>
      <c r="H6" s="339"/>
      <c r="I6" s="344">
        <f>F6*G6</f>
        <v>102.24</v>
      </c>
      <c r="K6" s="326"/>
    </row>
    <row r="7" spans="1:19" ht="47.25" customHeight="1">
      <c r="A7" s="346">
        <v>2</v>
      </c>
      <c r="B7" s="360" t="s">
        <v>121</v>
      </c>
      <c r="C7" s="360"/>
      <c r="D7" s="343"/>
      <c r="E7" s="348" t="s">
        <v>120</v>
      </c>
      <c r="F7" s="345">
        <v>5</v>
      </c>
      <c r="G7" s="341">
        <v>6.92</v>
      </c>
      <c r="H7" s="339"/>
      <c r="I7" s="344">
        <f t="shared" ref="I7:I14" si="0">F7*G7</f>
        <v>34.6</v>
      </c>
      <c r="K7" s="326"/>
    </row>
    <row r="8" spans="1:19" ht="46.5" customHeight="1">
      <c r="A8" s="346">
        <v>3</v>
      </c>
      <c r="B8" s="360" t="s">
        <v>121</v>
      </c>
      <c r="C8" s="360"/>
      <c r="D8" s="343"/>
      <c r="E8" s="348" t="s">
        <v>122</v>
      </c>
      <c r="F8" s="345">
        <v>3</v>
      </c>
      <c r="G8" s="347">
        <v>6.92</v>
      </c>
      <c r="H8" s="339"/>
      <c r="I8" s="344">
        <f t="shared" si="0"/>
        <v>20.759999999999998</v>
      </c>
      <c r="K8" s="326"/>
    </row>
    <row r="9" spans="1:19" ht="46.5" customHeight="1">
      <c r="A9" s="346">
        <v>4</v>
      </c>
      <c r="B9" s="360" t="s">
        <v>123</v>
      </c>
      <c r="C9" s="360"/>
      <c r="D9" s="343"/>
      <c r="E9" s="348" t="s">
        <v>120</v>
      </c>
      <c r="F9" s="345">
        <v>1</v>
      </c>
      <c r="G9" s="347">
        <v>13.62</v>
      </c>
      <c r="H9" s="339"/>
      <c r="I9" s="344">
        <f t="shared" si="0"/>
        <v>13.62</v>
      </c>
      <c r="K9" s="326"/>
    </row>
    <row r="10" spans="1:19" ht="46.5" customHeight="1">
      <c r="A10" s="346">
        <v>5</v>
      </c>
      <c r="B10" s="360" t="s">
        <v>124</v>
      </c>
      <c r="C10" s="360"/>
      <c r="D10" s="343"/>
      <c r="E10" s="348" t="s">
        <v>120</v>
      </c>
      <c r="F10" s="345">
        <v>2</v>
      </c>
      <c r="G10" s="347">
        <v>1.3</v>
      </c>
      <c r="H10" s="339"/>
      <c r="I10" s="344">
        <f t="shared" si="0"/>
        <v>2.6</v>
      </c>
      <c r="K10" s="326"/>
    </row>
    <row r="11" spans="1:19" ht="46.5" customHeight="1">
      <c r="A11" s="346">
        <v>6</v>
      </c>
      <c r="B11" s="360" t="s">
        <v>121</v>
      </c>
      <c r="C11" s="360"/>
      <c r="D11" s="343"/>
      <c r="E11" s="348" t="s">
        <v>125</v>
      </c>
      <c r="F11" s="345">
        <v>13</v>
      </c>
      <c r="G11" s="347">
        <v>6.92</v>
      </c>
      <c r="H11" s="339"/>
      <c r="I11" s="344">
        <f t="shared" si="0"/>
        <v>89.96</v>
      </c>
      <c r="K11" s="326"/>
    </row>
    <row r="12" spans="1:19" ht="46.5" customHeight="1">
      <c r="A12" s="346">
        <v>7</v>
      </c>
      <c r="B12" s="359" t="s">
        <v>119</v>
      </c>
      <c r="C12" s="359"/>
      <c r="D12" s="343"/>
      <c r="E12" s="348" t="s">
        <v>126</v>
      </c>
      <c r="F12" s="345">
        <v>5</v>
      </c>
      <c r="G12" s="347">
        <v>25.56</v>
      </c>
      <c r="H12" s="339"/>
      <c r="I12" s="344">
        <f t="shared" si="0"/>
        <v>127.8</v>
      </c>
      <c r="K12" s="326"/>
    </row>
    <row r="13" spans="1:19" ht="46.5" customHeight="1">
      <c r="A13" s="346">
        <v>8</v>
      </c>
      <c r="B13" s="360" t="s">
        <v>123</v>
      </c>
      <c r="C13" s="360"/>
      <c r="D13" s="343"/>
      <c r="E13" s="348" t="s">
        <v>125</v>
      </c>
      <c r="F13" s="345">
        <v>1</v>
      </c>
      <c r="G13" s="347">
        <v>13.62</v>
      </c>
      <c r="H13" s="339"/>
      <c r="I13" s="344">
        <f t="shared" si="0"/>
        <v>13.62</v>
      </c>
      <c r="K13" s="326"/>
    </row>
    <row r="14" spans="1:19" ht="50.25" customHeight="1">
      <c r="A14" s="346">
        <v>9</v>
      </c>
      <c r="B14" s="360" t="s">
        <v>127</v>
      </c>
      <c r="C14" s="360"/>
      <c r="D14" s="342"/>
      <c r="E14" s="348" t="s">
        <v>128</v>
      </c>
      <c r="F14" s="345">
        <v>1</v>
      </c>
      <c r="G14" s="341">
        <v>3.359</v>
      </c>
      <c r="H14" s="339"/>
      <c r="I14" s="344">
        <f t="shared" si="0"/>
        <v>3.359</v>
      </c>
      <c r="K14" s="326"/>
    </row>
    <row r="15" spans="1:19" ht="23.25" customHeight="1" thickBot="1">
      <c r="A15" s="353" t="s">
        <v>116</v>
      </c>
      <c r="B15" s="354"/>
      <c r="C15" s="354"/>
      <c r="D15" s="354"/>
      <c r="E15" s="354"/>
      <c r="F15" s="354"/>
      <c r="G15" s="355"/>
      <c r="H15" s="337"/>
      <c r="I15" s="338">
        <f>SUM(I6:I14)</f>
        <v>408.55899999999997</v>
      </c>
      <c r="S15" s="327"/>
    </row>
    <row r="16" spans="1:19" ht="13" thickTop="1"/>
    <row r="18" spans="8:8" ht="55.5" customHeight="1"/>
    <row r="25" spans="8:8" ht="13">
      <c r="H25" s="331" t="s">
        <v>130</v>
      </c>
    </row>
    <row r="26" spans="8:8" ht="13">
      <c r="H26" s="331" t="s">
        <v>131</v>
      </c>
    </row>
  </sheetData>
  <mergeCells count="14">
    <mergeCell ref="A15:G15"/>
    <mergeCell ref="A1:I1"/>
    <mergeCell ref="B5:C5"/>
    <mergeCell ref="A3:B3"/>
    <mergeCell ref="C3:D3"/>
    <mergeCell ref="B6:C6"/>
    <mergeCell ref="B7:C7"/>
    <mergeCell ref="B8:C8"/>
    <mergeCell ref="B14:C14"/>
    <mergeCell ref="B9:C9"/>
    <mergeCell ref="B10:C10"/>
    <mergeCell ref="B11:C11"/>
    <mergeCell ref="B12:C12"/>
    <mergeCell ref="B13:C13"/>
  </mergeCells>
  <printOptions horizontalCentered="1" verticalCentered="1"/>
  <pageMargins left="0" right="0" top="0.98425196850393704" bottom="0.98425196850393704" header="0" footer="0"/>
  <pageSetup paperSize="9" scale="63" orientation="portrait" horizont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>
    <tabColor rgb="FFFFC000"/>
  </sheetPr>
  <dimension ref="A1:I47"/>
  <sheetViews>
    <sheetView showGridLines="0" showZeros="0" showOutlineSymbols="0" defaultGridColor="0" colorId="8" zoomScale="110" zoomScaleNormal="110" zoomScaleSheetLayoutView="120" workbookViewId="0">
      <selection activeCell="M9" sqref="M9"/>
    </sheetView>
  </sheetViews>
  <sheetFormatPr defaultColWidth="9.7265625" defaultRowHeight="12.5"/>
  <cols>
    <col min="1" max="1" width="9.7265625" customWidth="1"/>
    <col min="2" max="2" width="12.7265625" customWidth="1"/>
    <col min="3" max="3" width="8.7265625" customWidth="1"/>
    <col min="4" max="4" width="12.7265625" customWidth="1"/>
    <col min="5" max="5" width="11.7265625" customWidth="1"/>
    <col min="6" max="6" width="8.7265625" customWidth="1"/>
    <col min="7" max="8" width="15.7265625" customWidth="1"/>
    <col min="9" max="10" width="1.7265625" customWidth="1"/>
  </cols>
  <sheetData>
    <row r="1" spans="1:9" ht="27" customHeight="1" thickTop="1">
      <c r="A1" s="387" t="s">
        <v>92</v>
      </c>
      <c r="B1" s="388"/>
      <c r="C1" s="388"/>
      <c r="D1" s="388"/>
      <c r="E1" s="388"/>
      <c r="F1" s="388"/>
      <c r="G1" s="388"/>
      <c r="H1" s="389"/>
      <c r="I1" s="142"/>
    </row>
    <row r="2" spans="1:9" ht="15" customHeight="1">
      <c r="A2" s="112"/>
      <c r="B2" s="113"/>
      <c r="C2" s="113"/>
      <c r="D2" s="114"/>
      <c r="E2" s="113"/>
      <c r="F2" s="113"/>
      <c r="G2" s="113"/>
      <c r="H2" s="283" t="s">
        <v>70</v>
      </c>
      <c r="I2" s="142"/>
    </row>
    <row r="3" spans="1:9" ht="15" customHeight="1">
      <c r="A3" s="270" t="s">
        <v>56</v>
      </c>
      <c r="B3" s="284" t="e">
        <f>#REF!</f>
        <v>#REF!</v>
      </c>
      <c r="C3" s="116"/>
      <c r="D3" s="116"/>
      <c r="E3" s="116"/>
      <c r="F3" s="116"/>
      <c r="G3" s="117"/>
      <c r="H3" s="118"/>
      <c r="I3" s="142"/>
    </row>
    <row r="4" spans="1:9" ht="15" customHeight="1">
      <c r="A4" s="270" t="s">
        <v>93</v>
      </c>
      <c r="B4" s="284" t="e">
        <f>#REF!</f>
        <v>#REF!</v>
      </c>
      <c r="C4" s="116"/>
      <c r="D4" s="116"/>
      <c r="E4" s="116"/>
      <c r="F4" s="116"/>
      <c r="G4" s="116"/>
      <c r="H4" s="118"/>
      <c r="I4" s="142"/>
    </row>
    <row r="5" spans="1:9" ht="15" customHeight="1">
      <c r="A5" s="364" t="s">
        <v>58</v>
      </c>
      <c r="B5" s="365"/>
      <c r="C5" s="365"/>
      <c r="D5" s="280" t="e">
        <f>#REF!</f>
        <v>#REF!</v>
      </c>
      <c r="E5" s="117"/>
      <c r="F5" s="117"/>
      <c r="G5" s="117"/>
      <c r="H5" s="119"/>
      <c r="I5" s="142"/>
    </row>
    <row r="6" spans="1:9" ht="15" customHeight="1">
      <c r="A6" s="364" t="s">
        <v>96</v>
      </c>
      <c r="B6" s="365"/>
      <c r="C6" s="365"/>
      <c r="D6" s="282" t="e">
        <f>#REF!</f>
        <v>#REF!</v>
      </c>
      <c r="E6" s="138"/>
      <c r="F6" s="117"/>
      <c r="G6" s="117"/>
      <c r="H6" s="119"/>
      <c r="I6" s="142"/>
    </row>
    <row r="7" spans="1:9" ht="15" customHeight="1">
      <c r="A7" s="364" t="s">
        <v>97</v>
      </c>
      <c r="B7" s="365"/>
      <c r="C7" s="365"/>
      <c r="D7" s="285" t="e">
        <f>#REF!</f>
        <v>#REF!</v>
      </c>
      <c r="E7" s="138"/>
      <c r="F7" s="117"/>
      <c r="G7" s="116"/>
      <c r="H7" s="119"/>
      <c r="I7" s="142"/>
    </row>
    <row r="8" spans="1:9" ht="15" customHeight="1">
      <c r="A8" s="115" t="s">
        <v>98</v>
      </c>
      <c r="B8" s="282" t="e">
        <f>#REF!</f>
        <v>#REF!</v>
      </c>
      <c r="C8" s="279" t="s">
        <v>63</v>
      </c>
      <c r="D8" s="281" t="e">
        <f>#REF!</f>
        <v>#REF!</v>
      </c>
      <c r="E8" s="247"/>
      <c r="F8" s="102"/>
      <c r="G8" s="102"/>
      <c r="H8" s="121"/>
      <c r="I8" s="142"/>
    </row>
    <row r="9" spans="1:9" ht="15" customHeight="1">
      <c r="A9" s="364" t="s">
        <v>99</v>
      </c>
      <c r="B9" s="365"/>
      <c r="C9" s="120"/>
      <c r="D9" s="286"/>
      <c r="E9" s="246"/>
      <c r="F9" s="116"/>
      <c r="G9" s="116"/>
      <c r="H9" s="121"/>
      <c r="I9" s="142"/>
    </row>
    <row r="10" spans="1:9" ht="15.65" customHeight="1">
      <c r="A10" s="122"/>
      <c r="B10" s="102"/>
      <c r="C10" s="103"/>
      <c r="D10" s="102"/>
      <c r="E10" s="102"/>
      <c r="F10" s="322"/>
      <c r="G10" s="102"/>
      <c r="H10" s="123" t="s">
        <v>15</v>
      </c>
      <c r="I10" s="142"/>
    </row>
    <row r="11" spans="1:9" ht="15.65" customHeight="1">
      <c r="A11" s="390" t="s">
        <v>39</v>
      </c>
      <c r="B11" s="391"/>
      <c r="C11" s="290" t="s">
        <v>16</v>
      </c>
      <c r="D11" s="291" t="e">
        <f>#REF!</f>
        <v>#REF!</v>
      </c>
      <c r="E11" s="292" t="e">
        <f>B8</f>
        <v>#REF!</v>
      </c>
      <c r="F11" s="321" t="s">
        <v>65</v>
      </c>
      <c r="G11" s="293" t="e">
        <f>D8</f>
        <v>#REF!</v>
      </c>
      <c r="H11" s="139" t="e">
        <f>D11*G11/30</f>
        <v>#REF!</v>
      </c>
      <c r="I11" s="142"/>
    </row>
    <row r="12" spans="1:9" ht="15.65" customHeight="1">
      <c r="A12" s="366" t="s">
        <v>95</v>
      </c>
      <c r="B12" s="367"/>
      <c r="C12" s="294" t="s">
        <v>16</v>
      </c>
      <c r="D12" s="295" t="e">
        <f>#REF!</f>
        <v>#REF!</v>
      </c>
      <c r="E12" s="296" t="e">
        <f>B8</f>
        <v>#REF!</v>
      </c>
      <c r="F12" s="297" t="s">
        <v>65</v>
      </c>
      <c r="G12" s="298" t="e">
        <f>D8</f>
        <v>#REF!</v>
      </c>
      <c r="H12" s="140" t="e">
        <f>D12*G12/30</f>
        <v>#REF!</v>
      </c>
      <c r="I12" s="142"/>
    </row>
    <row r="13" spans="1:9" ht="15.65" customHeight="1">
      <c r="A13" s="366" t="s">
        <v>112</v>
      </c>
      <c r="B13" s="367"/>
      <c r="C13" s="299" t="s">
        <v>106</v>
      </c>
      <c r="D13" s="300"/>
      <c r="E13" s="299" t="s">
        <v>20</v>
      </c>
      <c r="F13" s="301"/>
      <c r="G13" s="297"/>
      <c r="H13" s="140">
        <f>D13*F13</f>
        <v>0</v>
      </c>
      <c r="I13" s="142"/>
    </row>
    <row r="14" spans="1:9" ht="15.65" customHeight="1">
      <c r="A14" s="366" t="s">
        <v>41</v>
      </c>
      <c r="B14" s="367"/>
      <c r="C14" s="302" t="s">
        <v>16</v>
      </c>
      <c r="D14" s="383" t="e">
        <f>#REF!</f>
        <v>#REF!</v>
      </c>
      <c r="E14" s="383"/>
      <c r="F14" s="383"/>
      <c r="G14" s="384"/>
      <c r="H14" s="140" t="e">
        <f>#REF!</f>
        <v>#REF!</v>
      </c>
      <c r="I14" s="142"/>
    </row>
    <row r="15" spans="1:9" ht="15.65" customHeight="1">
      <c r="A15" s="366" t="s">
        <v>42</v>
      </c>
      <c r="B15" s="367"/>
      <c r="C15" s="302" t="s">
        <v>16</v>
      </c>
      <c r="D15" s="383"/>
      <c r="E15" s="394"/>
      <c r="F15" s="394"/>
      <c r="G15" s="395"/>
      <c r="H15" s="141">
        <f>D15/30*G15</f>
        <v>0</v>
      </c>
      <c r="I15" s="142"/>
    </row>
    <row r="16" spans="1:9" ht="15.65" customHeight="1">
      <c r="A16" s="366" t="s">
        <v>43</v>
      </c>
      <c r="B16" s="367"/>
      <c r="C16" s="303" t="s">
        <v>16</v>
      </c>
      <c r="D16" s="295" t="e">
        <f>#REF!</f>
        <v>#REF!</v>
      </c>
      <c r="E16" s="296" t="e">
        <f>B8</f>
        <v>#REF!</v>
      </c>
      <c r="F16" s="304" t="s">
        <v>65</v>
      </c>
      <c r="G16" s="298" t="e">
        <f>D8</f>
        <v>#REF!</v>
      </c>
      <c r="H16" s="140" t="e">
        <f>D16*G16/30</f>
        <v>#REF!</v>
      </c>
      <c r="I16" s="142"/>
    </row>
    <row r="17" spans="1:9" ht="15.65" customHeight="1">
      <c r="A17" s="366" t="s">
        <v>113</v>
      </c>
      <c r="B17" s="367"/>
      <c r="C17" s="303" t="s">
        <v>16</v>
      </c>
      <c r="D17" s="295" t="e">
        <f>#REF!</f>
        <v>#REF!</v>
      </c>
      <c r="E17" s="296" t="e">
        <f>B8</f>
        <v>#REF!</v>
      </c>
      <c r="F17" s="304" t="s">
        <v>65</v>
      </c>
      <c r="G17" s="298">
        <f>D9</f>
        <v>0</v>
      </c>
      <c r="H17" s="140" t="e">
        <f>D17*D8/30</f>
        <v>#REF!</v>
      </c>
      <c r="I17" s="142"/>
    </row>
    <row r="18" spans="1:9" ht="15.65" customHeight="1">
      <c r="A18" s="366" t="s">
        <v>94</v>
      </c>
      <c r="B18" s="367"/>
      <c r="C18" s="299" t="s">
        <v>16</v>
      </c>
      <c r="D18" s="295" t="e">
        <f>#REF!</f>
        <v>#REF!</v>
      </c>
      <c r="E18" s="296" t="e">
        <f>B8</f>
        <v>#REF!</v>
      </c>
      <c r="F18" s="297" t="s">
        <v>65</v>
      </c>
      <c r="G18" s="298" t="e">
        <f>D8</f>
        <v>#REF!</v>
      </c>
      <c r="H18" s="140" t="e">
        <f>D18*G18/30</f>
        <v>#REF!</v>
      </c>
      <c r="I18" s="142"/>
    </row>
    <row r="19" spans="1:9" ht="15.65" customHeight="1">
      <c r="A19" s="368" t="s">
        <v>84</v>
      </c>
      <c r="B19" s="369"/>
      <c r="C19" s="305"/>
      <c r="D19" s="295" t="e">
        <f>#REF!</f>
        <v>#REF!</v>
      </c>
      <c r="E19" s="296" t="e">
        <f>B8</f>
        <v>#REF!</v>
      </c>
      <c r="F19" s="297" t="s">
        <v>65</v>
      </c>
      <c r="G19" s="298" t="e">
        <f>D8</f>
        <v>#REF!</v>
      </c>
      <c r="H19" s="140" t="e">
        <f>D19*G19/30</f>
        <v>#REF!</v>
      </c>
      <c r="I19" s="142"/>
    </row>
    <row r="20" spans="1:9" ht="15.65" customHeight="1">
      <c r="A20" s="392" t="s">
        <v>100</v>
      </c>
      <c r="B20" s="393"/>
      <c r="C20" s="393"/>
      <c r="D20" s="393"/>
      <c r="E20" s="105"/>
      <c r="F20" s="105"/>
      <c r="G20" s="106"/>
      <c r="H20" s="259" t="e">
        <f>SUM(H11:H19)</f>
        <v>#REF!</v>
      </c>
      <c r="I20" s="142"/>
    </row>
    <row r="21" spans="1:9" ht="15.65" customHeight="1">
      <c r="A21" s="124" t="s">
        <v>101</v>
      </c>
      <c r="B21" s="107"/>
      <c r="C21" s="107"/>
      <c r="D21" s="107"/>
      <c r="E21" s="107"/>
      <c r="F21" s="108" t="str">
        <f>IF(H21&lt;0,"Debit","Credit")</f>
        <v>Credit</v>
      </c>
      <c r="G21" s="109"/>
      <c r="H21" s="258"/>
      <c r="I21" s="142"/>
    </row>
    <row r="22" spans="1:9" ht="15.65" customHeight="1">
      <c r="A22" s="125" t="s">
        <v>102</v>
      </c>
      <c r="B22" s="102"/>
      <c r="C22" s="102"/>
      <c r="D22" s="102"/>
      <c r="E22" s="102"/>
      <c r="F22" s="102"/>
      <c r="G22" s="126"/>
      <c r="H22" s="260" t="e">
        <f>H20+H21</f>
        <v>#REF!</v>
      </c>
      <c r="I22" s="142"/>
    </row>
    <row r="23" spans="1:9" ht="8.15" customHeight="1">
      <c r="A23" s="127"/>
      <c r="B23" s="102"/>
      <c r="C23" s="102"/>
      <c r="D23" s="102"/>
      <c r="E23" s="102"/>
      <c r="F23" s="102"/>
      <c r="G23" s="110"/>
      <c r="H23" s="128"/>
      <c r="I23" s="142"/>
    </row>
    <row r="24" spans="1:9" ht="15.65" customHeight="1">
      <c r="A24" s="125" t="s">
        <v>103</v>
      </c>
      <c r="B24" s="102"/>
      <c r="C24" s="102"/>
      <c r="D24" s="102"/>
      <c r="E24" s="102"/>
      <c r="F24" s="102"/>
      <c r="G24" s="111" t="s">
        <v>15</v>
      </c>
      <c r="H24" s="128"/>
      <c r="I24" s="142"/>
    </row>
    <row r="25" spans="1:9" ht="15.65" customHeight="1">
      <c r="A25" s="306" t="s">
        <v>47</v>
      </c>
      <c r="B25" s="307"/>
      <c r="C25" s="307" t="s">
        <v>16</v>
      </c>
      <c r="D25" s="292" t="e">
        <f>B8</f>
        <v>#REF!</v>
      </c>
      <c r="E25" s="308" t="s">
        <v>66</v>
      </c>
      <c r="F25" s="309"/>
      <c r="G25" s="233" t="e">
        <f>C25*D25+C25*F25/30</f>
        <v>#REF!</v>
      </c>
      <c r="H25" s="128"/>
      <c r="I25" s="142"/>
    </row>
    <row r="26" spans="1:9" ht="15.65" customHeight="1">
      <c r="A26" s="366" t="s">
        <v>107</v>
      </c>
      <c r="B26" s="367"/>
      <c r="C26" s="319" t="s">
        <v>16</v>
      </c>
      <c r="D26" s="310" t="e">
        <f>#REF!</f>
        <v>#REF!</v>
      </c>
      <c r="E26" s="320"/>
      <c r="F26" s="312"/>
      <c r="G26" s="256" t="e">
        <f>#REF!</f>
        <v>#REF!</v>
      </c>
      <c r="H26" s="128"/>
      <c r="I26" s="142"/>
    </row>
    <row r="27" spans="1:9" ht="15.65" customHeight="1">
      <c r="A27" s="366" t="s">
        <v>108</v>
      </c>
      <c r="B27" s="367"/>
      <c r="C27" s="367"/>
      <c r="D27" s="385">
        <f>'2AL'!D7</f>
        <v>0</v>
      </c>
      <c r="E27" s="385"/>
      <c r="F27" s="386"/>
      <c r="G27" s="135">
        <f>'2AL'!E25</f>
        <v>0</v>
      </c>
      <c r="H27" s="128"/>
      <c r="I27" s="142"/>
    </row>
    <row r="28" spans="1:9" ht="15.65" customHeight="1">
      <c r="A28" s="366" t="s">
        <v>51</v>
      </c>
      <c r="B28" s="367"/>
      <c r="C28" s="367"/>
      <c r="D28" s="297" t="e">
        <f>IF(#REF!=0,"",#REF!)</f>
        <v>#REF!</v>
      </c>
      <c r="E28" s="313" t="e">
        <f>IF(#REF!=0,"",#REF!)</f>
        <v>#REF!</v>
      </c>
      <c r="F28" s="314" t="e">
        <f>IF(#REF!=0,"",#REF!)</f>
        <v>#REF!</v>
      </c>
      <c r="G28" s="104" t="e">
        <f>#REF!</f>
        <v>#REF!</v>
      </c>
      <c r="H28" s="128"/>
      <c r="I28" s="142"/>
    </row>
    <row r="29" spans="1:9" ht="15.65" customHeight="1">
      <c r="A29" s="366" t="s">
        <v>19</v>
      </c>
      <c r="B29" s="367"/>
      <c r="C29" s="367"/>
      <c r="D29" s="376"/>
      <c r="E29" s="376"/>
      <c r="F29" s="377"/>
      <c r="G29" s="135" t="e">
        <f>#REF!</f>
        <v>#REF!</v>
      </c>
      <c r="H29" s="128"/>
      <c r="I29" s="142"/>
    </row>
    <row r="30" spans="1:9" ht="15.65" customHeight="1">
      <c r="A30" s="366" t="s">
        <v>109</v>
      </c>
      <c r="B30" s="367"/>
      <c r="C30" s="367"/>
      <c r="D30" s="310" t="e">
        <f>'1AD'!D7</f>
        <v>#REF!</v>
      </c>
      <c r="E30" s="311"/>
      <c r="F30" s="312"/>
      <c r="G30" s="135">
        <f>'1AD'!E25</f>
        <v>0</v>
      </c>
      <c r="H30" s="128"/>
      <c r="I30" s="142"/>
    </row>
    <row r="31" spans="1:9" ht="15.65" customHeight="1">
      <c r="A31" s="366" t="s">
        <v>110</v>
      </c>
      <c r="B31" s="367"/>
      <c r="C31" s="367"/>
      <c r="D31" s="310" t="e">
        <f>#REF!</f>
        <v>#REF!</v>
      </c>
      <c r="E31" s="311"/>
      <c r="F31" s="312"/>
      <c r="G31" s="135" t="e">
        <f>#REF!</f>
        <v>#REF!</v>
      </c>
      <c r="H31" s="128"/>
      <c r="I31" s="142"/>
    </row>
    <row r="32" spans="1:9" ht="15.65" customHeight="1">
      <c r="A32" s="366" t="s">
        <v>111</v>
      </c>
      <c r="B32" s="367"/>
      <c r="C32" s="367"/>
      <c r="D32" s="310" t="e">
        <f>'3AD'!D7</f>
        <v>#REF!</v>
      </c>
      <c r="E32" s="311"/>
      <c r="F32" s="312"/>
      <c r="G32" s="135">
        <f>'3AD'!E25</f>
        <v>0</v>
      </c>
      <c r="H32" s="128"/>
      <c r="I32" s="142"/>
    </row>
    <row r="33" spans="1:9" ht="15.65" customHeight="1">
      <c r="A33" s="366" t="s">
        <v>68</v>
      </c>
      <c r="B33" s="367"/>
      <c r="C33" s="367"/>
      <c r="D33" s="378"/>
      <c r="E33" s="378"/>
      <c r="F33" s="379"/>
      <c r="G33" s="136">
        <v>0</v>
      </c>
      <c r="H33" s="128"/>
      <c r="I33" s="142"/>
    </row>
    <row r="34" spans="1:9" ht="15.65" customHeight="1">
      <c r="A34" s="368" t="s">
        <v>55</v>
      </c>
      <c r="B34" s="369"/>
      <c r="C34" s="373" t="s">
        <v>90</v>
      </c>
      <c r="D34" s="373"/>
      <c r="E34" s="373"/>
      <c r="F34" s="374"/>
      <c r="G34" s="137" t="e">
        <f>IF(#REF!=30,#REF!,#REF!/30*#REF!)</f>
        <v>#REF!</v>
      </c>
      <c r="H34" s="128"/>
      <c r="I34" s="142"/>
    </row>
    <row r="35" spans="1:9" ht="15.65" customHeight="1">
      <c r="A35" s="129" t="s">
        <v>104</v>
      </c>
      <c r="B35" s="102"/>
      <c r="C35" s="102"/>
      <c r="D35" s="102"/>
      <c r="E35" s="102"/>
      <c r="F35" s="102"/>
      <c r="G35" s="257" t="e">
        <f>SUM(G25:G34)</f>
        <v>#REF!</v>
      </c>
      <c r="H35" s="128" t="e">
        <f>H22-G35</f>
        <v>#REF!</v>
      </c>
      <c r="I35" s="142"/>
    </row>
    <row r="36" spans="1:9" ht="8.15" customHeight="1" thickBot="1">
      <c r="A36" s="122"/>
      <c r="B36" s="102"/>
      <c r="C36" s="102"/>
      <c r="D36" s="102"/>
      <c r="E36" s="102"/>
      <c r="F36" s="102"/>
      <c r="G36" s="126"/>
      <c r="H36" s="128"/>
      <c r="I36" s="142"/>
    </row>
    <row r="37" spans="1:9" ht="15.65" customHeight="1" thickBot="1">
      <c r="A37" s="271" t="s">
        <v>105</v>
      </c>
      <c r="B37" s="102"/>
      <c r="C37" s="102"/>
      <c r="D37" s="102"/>
      <c r="E37" s="102"/>
      <c r="F37" s="272" t="e">
        <f>IF(H37&lt;0,"Debet","Credit")</f>
        <v>#REF!</v>
      </c>
      <c r="G37" s="287" t="s">
        <v>15</v>
      </c>
      <c r="H37" s="288" t="e">
        <f>IF(H35=0,"NIL",H35)</f>
        <v>#REF!</v>
      </c>
      <c r="I37" s="142"/>
    </row>
    <row r="38" spans="1:9" ht="12.4" customHeight="1">
      <c r="A38" s="122"/>
      <c r="B38" s="102"/>
      <c r="C38" s="102"/>
      <c r="D38" s="102"/>
      <c r="E38" s="102"/>
      <c r="F38" s="102"/>
      <c r="G38" s="102"/>
      <c r="H38" s="121"/>
      <c r="I38" s="142"/>
    </row>
    <row r="39" spans="1:9" ht="30.4" customHeight="1">
      <c r="A39" s="370" t="s">
        <v>74</v>
      </c>
      <c r="B39" s="371"/>
      <c r="C39" s="371"/>
      <c r="D39" s="371"/>
      <c r="E39" s="371"/>
      <c r="F39" s="371"/>
      <c r="G39" s="371"/>
      <c r="H39" s="372"/>
      <c r="I39" s="142"/>
    </row>
    <row r="40" spans="1:9" ht="30.4" customHeight="1">
      <c r="A40" s="315" t="s">
        <v>12</v>
      </c>
      <c r="B40" s="375"/>
      <c r="C40" s="375"/>
      <c r="D40" s="316"/>
      <c r="E40" s="317"/>
      <c r="F40" s="318" t="s">
        <v>13</v>
      </c>
      <c r="G40" s="381" t="e">
        <f>#REF!</f>
        <v>#REF!</v>
      </c>
      <c r="H40" s="382"/>
      <c r="I40" s="142"/>
    </row>
    <row r="41" spans="1:9" ht="13.15" customHeight="1">
      <c r="A41" s="130"/>
      <c r="B41" s="269"/>
      <c r="C41" s="269"/>
      <c r="D41" s="131"/>
      <c r="E41" s="132"/>
      <c r="F41" s="261"/>
      <c r="G41" s="261"/>
      <c r="H41" s="121"/>
      <c r="I41" s="142"/>
    </row>
    <row r="42" spans="1:9" ht="13.15" customHeight="1">
      <c r="A42" s="122"/>
      <c r="B42" s="117"/>
      <c r="C42" s="117"/>
      <c r="D42" s="116"/>
      <c r="E42" s="102"/>
      <c r="F42" s="133"/>
      <c r="G42" s="134"/>
      <c r="H42" s="121"/>
      <c r="I42" s="142"/>
    </row>
    <row r="43" spans="1:9" ht="13.15" customHeight="1">
      <c r="A43" s="262" t="s">
        <v>82</v>
      </c>
      <c r="B43" s="267"/>
      <c r="C43" s="267"/>
      <c r="D43" s="263"/>
      <c r="E43" s="380" t="s">
        <v>91</v>
      </c>
      <c r="F43" s="380"/>
      <c r="G43" s="267"/>
      <c r="H43" s="268"/>
      <c r="I43" s="142"/>
    </row>
    <row r="44" spans="1:9" ht="13.15" customHeight="1" thickBot="1">
      <c r="A44" s="264"/>
      <c r="B44" s="361" t="e">
        <f>#REF!</f>
        <v>#REF!</v>
      </c>
      <c r="C44" s="361"/>
      <c r="D44" s="265"/>
      <c r="E44" s="265"/>
      <c r="F44" s="266"/>
      <c r="G44" s="362" t="e">
        <f>B3</f>
        <v>#REF!</v>
      </c>
      <c r="H44" s="363"/>
      <c r="I44" s="142"/>
    </row>
    <row r="45" spans="1:9" ht="14" thickTop="1">
      <c r="A45" s="17"/>
      <c r="B45" s="17"/>
      <c r="C45" s="17"/>
      <c r="D45" s="17"/>
      <c r="E45" s="17"/>
      <c r="F45" s="17"/>
      <c r="G45" s="17"/>
      <c r="H45" s="17"/>
    </row>
    <row r="46" spans="1:9" ht="13.5">
      <c r="A46" s="17"/>
      <c r="B46" s="17"/>
      <c r="C46" s="17"/>
      <c r="D46" s="17"/>
      <c r="E46" s="17"/>
      <c r="F46" s="17"/>
      <c r="G46" s="17"/>
      <c r="H46" s="17"/>
    </row>
    <row r="47" spans="1:9" ht="13.5">
      <c r="A47" s="17"/>
      <c r="B47" s="17"/>
      <c r="C47" s="17"/>
      <c r="D47" s="17"/>
      <c r="E47" s="17"/>
      <c r="F47" s="17"/>
      <c r="G47" s="17"/>
      <c r="H47" s="17"/>
    </row>
  </sheetData>
  <mergeCells count="36">
    <mergeCell ref="A18:B18"/>
    <mergeCell ref="A19:B19"/>
    <mergeCell ref="A20:D20"/>
    <mergeCell ref="A26:B26"/>
    <mergeCell ref="A12:B12"/>
    <mergeCell ref="A13:B13"/>
    <mergeCell ref="A14:B14"/>
    <mergeCell ref="A15:B15"/>
    <mergeCell ref="D15:G15"/>
    <mergeCell ref="A1:H1"/>
    <mergeCell ref="A5:C5"/>
    <mergeCell ref="A6:C6"/>
    <mergeCell ref="A7:C7"/>
    <mergeCell ref="A11:B11"/>
    <mergeCell ref="D29:F29"/>
    <mergeCell ref="D33:F33"/>
    <mergeCell ref="E43:F43"/>
    <mergeCell ref="G40:H40"/>
    <mergeCell ref="D14:G14"/>
    <mergeCell ref="D27:F27"/>
    <mergeCell ref="B44:C44"/>
    <mergeCell ref="G44:H44"/>
    <mergeCell ref="A9:B9"/>
    <mergeCell ref="A27:C27"/>
    <mergeCell ref="A28:C28"/>
    <mergeCell ref="A29:C29"/>
    <mergeCell ref="A30:C30"/>
    <mergeCell ref="A31:C31"/>
    <mergeCell ref="A32:C32"/>
    <mergeCell ref="A33:C33"/>
    <mergeCell ref="A34:B34"/>
    <mergeCell ref="A39:H39"/>
    <mergeCell ref="A16:B16"/>
    <mergeCell ref="A17:B17"/>
    <mergeCell ref="C34:F34"/>
    <mergeCell ref="B40:C40"/>
  </mergeCells>
  <printOptions horizontalCentered="1" verticalCentered="1"/>
  <pageMargins left="0.78740157480314965" right="0" top="0" bottom="0" header="0" footer="0"/>
  <pageSetup paperSize="9" orientation="portrait" blackAndWhite="1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>
    <tabColor rgb="FFFFC000"/>
  </sheetPr>
  <dimension ref="A1:I47"/>
  <sheetViews>
    <sheetView showGridLines="0" showRowColHeaders="0" showZeros="0" showOutlineSymbols="0" defaultGridColor="0" colorId="8" zoomScale="110" zoomScaleNormal="110" zoomScaleSheetLayoutView="120" workbookViewId="0">
      <selection activeCell="M9" sqref="M9"/>
    </sheetView>
  </sheetViews>
  <sheetFormatPr defaultColWidth="9.7265625" defaultRowHeight="12.5"/>
  <cols>
    <col min="1" max="1" width="9.7265625" customWidth="1"/>
    <col min="2" max="2" width="12.7265625" customWidth="1"/>
    <col min="3" max="3" width="8.7265625" customWidth="1"/>
    <col min="4" max="4" width="12.7265625" customWidth="1"/>
    <col min="5" max="5" width="11.7265625" customWidth="1"/>
    <col min="6" max="6" width="8.7265625" customWidth="1"/>
    <col min="7" max="8" width="15.7265625" customWidth="1"/>
    <col min="9" max="10" width="1.7265625" customWidth="1"/>
  </cols>
  <sheetData>
    <row r="1" spans="1:9" ht="27" customHeight="1" thickTop="1">
      <c r="A1" s="387" t="s">
        <v>92</v>
      </c>
      <c r="B1" s="388"/>
      <c r="C1" s="388"/>
      <c r="D1" s="388"/>
      <c r="E1" s="388"/>
      <c r="F1" s="388"/>
      <c r="G1" s="388"/>
      <c r="H1" s="389"/>
      <c r="I1" s="142"/>
    </row>
    <row r="2" spans="1:9" ht="15" customHeight="1">
      <c r="A2" s="112"/>
      <c r="B2" s="113"/>
      <c r="C2" s="113"/>
      <c r="D2" s="114"/>
      <c r="E2" s="113"/>
      <c r="F2" s="113"/>
      <c r="G2" s="113"/>
      <c r="H2" s="283" t="s">
        <v>71</v>
      </c>
      <c r="I2" s="142"/>
    </row>
    <row r="3" spans="1:9" ht="15" customHeight="1">
      <c r="A3" s="270" t="s">
        <v>56</v>
      </c>
      <c r="B3" s="284" t="e">
        <f>#REF!</f>
        <v>#REF!</v>
      </c>
      <c r="C3" s="116"/>
      <c r="D3" s="116"/>
      <c r="E3" s="116"/>
      <c r="F3" s="116"/>
      <c r="G3" s="117"/>
      <c r="H3" s="118"/>
      <c r="I3" s="142"/>
    </row>
    <row r="4" spans="1:9" ht="15" customHeight="1">
      <c r="A4" s="270" t="s">
        <v>93</v>
      </c>
      <c r="B4" s="284" t="e">
        <f>#REF!</f>
        <v>#REF!</v>
      </c>
      <c r="C4" s="116"/>
      <c r="D4" s="116"/>
      <c r="E4" s="116"/>
      <c r="F4" s="116"/>
      <c r="G4" s="116"/>
      <c r="H4" s="118"/>
      <c r="I4" s="142"/>
    </row>
    <row r="5" spans="1:9" ht="15" customHeight="1">
      <c r="A5" s="364" t="s">
        <v>58</v>
      </c>
      <c r="B5" s="365"/>
      <c r="C5" s="365"/>
      <c r="D5" s="289" t="e">
        <f>#REF!</f>
        <v>#REF!</v>
      </c>
      <c r="E5" s="138"/>
      <c r="F5" s="117"/>
      <c r="G5" s="117"/>
      <c r="H5" s="119"/>
      <c r="I5" s="142"/>
    </row>
    <row r="6" spans="1:9" ht="15" customHeight="1">
      <c r="A6" s="364" t="s">
        <v>96</v>
      </c>
      <c r="B6" s="365"/>
      <c r="C6" s="365"/>
      <c r="D6" s="289" t="e">
        <f>#REF!</f>
        <v>#REF!</v>
      </c>
      <c r="E6" s="138"/>
      <c r="F6" s="117"/>
      <c r="G6" s="117"/>
      <c r="H6" s="119"/>
      <c r="I6" s="142"/>
    </row>
    <row r="7" spans="1:9" ht="15" customHeight="1">
      <c r="A7" s="364" t="s">
        <v>97</v>
      </c>
      <c r="B7" s="365"/>
      <c r="C7" s="365"/>
      <c r="D7" s="285" t="e">
        <f>#REF!</f>
        <v>#REF!</v>
      </c>
      <c r="E7" s="138"/>
      <c r="F7" s="117"/>
      <c r="G7" s="116"/>
      <c r="H7" s="119"/>
      <c r="I7" s="142"/>
    </row>
    <row r="8" spans="1:9" ht="15" customHeight="1">
      <c r="A8" s="115" t="s">
        <v>98</v>
      </c>
      <c r="B8" s="282" t="e">
        <f>#REF!</f>
        <v>#REF!</v>
      </c>
      <c r="C8" s="279" t="s">
        <v>63</v>
      </c>
      <c r="D8" s="281" t="e">
        <f>#REF!</f>
        <v>#REF!</v>
      </c>
      <c r="E8" s="247"/>
      <c r="F8" s="102"/>
      <c r="G8" s="102"/>
      <c r="H8" s="121"/>
      <c r="I8" s="142"/>
    </row>
    <row r="9" spans="1:9" ht="15" customHeight="1">
      <c r="A9" s="364" t="s">
        <v>99</v>
      </c>
      <c r="B9" s="365"/>
      <c r="C9" s="120"/>
      <c r="D9" s="286"/>
      <c r="E9" s="246"/>
      <c r="F9" s="116"/>
      <c r="G9" s="116"/>
      <c r="H9" s="121"/>
      <c r="I9" s="142"/>
    </row>
    <row r="10" spans="1:9" ht="15.65" customHeight="1">
      <c r="A10" s="122"/>
      <c r="B10" s="102"/>
      <c r="C10" s="103"/>
      <c r="D10" s="102"/>
      <c r="E10" s="102"/>
      <c r="F10" s="322"/>
      <c r="G10" s="102"/>
      <c r="H10" s="123" t="s">
        <v>15</v>
      </c>
      <c r="I10" s="142"/>
    </row>
    <row r="11" spans="1:9" ht="15.65" customHeight="1">
      <c r="A11" s="390" t="s">
        <v>39</v>
      </c>
      <c r="B11" s="391"/>
      <c r="C11" s="290" t="s">
        <v>16</v>
      </c>
      <c r="D11" s="291" t="e">
        <f>#REF!</f>
        <v>#REF!</v>
      </c>
      <c r="E11" s="292" t="e">
        <f>B8</f>
        <v>#REF!</v>
      </c>
      <c r="F11" s="321" t="s">
        <v>65</v>
      </c>
      <c r="G11" s="293" t="e">
        <f>D8</f>
        <v>#REF!</v>
      </c>
      <c r="H11" s="139" t="e">
        <f>D11*G11/30</f>
        <v>#REF!</v>
      </c>
      <c r="I11" s="142"/>
    </row>
    <row r="12" spans="1:9" ht="15.65" customHeight="1">
      <c r="A12" s="366" t="s">
        <v>95</v>
      </c>
      <c r="B12" s="367"/>
      <c r="C12" s="294" t="s">
        <v>16</v>
      </c>
      <c r="D12" s="295" t="e">
        <f>#REF!</f>
        <v>#REF!</v>
      </c>
      <c r="E12" s="296" t="e">
        <f>B8</f>
        <v>#REF!</v>
      </c>
      <c r="F12" s="297" t="s">
        <v>65</v>
      </c>
      <c r="G12" s="298" t="e">
        <f>D8</f>
        <v>#REF!</v>
      </c>
      <c r="H12" s="140" t="e">
        <f>D12*G12/30</f>
        <v>#REF!</v>
      </c>
      <c r="I12" s="142"/>
    </row>
    <row r="13" spans="1:9" ht="15.65" customHeight="1">
      <c r="A13" s="366" t="s">
        <v>112</v>
      </c>
      <c r="B13" s="367"/>
      <c r="C13" s="299" t="s">
        <v>106</v>
      </c>
      <c r="D13" s="300"/>
      <c r="E13" s="299" t="s">
        <v>20</v>
      </c>
      <c r="F13" s="301"/>
      <c r="G13" s="297"/>
      <c r="H13" s="140">
        <f>D13*F13</f>
        <v>0</v>
      </c>
      <c r="I13" s="142"/>
    </row>
    <row r="14" spans="1:9" ht="15.65" customHeight="1">
      <c r="A14" s="366" t="s">
        <v>41</v>
      </c>
      <c r="B14" s="367"/>
      <c r="C14" s="302" t="s">
        <v>16</v>
      </c>
      <c r="D14" s="383" t="e">
        <f>#REF!</f>
        <v>#REF!</v>
      </c>
      <c r="E14" s="383"/>
      <c r="F14" s="383"/>
      <c r="G14" s="384"/>
      <c r="H14" s="140" t="e">
        <f>#REF!</f>
        <v>#REF!</v>
      </c>
      <c r="I14" s="142"/>
    </row>
    <row r="15" spans="1:9" ht="15.65" customHeight="1">
      <c r="A15" s="366" t="s">
        <v>42</v>
      </c>
      <c r="B15" s="367"/>
      <c r="C15" s="302" t="s">
        <v>16</v>
      </c>
      <c r="D15" s="383"/>
      <c r="E15" s="394"/>
      <c r="F15" s="394"/>
      <c r="G15" s="395"/>
      <c r="H15" s="141">
        <f>D15/30*G15</f>
        <v>0</v>
      </c>
      <c r="I15" s="142"/>
    </row>
    <row r="16" spans="1:9" ht="15.65" customHeight="1">
      <c r="A16" s="366" t="s">
        <v>43</v>
      </c>
      <c r="B16" s="367"/>
      <c r="C16" s="303" t="s">
        <v>16</v>
      </c>
      <c r="D16" s="295" t="e">
        <f>#REF!</f>
        <v>#REF!</v>
      </c>
      <c r="E16" s="296" t="e">
        <f>B8</f>
        <v>#REF!</v>
      </c>
      <c r="F16" s="304" t="s">
        <v>65</v>
      </c>
      <c r="G16" s="298" t="e">
        <f>D8</f>
        <v>#REF!</v>
      </c>
      <c r="H16" s="140" t="e">
        <f>D16*G16/30</f>
        <v>#REF!</v>
      </c>
      <c r="I16" s="142"/>
    </row>
    <row r="17" spans="1:9" ht="15.65" customHeight="1">
      <c r="A17" s="366" t="s">
        <v>113</v>
      </c>
      <c r="B17" s="367"/>
      <c r="C17" s="303" t="s">
        <v>16</v>
      </c>
      <c r="D17" s="295" t="e">
        <f>#REF!</f>
        <v>#REF!</v>
      </c>
      <c r="E17" s="296" t="e">
        <f>B8</f>
        <v>#REF!</v>
      </c>
      <c r="F17" s="304" t="s">
        <v>65</v>
      </c>
      <c r="G17" s="298">
        <f>D9</f>
        <v>0</v>
      </c>
      <c r="H17" s="140" t="e">
        <f>D17*D8/30</f>
        <v>#REF!</v>
      </c>
      <c r="I17" s="142"/>
    </row>
    <row r="18" spans="1:9" ht="15.65" customHeight="1">
      <c r="A18" s="366" t="s">
        <v>94</v>
      </c>
      <c r="B18" s="367"/>
      <c r="C18" s="299" t="s">
        <v>16</v>
      </c>
      <c r="D18" s="295" t="e">
        <f>#REF!</f>
        <v>#REF!</v>
      </c>
      <c r="E18" s="296" t="e">
        <f>B8</f>
        <v>#REF!</v>
      </c>
      <c r="F18" s="297" t="s">
        <v>65</v>
      </c>
      <c r="G18" s="298" t="e">
        <f>D8</f>
        <v>#REF!</v>
      </c>
      <c r="H18" s="140" t="e">
        <f>D18*G18/30</f>
        <v>#REF!</v>
      </c>
      <c r="I18" s="142"/>
    </row>
    <row r="19" spans="1:9" ht="15.65" customHeight="1">
      <c r="A19" s="368" t="s">
        <v>84</v>
      </c>
      <c r="B19" s="369"/>
      <c r="C19" s="305"/>
      <c r="D19" s="295" t="e">
        <f>#REF!</f>
        <v>#REF!</v>
      </c>
      <c r="E19" s="296" t="e">
        <f>B8</f>
        <v>#REF!</v>
      </c>
      <c r="F19" s="297" t="s">
        <v>65</v>
      </c>
      <c r="G19" s="298" t="e">
        <f>D8</f>
        <v>#REF!</v>
      </c>
      <c r="H19" s="140" t="e">
        <f>D19*G19/30</f>
        <v>#REF!</v>
      </c>
      <c r="I19" s="142"/>
    </row>
    <row r="20" spans="1:9" ht="15.65" customHeight="1">
      <c r="A20" s="392" t="s">
        <v>100</v>
      </c>
      <c r="B20" s="393"/>
      <c r="C20" s="393"/>
      <c r="D20" s="393"/>
      <c r="E20" s="105"/>
      <c r="F20" s="105"/>
      <c r="G20" s="106"/>
      <c r="H20" s="259" t="e">
        <f>SUM(H11:H19)</f>
        <v>#REF!</v>
      </c>
      <c r="I20" s="142"/>
    </row>
    <row r="21" spans="1:9" ht="15.65" customHeight="1">
      <c r="A21" s="124" t="s">
        <v>101</v>
      </c>
      <c r="B21" s="107"/>
      <c r="C21" s="107"/>
      <c r="D21" s="107"/>
      <c r="E21" s="107"/>
      <c r="F21" s="108" t="str">
        <f>IF(H21&lt;0,"Debit","Credit")</f>
        <v>Credit</v>
      </c>
      <c r="G21" s="109"/>
      <c r="H21" s="258"/>
      <c r="I21" s="142"/>
    </row>
    <row r="22" spans="1:9" ht="15.65" customHeight="1">
      <c r="A22" s="125" t="s">
        <v>102</v>
      </c>
      <c r="B22" s="102"/>
      <c r="C22" s="102"/>
      <c r="D22" s="102"/>
      <c r="E22" s="102"/>
      <c r="F22" s="102"/>
      <c r="G22" s="126"/>
      <c r="H22" s="260" t="e">
        <f>H20+H21</f>
        <v>#REF!</v>
      </c>
      <c r="I22" s="142"/>
    </row>
    <row r="23" spans="1:9" ht="8.15" customHeight="1">
      <c r="A23" s="127"/>
      <c r="B23" s="102"/>
      <c r="C23" s="102"/>
      <c r="D23" s="102"/>
      <c r="E23" s="102"/>
      <c r="F23" s="102"/>
      <c r="G23" s="110"/>
      <c r="H23" s="128"/>
      <c r="I23" s="142"/>
    </row>
    <row r="24" spans="1:9" ht="15.65" customHeight="1">
      <c r="A24" s="125" t="s">
        <v>103</v>
      </c>
      <c r="B24" s="102"/>
      <c r="C24" s="102"/>
      <c r="D24" s="102"/>
      <c r="E24" s="102"/>
      <c r="F24" s="102"/>
      <c r="G24" s="111" t="s">
        <v>15</v>
      </c>
      <c r="H24" s="128"/>
      <c r="I24" s="142"/>
    </row>
    <row r="25" spans="1:9" ht="15.65" customHeight="1">
      <c r="A25" s="306" t="s">
        <v>47</v>
      </c>
      <c r="B25" s="307"/>
      <c r="C25" s="307" t="s">
        <v>16</v>
      </c>
      <c r="D25" s="292" t="e">
        <f>B8</f>
        <v>#REF!</v>
      </c>
      <c r="E25" s="308" t="s">
        <v>66</v>
      </c>
      <c r="F25" s="309"/>
      <c r="G25" s="233" t="e">
        <f>C25*D25+C25*F25/30</f>
        <v>#REF!</v>
      </c>
      <c r="H25" s="128"/>
      <c r="I25" s="142"/>
    </row>
    <row r="26" spans="1:9" ht="15.65" customHeight="1">
      <c r="A26" s="366" t="s">
        <v>107</v>
      </c>
      <c r="B26" s="367"/>
      <c r="C26" s="319" t="s">
        <v>16</v>
      </c>
      <c r="D26" s="310" t="e">
        <f>#REF!</f>
        <v>#REF!</v>
      </c>
      <c r="E26" s="320"/>
      <c r="F26" s="312"/>
      <c r="G26" s="256" t="e">
        <f>#REF!</f>
        <v>#REF!</v>
      </c>
      <c r="H26" s="128"/>
      <c r="I26" s="142"/>
    </row>
    <row r="27" spans="1:9" ht="15.65" customHeight="1">
      <c r="A27" s="366" t="s">
        <v>108</v>
      </c>
      <c r="B27" s="367"/>
      <c r="C27" s="367"/>
      <c r="D27" s="385">
        <f>'2AL'!D7</f>
        <v>0</v>
      </c>
      <c r="E27" s="385"/>
      <c r="F27" s="386"/>
      <c r="G27" s="135">
        <f>'2AL'!E26</f>
        <v>0</v>
      </c>
      <c r="H27" s="128"/>
      <c r="I27" s="142"/>
    </row>
    <row r="28" spans="1:9" ht="15.65" customHeight="1">
      <c r="A28" s="366" t="s">
        <v>51</v>
      </c>
      <c r="B28" s="367"/>
      <c r="C28" s="367"/>
      <c r="D28" s="297" t="e">
        <f>IF(#REF!=0,"",#REF!)</f>
        <v>#REF!</v>
      </c>
      <c r="E28" s="313" t="e">
        <f>IF(#REF!=0,"",#REF!)</f>
        <v>#REF!</v>
      </c>
      <c r="F28" s="314" t="e">
        <f>IF(#REF!=0,"",#REF!)</f>
        <v>#REF!</v>
      </c>
      <c r="G28" s="104" t="e">
        <f>#REF!</f>
        <v>#REF!</v>
      </c>
      <c r="H28" s="128"/>
      <c r="I28" s="142"/>
    </row>
    <row r="29" spans="1:9" ht="15.65" customHeight="1">
      <c r="A29" s="366" t="s">
        <v>19</v>
      </c>
      <c r="B29" s="367"/>
      <c r="C29" s="367"/>
      <c r="D29" s="376"/>
      <c r="E29" s="376"/>
      <c r="F29" s="377"/>
      <c r="G29" s="135" t="e">
        <f>#REF!</f>
        <v>#REF!</v>
      </c>
      <c r="H29" s="128"/>
      <c r="I29" s="142"/>
    </row>
    <row r="30" spans="1:9" ht="15.65" customHeight="1">
      <c r="A30" s="366" t="s">
        <v>109</v>
      </c>
      <c r="B30" s="367"/>
      <c r="C30" s="367"/>
      <c r="D30" s="310" t="e">
        <f>'1AD'!D7</f>
        <v>#REF!</v>
      </c>
      <c r="E30" s="311"/>
      <c r="F30" s="312"/>
      <c r="G30" s="135">
        <f>'1AD'!E26</f>
        <v>0</v>
      </c>
      <c r="H30" s="128"/>
      <c r="I30" s="142"/>
    </row>
    <row r="31" spans="1:9" ht="15.65" customHeight="1">
      <c r="A31" s="366" t="s">
        <v>110</v>
      </c>
      <c r="B31" s="367"/>
      <c r="C31" s="367"/>
      <c r="D31" s="310" t="e">
        <f>#REF!</f>
        <v>#REF!</v>
      </c>
      <c r="E31" s="311"/>
      <c r="F31" s="312"/>
      <c r="G31" s="135" t="e">
        <f>#REF!</f>
        <v>#REF!</v>
      </c>
      <c r="H31" s="128"/>
      <c r="I31" s="142"/>
    </row>
    <row r="32" spans="1:9" ht="15.65" customHeight="1">
      <c r="A32" s="366" t="s">
        <v>111</v>
      </c>
      <c r="B32" s="367"/>
      <c r="C32" s="367"/>
      <c r="D32" s="310" t="e">
        <f>'3AD'!D7</f>
        <v>#REF!</v>
      </c>
      <c r="E32" s="311"/>
      <c r="F32" s="312"/>
      <c r="G32" s="135">
        <f>'3AD'!E26</f>
        <v>0</v>
      </c>
      <c r="H32" s="128"/>
      <c r="I32" s="142"/>
    </row>
    <row r="33" spans="1:9" ht="15.65" customHeight="1">
      <c r="A33" s="366" t="s">
        <v>68</v>
      </c>
      <c r="B33" s="367"/>
      <c r="C33" s="367"/>
      <c r="D33" s="378"/>
      <c r="E33" s="378"/>
      <c r="F33" s="379"/>
      <c r="G33" s="136">
        <v>0</v>
      </c>
      <c r="H33" s="128"/>
      <c r="I33" s="142"/>
    </row>
    <row r="34" spans="1:9" ht="15.65" customHeight="1">
      <c r="A34" s="368" t="s">
        <v>55</v>
      </c>
      <c r="B34" s="369"/>
      <c r="C34" s="373" t="s">
        <v>90</v>
      </c>
      <c r="D34" s="373"/>
      <c r="E34" s="373"/>
      <c r="F34" s="374"/>
      <c r="G34" s="137" t="e">
        <f>IF(#REF!=30,#REF!,#REF!/30*#REF!)</f>
        <v>#REF!</v>
      </c>
      <c r="H34" s="128"/>
      <c r="I34" s="142"/>
    </row>
    <row r="35" spans="1:9" ht="15.65" customHeight="1">
      <c r="A35" s="129" t="s">
        <v>104</v>
      </c>
      <c r="B35" s="102"/>
      <c r="C35" s="102"/>
      <c r="D35" s="102"/>
      <c r="E35" s="102"/>
      <c r="F35" s="102"/>
      <c r="G35" s="257" t="e">
        <f>SUM(G25:G34)</f>
        <v>#REF!</v>
      </c>
      <c r="H35" s="128" t="e">
        <f>H22-G35</f>
        <v>#REF!</v>
      </c>
      <c r="I35" s="142"/>
    </row>
    <row r="36" spans="1:9" ht="8.15" customHeight="1" thickBot="1">
      <c r="A36" s="122"/>
      <c r="B36" s="102"/>
      <c r="C36" s="102"/>
      <c r="D36" s="102"/>
      <c r="E36" s="102"/>
      <c r="F36" s="102"/>
      <c r="G36" s="126"/>
      <c r="H36" s="128"/>
      <c r="I36" s="142"/>
    </row>
    <row r="37" spans="1:9" ht="15.65" customHeight="1" thickBot="1">
      <c r="A37" s="271" t="s">
        <v>105</v>
      </c>
      <c r="B37" s="102"/>
      <c r="C37" s="102"/>
      <c r="D37" s="102"/>
      <c r="E37" s="102"/>
      <c r="F37" s="272" t="e">
        <f>IF(H37&lt;0,"Debet","Credit")</f>
        <v>#REF!</v>
      </c>
      <c r="G37" s="287" t="s">
        <v>15</v>
      </c>
      <c r="H37" s="288" t="e">
        <f>IF(H35=0,"NIL",H35)</f>
        <v>#REF!</v>
      </c>
      <c r="I37" s="142"/>
    </row>
    <row r="38" spans="1:9" ht="12.4" customHeight="1">
      <c r="A38" s="122"/>
      <c r="B38" s="102"/>
      <c r="C38" s="102"/>
      <c r="D38" s="102"/>
      <c r="E38" s="102"/>
      <c r="F38" s="102"/>
      <c r="G38" s="102"/>
      <c r="H38" s="121"/>
      <c r="I38" s="142"/>
    </row>
    <row r="39" spans="1:9" ht="30.4" customHeight="1">
      <c r="A39" s="370" t="s">
        <v>74</v>
      </c>
      <c r="B39" s="371"/>
      <c r="C39" s="371"/>
      <c r="D39" s="371"/>
      <c r="E39" s="371"/>
      <c r="F39" s="371"/>
      <c r="G39" s="371"/>
      <c r="H39" s="372"/>
      <c r="I39" s="142"/>
    </row>
    <row r="40" spans="1:9" ht="30.4" customHeight="1">
      <c r="A40" s="315" t="s">
        <v>12</v>
      </c>
      <c r="B40" s="375"/>
      <c r="C40" s="375"/>
      <c r="D40" s="316"/>
      <c r="E40" s="317"/>
      <c r="F40" s="318" t="s">
        <v>13</v>
      </c>
      <c r="G40" s="381" t="e">
        <f>#REF!</f>
        <v>#REF!</v>
      </c>
      <c r="H40" s="382"/>
      <c r="I40" s="142"/>
    </row>
    <row r="41" spans="1:9" ht="13.15" customHeight="1">
      <c r="A41" s="130"/>
      <c r="B41" s="269"/>
      <c r="C41" s="269"/>
      <c r="D41" s="131"/>
      <c r="E41" s="132"/>
      <c r="F41" s="261"/>
      <c r="G41" s="261"/>
      <c r="H41" s="121"/>
      <c r="I41" s="142"/>
    </row>
    <row r="42" spans="1:9" ht="13.15" customHeight="1">
      <c r="A42" s="122"/>
      <c r="B42" s="117"/>
      <c r="C42" s="117"/>
      <c r="D42" s="116"/>
      <c r="E42" s="102"/>
      <c r="F42" s="133"/>
      <c r="G42" s="134"/>
      <c r="H42" s="121"/>
      <c r="I42" s="142"/>
    </row>
    <row r="43" spans="1:9" ht="13.15" customHeight="1">
      <c r="A43" s="262" t="s">
        <v>82</v>
      </c>
      <c r="B43" s="267"/>
      <c r="C43" s="267"/>
      <c r="D43" s="263"/>
      <c r="E43" s="380" t="s">
        <v>91</v>
      </c>
      <c r="F43" s="380"/>
      <c r="G43" s="267"/>
      <c r="H43" s="268"/>
      <c r="I43" s="142"/>
    </row>
    <row r="44" spans="1:9" ht="13.15" customHeight="1" thickBot="1">
      <c r="A44" s="264"/>
      <c r="B44" s="361" t="e">
        <f>#REF!</f>
        <v>#REF!</v>
      </c>
      <c r="C44" s="361"/>
      <c r="D44" s="265"/>
      <c r="E44" s="265"/>
      <c r="F44" s="266"/>
      <c r="G44" s="362" t="e">
        <f>B3</f>
        <v>#REF!</v>
      </c>
      <c r="H44" s="363"/>
      <c r="I44" s="142"/>
    </row>
    <row r="45" spans="1:9" ht="14" thickTop="1">
      <c r="A45" s="17"/>
      <c r="B45" s="17"/>
      <c r="C45" s="17"/>
      <c r="D45" s="17"/>
      <c r="E45" s="17"/>
      <c r="F45" s="17"/>
      <c r="G45" s="17"/>
      <c r="H45" s="17"/>
    </row>
    <row r="46" spans="1:9" ht="13.5">
      <c r="A46" s="17"/>
      <c r="B46" s="17"/>
      <c r="C46" s="17"/>
      <c r="D46" s="17"/>
      <c r="E46" s="17"/>
      <c r="F46" s="17"/>
      <c r="G46" s="17"/>
      <c r="H46" s="17"/>
    </row>
    <row r="47" spans="1:9" ht="13.5">
      <c r="A47" s="17"/>
      <c r="B47" s="17"/>
      <c r="C47" s="17"/>
      <c r="D47" s="17"/>
      <c r="E47" s="17"/>
      <c r="F47" s="17"/>
      <c r="G47" s="17"/>
      <c r="H47" s="17"/>
    </row>
  </sheetData>
  <mergeCells count="36">
    <mergeCell ref="A18:B18"/>
    <mergeCell ref="A19:B19"/>
    <mergeCell ref="A20:D20"/>
    <mergeCell ref="A26:B26"/>
    <mergeCell ref="A12:B12"/>
    <mergeCell ref="A13:B13"/>
    <mergeCell ref="A14:B14"/>
    <mergeCell ref="A15:B15"/>
    <mergeCell ref="D15:G15"/>
    <mergeCell ref="A1:H1"/>
    <mergeCell ref="A5:C5"/>
    <mergeCell ref="A6:C6"/>
    <mergeCell ref="A7:C7"/>
    <mergeCell ref="A11:B11"/>
    <mergeCell ref="D29:F29"/>
    <mergeCell ref="D33:F33"/>
    <mergeCell ref="E43:F43"/>
    <mergeCell ref="G40:H40"/>
    <mergeCell ref="D14:G14"/>
    <mergeCell ref="D27:F27"/>
    <mergeCell ref="B44:C44"/>
    <mergeCell ref="G44:H44"/>
    <mergeCell ref="A9:B9"/>
    <mergeCell ref="A27:C27"/>
    <mergeCell ref="A28:C28"/>
    <mergeCell ref="A29:C29"/>
    <mergeCell ref="A30:C30"/>
    <mergeCell ref="A31:C31"/>
    <mergeCell ref="A32:C32"/>
    <mergeCell ref="A33:C33"/>
    <mergeCell ref="A34:B34"/>
    <mergeCell ref="A39:H39"/>
    <mergeCell ref="A16:B16"/>
    <mergeCell ref="A17:B17"/>
    <mergeCell ref="C34:F34"/>
    <mergeCell ref="B40:C40"/>
  </mergeCells>
  <printOptions horizontalCentered="1" verticalCentered="1"/>
  <pageMargins left="0.78740157480314965" right="0" top="0" bottom="0" header="0" footer="0"/>
  <pageSetup paperSize="9" orientation="portrait" blackAndWhite="1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29">
    <pageSetUpPr autoPageBreaks="0"/>
  </sheetPr>
  <dimension ref="A1:I51"/>
  <sheetViews>
    <sheetView showGridLines="0" showRowColHeaders="0" showZeros="0" showOutlineSymbols="0" defaultGridColor="0" colorId="8" zoomScale="75" zoomScaleNormal="120" zoomScaleSheetLayoutView="120" workbookViewId="0">
      <selection activeCell="AA41" sqref="AA41"/>
    </sheetView>
  </sheetViews>
  <sheetFormatPr defaultColWidth="9.7265625" defaultRowHeight="12.5"/>
  <cols>
    <col min="1" max="1" width="9.7265625" customWidth="1"/>
    <col min="2" max="2" width="12.7265625" customWidth="1"/>
    <col min="3" max="3" width="8.7265625" customWidth="1"/>
    <col min="4" max="4" width="11.26953125" customWidth="1"/>
    <col min="5" max="6" width="8.7265625" customWidth="1"/>
    <col min="7" max="8" width="15.7265625" customWidth="1"/>
    <col min="9" max="13" width="1.7265625" customWidth="1"/>
  </cols>
  <sheetData>
    <row r="1" spans="1:9" ht="14.25" customHeight="1">
      <c r="A1" s="398" t="e">
        <f>#REF!</f>
        <v>#REF!</v>
      </c>
      <c r="B1" s="398"/>
      <c r="C1" s="398"/>
      <c r="D1" s="398"/>
      <c r="E1" s="398"/>
      <c r="F1" s="398"/>
      <c r="G1" s="398"/>
      <c r="H1" s="23" t="s">
        <v>72</v>
      </c>
      <c r="I1" s="2"/>
    </row>
    <row r="2" spans="1:9" ht="14.25" customHeight="1">
      <c r="A2" s="24"/>
      <c r="B2" s="24"/>
      <c r="C2" s="24"/>
      <c r="D2" s="24"/>
      <c r="E2" s="24"/>
      <c r="F2" s="24"/>
      <c r="G2" s="24"/>
      <c r="H2" s="25"/>
      <c r="I2" s="2"/>
    </row>
    <row r="3" spans="1:9" ht="18" customHeight="1">
      <c r="A3" s="26" t="e">
        <f>#REF!</f>
        <v>#REF!</v>
      </c>
      <c r="B3" s="27"/>
      <c r="C3" s="27"/>
      <c r="D3" s="27"/>
      <c r="E3" s="27"/>
      <c r="F3" s="27"/>
      <c r="G3" s="27"/>
      <c r="H3" s="28"/>
      <c r="I3" s="2"/>
    </row>
    <row r="4" spans="1:9" ht="18" customHeight="1">
      <c r="A4" s="29"/>
      <c r="B4" s="30"/>
      <c r="C4" s="401" t="s">
        <v>4</v>
      </c>
      <c r="D4" s="401"/>
      <c r="E4" s="401"/>
      <c r="F4" s="401"/>
      <c r="G4" s="30"/>
      <c r="H4" s="31"/>
      <c r="I4" s="2"/>
    </row>
    <row r="5" spans="1:9" ht="14.25" customHeight="1">
      <c r="A5" s="29"/>
      <c r="B5" s="30"/>
      <c r="C5" s="30"/>
      <c r="D5" s="29"/>
      <c r="E5" s="30"/>
      <c r="F5" s="30"/>
      <c r="G5" s="30"/>
      <c r="H5" s="32" t="s">
        <v>71</v>
      </c>
      <c r="I5" s="2"/>
    </row>
    <row r="6" spans="1:9" ht="15" customHeight="1">
      <c r="A6" s="33" t="s">
        <v>56</v>
      </c>
      <c r="B6" s="34" t="e">
        <f>#REF!</f>
        <v>#REF!</v>
      </c>
      <c r="C6" s="35"/>
      <c r="D6" s="35"/>
      <c r="E6" s="35"/>
      <c r="F6" s="35"/>
      <c r="G6" s="36"/>
      <c r="H6" s="36"/>
      <c r="I6" s="2"/>
    </row>
    <row r="7" spans="1:9" ht="15" customHeight="1">
      <c r="A7" s="33" t="s">
        <v>57</v>
      </c>
      <c r="B7" s="34" t="e">
        <f>#REF!</f>
        <v>#REF!</v>
      </c>
      <c r="C7" s="35"/>
      <c r="D7" s="35"/>
      <c r="E7" s="35"/>
      <c r="F7" s="35"/>
      <c r="G7" s="35"/>
      <c r="H7" s="36"/>
      <c r="I7" s="2"/>
    </row>
    <row r="8" spans="1:9" ht="15" customHeight="1">
      <c r="A8" s="33" t="s">
        <v>58</v>
      </c>
      <c r="B8" s="37"/>
      <c r="C8" s="83"/>
      <c r="D8" s="9"/>
      <c r="E8" s="36"/>
      <c r="F8" s="36"/>
      <c r="G8" s="36"/>
      <c r="H8" s="35"/>
      <c r="I8" s="2"/>
    </row>
    <row r="9" spans="1:9" ht="15" customHeight="1">
      <c r="A9" s="33" t="s">
        <v>59</v>
      </c>
      <c r="B9" s="39"/>
      <c r="C9" s="83"/>
      <c r="D9" s="9"/>
      <c r="E9" s="36"/>
      <c r="F9" s="36"/>
      <c r="G9" s="36"/>
      <c r="H9" s="35"/>
      <c r="I9" s="2"/>
    </row>
    <row r="10" spans="1:9" ht="15" customHeight="1">
      <c r="A10" s="33" t="s">
        <v>60</v>
      </c>
      <c r="B10" s="40"/>
      <c r="C10" s="84"/>
      <c r="D10" s="15"/>
      <c r="E10" s="36"/>
      <c r="F10" s="36"/>
      <c r="G10" s="35"/>
      <c r="H10" s="35"/>
      <c r="I10" s="2"/>
    </row>
    <row r="11" spans="1:9" ht="15" customHeight="1">
      <c r="A11" s="33" t="s">
        <v>61</v>
      </c>
      <c r="B11" s="6"/>
      <c r="C11" s="33" t="s">
        <v>63</v>
      </c>
      <c r="D11" s="6" t="s">
        <v>1</v>
      </c>
      <c r="E11" s="67"/>
      <c r="F11" s="37"/>
      <c r="G11" s="37"/>
      <c r="H11" s="37"/>
      <c r="I11" s="2"/>
    </row>
    <row r="12" spans="1:9" ht="15" customHeight="1">
      <c r="A12" s="33" t="s">
        <v>62</v>
      </c>
      <c r="B12" s="34"/>
      <c r="C12" s="6"/>
      <c r="D12" s="34"/>
      <c r="E12" s="34"/>
      <c r="F12" s="35"/>
      <c r="G12" s="35"/>
      <c r="H12" s="37"/>
      <c r="I12" s="2"/>
    </row>
    <row r="13" spans="1:9" ht="15.4" customHeight="1">
      <c r="A13" s="37"/>
      <c r="B13" s="37"/>
      <c r="C13" s="41"/>
      <c r="D13" s="37"/>
      <c r="E13" s="37"/>
      <c r="F13" s="37"/>
      <c r="G13" s="37"/>
      <c r="H13" s="38" t="s">
        <v>15</v>
      </c>
      <c r="I13" s="2"/>
    </row>
    <row r="14" spans="1:9" ht="15.4" customHeight="1">
      <c r="A14" s="42" t="s">
        <v>39</v>
      </c>
      <c r="B14" s="43"/>
      <c r="C14" s="44" t="s">
        <v>16</v>
      </c>
      <c r="D14" s="18"/>
      <c r="E14" s="13">
        <f>B11</f>
        <v>0</v>
      </c>
      <c r="F14" s="49" t="s">
        <v>65</v>
      </c>
      <c r="G14" s="12" t="str">
        <f>D11</f>
        <v xml:space="preserve"> </v>
      </c>
      <c r="H14" s="97">
        <f>CEILING(D14*E14+D14*G14/30,0.01)</f>
        <v>0</v>
      </c>
      <c r="I14" s="2"/>
    </row>
    <row r="15" spans="1:9" ht="15.4" customHeight="1">
      <c r="A15" s="45" t="s">
        <v>40</v>
      </c>
      <c r="B15" s="46"/>
      <c r="C15" s="47" t="s">
        <v>16</v>
      </c>
      <c r="D15" s="19"/>
      <c r="E15" s="10">
        <f>B11</f>
        <v>0</v>
      </c>
      <c r="F15" s="46" t="s">
        <v>65</v>
      </c>
      <c r="G15" s="11" t="str">
        <f>D11</f>
        <v xml:space="preserve"> </v>
      </c>
      <c r="H15" s="94">
        <f>CEILING(D15*E15+D15*G15/30,0.01)</f>
        <v>0</v>
      </c>
      <c r="I15" s="2"/>
    </row>
    <row r="16" spans="1:9" ht="15.4" customHeight="1">
      <c r="A16" s="45" t="s">
        <v>18</v>
      </c>
      <c r="B16" s="46"/>
      <c r="C16" s="48" t="s">
        <v>5</v>
      </c>
      <c r="D16" s="7"/>
      <c r="E16" s="50" t="s">
        <v>64</v>
      </c>
      <c r="F16" s="22"/>
      <c r="G16" s="46"/>
      <c r="H16" s="94">
        <f>CEILING(D16*F16,0.01)</f>
        <v>0</v>
      </c>
      <c r="I16" s="2"/>
    </row>
    <row r="17" spans="1:9" ht="15.4" customHeight="1">
      <c r="A17" s="45" t="s">
        <v>41</v>
      </c>
      <c r="B17" s="399"/>
      <c r="C17" s="399"/>
      <c r="D17" s="399"/>
      <c r="E17" s="399"/>
      <c r="F17" s="399"/>
      <c r="G17" s="400"/>
      <c r="H17" s="95"/>
      <c r="I17" s="2"/>
    </row>
    <row r="18" spans="1:9" ht="15.4" customHeight="1">
      <c r="A18" s="45" t="s">
        <v>42</v>
      </c>
      <c r="B18" s="399"/>
      <c r="C18" s="399"/>
      <c r="D18" s="399"/>
      <c r="E18" s="399"/>
      <c r="F18" s="399"/>
      <c r="G18" s="400"/>
      <c r="H18" s="95"/>
      <c r="I18" s="2"/>
    </row>
    <row r="19" spans="1:9" ht="15.4" customHeight="1">
      <c r="A19" s="45" t="s">
        <v>43</v>
      </c>
      <c r="B19" s="46"/>
      <c r="C19" s="53" t="s">
        <v>16</v>
      </c>
      <c r="D19" s="19"/>
      <c r="E19" s="10">
        <f>B11</f>
        <v>0</v>
      </c>
      <c r="F19" s="52" t="s">
        <v>65</v>
      </c>
      <c r="G19" s="11" t="str">
        <f>D11</f>
        <v xml:space="preserve"> </v>
      </c>
      <c r="H19" s="94">
        <f>CEILING(D19*E19+D19*G19/30,0.01)</f>
        <v>0</v>
      </c>
      <c r="I19" s="2"/>
    </row>
    <row r="20" spans="1:9" ht="15.4" customHeight="1">
      <c r="A20" s="45" t="s">
        <v>44</v>
      </c>
      <c r="B20" s="46"/>
      <c r="C20" s="399"/>
      <c r="D20" s="399"/>
      <c r="E20" s="399"/>
      <c r="F20" s="399"/>
      <c r="G20" s="400"/>
      <c r="H20" s="95"/>
      <c r="I20" s="2"/>
    </row>
    <row r="21" spans="1:9" ht="15.4" customHeight="1">
      <c r="A21" s="45" t="s">
        <v>45</v>
      </c>
      <c r="B21" s="54"/>
      <c r="C21" s="48" t="s">
        <v>16</v>
      </c>
      <c r="D21" s="56"/>
      <c r="E21" s="57">
        <f>B11</f>
        <v>0</v>
      </c>
      <c r="F21" s="46" t="s">
        <v>65</v>
      </c>
      <c r="G21" s="58" t="str">
        <f>D11</f>
        <v xml:space="preserve"> </v>
      </c>
      <c r="H21" s="99">
        <f>D21*E21+D21*G21/30</f>
        <v>0</v>
      </c>
      <c r="I21" s="2"/>
    </row>
    <row r="22" spans="1:9" ht="15.4" customHeight="1">
      <c r="A22" s="51" t="s">
        <v>46</v>
      </c>
      <c r="B22" s="55"/>
      <c r="C22" s="402"/>
      <c r="D22" s="402"/>
      <c r="E22" s="402"/>
      <c r="F22" s="402"/>
      <c r="G22" s="403"/>
      <c r="H22" s="98"/>
      <c r="I22" s="2"/>
    </row>
    <row r="23" spans="1:9" ht="15.4" customHeight="1">
      <c r="A23" s="59" t="s">
        <v>6</v>
      </c>
      <c r="B23" s="60"/>
      <c r="C23" s="60"/>
      <c r="D23" s="61"/>
      <c r="E23" s="61"/>
      <c r="F23" s="61"/>
      <c r="G23" s="85"/>
      <c r="H23" s="20">
        <f>SUM(H14:H22)</f>
        <v>0</v>
      </c>
      <c r="I23" s="2"/>
    </row>
    <row r="24" spans="1:9" ht="15.4" customHeight="1">
      <c r="A24" s="62" t="s">
        <v>7</v>
      </c>
      <c r="B24" s="63"/>
      <c r="C24" s="63"/>
      <c r="D24" s="63"/>
      <c r="E24" s="63"/>
      <c r="F24" s="64" t="str">
        <f>IF(H24&lt;0,"DEBIT","CREDIT")</f>
        <v>CREDIT</v>
      </c>
      <c r="G24" s="86"/>
      <c r="H24" s="101"/>
      <c r="I24" s="2"/>
    </row>
    <row r="25" spans="1:9" ht="15.4" customHeight="1">
      <c r="A25" s="65" t="s">
        <v>8</v>
      </c>
      <c r="B25" s="37"/>
      <c r="C25" s="37"/>
      <c r="D25" s="37"/>
      <c r="E25" s="37"/>
      <c r="F25" s="37"/>
      <c r="G25" s="66"/>
      <c r="H25" s="21">
        <f>H23+H24</f>
        <v>0</v>
      </c>
      <c r="I25" s="2"/>
    </row>
    <row r="26" spans="1:9" ht="8.15" customHeight="1">
      <c r="A26" s="67"/>
      <c r="B26" s="37"/>
      <c r="C26" s="37"/>
      <c r="D26" s="37"/>
      <c r="E26" s="37"/>
      <c r="F26" s="37"/>
      <c r="G26" s="68"/>
      <c r="H26" s="66"/>
      <c r="I26" s="2"/>
    </row>
    <row r="27" spans="1:9" ht="15.4" customHeight="1">
      <c r="A27" s="65" t="s">
        <v>9</v>
      </c>
      <c r="B27" s="37"/>
      <c r="C27" s="37"/>
      <c r="D27" s="37"/>
      <c r="E27" s="37"/>
      <c r="F27" s="37"/>
      <c r="G27" s="69" t="s">
        <v>15</v>
      </c>
      <c r="H27" s="66"/>
      <c r="I27" s="2"/>
    </row>
    <row r="28" spans="1:9" ht="15.4" customHeight="1">
      <c r="A28" s="42" t="s">
        <v>47</v>
      </c>
      <c r="B28" s="70" t="s">
        <v>16</v>
      </c>
      <c r="C28" s="71"/>
      <c r="D28" s="72">
        <f>B11</f>
        <v>0</v>
      </c>
      <c r="E28" s="73" t="s">
        <v>66</v>
      </c>
      <c r="F28" s="74" t="str">
        <f>D11</f>
        <v xml:space="preserve"> </v>
      </c>
      <c r="G28" s="100">
        <f>C28*D28+C28*F28/30</f>
        <v>0</v>
      </c>
      <c r="H28" s="66"/>
      <c r="I28" s="2"/>
    </row>
    <row r="29" spans="1:9" ht="15.4" customHeight="1">
      <c r="A29" s="45" t="s">
        <v>49</v>
      </c>
      <c r="B29" s="46"/>
      <c r="C29" s="88"/>
      <c r="D29" s="396" t="e">
        <f>#REF!</f>
        <v>#REF!</v>
      </c>
      <c r="E29" s="396"/>
      <c r="F29" s="397"/>
      <c r="G29" s="94" t="e">
        <f>#REF!</f>
        <v>#REF!</v>
      </c>
      <c r="H29" s="66"/>
      <c r="I29" s="2"/>
    </row>
    <row r="30" spans="1:9" ht="15.4" customHeight="1">
      <c r="A30" s="45" t="s">
        <v>48</v>
      </c>
      <c r="B30" s="46"/>
      <c r="C30" s="88"/>
      <c r="D30" s="396">
        <f>'2AL'!D26</f>
        <v>0</v>
      </c>
      <c r="E30" s="396"/>
      <c r="F30" s="397"/>
      <c r="G30" s="94">
        <f>'2AL'!E26</f>
        <v>0</v>
      </c>
      <c r="H30" s="66"/>
      <c r="I30" s="2"/>
    </row>
    <row r="31" spans="1:9" ht="15.4" customHeight="1">
      <c r="A31" s="45" t="s">
        <v>50</v>
      </c>
      <c r="B31" s="46"/>
      <c r="C31" s="88"/>
      <c r="D31" s="396" t="e">
        <f>#REF!</f>
        <v>#REF!</v>
      </c>
      <c r="E31" s="396"/>
      <c r="F31" s="397"/>
      <c r="G31" s="94" t="e">
        <f>#REF!</f>
        <v>#REF!</v>
      </c>
      <c r="H31" s="66"/>
      <c r="I31" s="2"/>
    </row>
    <row r="32" spans="1:9" ht="15.4" customHeight="1">
      <c r="A32" s="45" t="s">
        <v>51</v>
      </c>
      <c r="B32" s="46"/>
      <c r="C32" s="404" t="e">
        <f>#REF!</f>
        <v>#REF!</v>
      </c>
      <c r="D32" s="404"/>
      <c r="E32" s="404"/>
      <c r="F32" s="405"/>
      <c r="G32" s="94" t="e">
        <f>#REF!</f>
        <v>#REF!</v>
      </c>
      <c r="H32" s="66"/>
      <c r="I32" s="2"/>
    </row>
    <row r="33" spans="1:9" ht="15.4" customHeight="1">
      <c r="A33" s="45" t="s">
        <v>19</v>
      </c>
      <c r="B33" s="46"/>
      <c r="C33" s="88"/>
      <c r="D33" s="404" t="e">
        <f>#REF!</f>
        <v>#REF!</v>
      </c>
      <c r="E33" s="404"/>
      <c r="F33" s="405"/>
      <c r="G33" s="94" t="e">
        <f>#REF!</f>
        <v>#REF!</v>
      </c>
      <c r="H33" s="66"/>
      <c r="I33" s="2"/>
    </row>
    <row r="34" spans="1:9" ht="15.4" customHeight="1">
      <c r="A34" s="45" t="s">
        <v>52</v>
      </c>
      <c r="B34" s="46"/>
      <c r="C34" s="88"/>
      <c r="D34" s="396">
        <f>'1AD'!D26</f>
        <v>0</v>
      </c>
      <c r="E34" s="396"/>
      <c r="F34" s="397"/>
      <c r="G34" s="94">
        <f>'1AD'!E26</f>
        <v>0</v>
      </c>
      <c r="H34" s="66"/>
      <c r="I34" s="2"/>
    </row>
    <row r="35" spans="1:9" ht="15.4" customHeight="1">
      <c r="A35" s="45" t="s">
        <v>53</v>
      </c>
      <c r="B35" s="46"/>
      <c r="C35" s="88"/>
      <c r="D35" s="396" t="e">
        <f>#REF!</f>
        <v>#REF!</v>
      </c>
      <c r="E35" s="396"/>
      <c r="F35" s="397"/>
      <c r="G35" s="94" t="e">
        <f>#REF!</f>
        <v>#REF!</v>
      </c>
      <c r="H35" s="66"/>
      <c r="I35" s="2"/>
    </row>
    <row r="36" spans="1:9" ht="15.4" customHeight="1">
      <c r="A36" s="45" t="s">
        <v>54</v>
      </c>
      <c r="B36" s="46"/>
      <c r="C36" s="88"/>
      <c r="D36" s="396">
        <f>'3AD'!D26</f>
        <v>0</v>
      </c>
      <c r="E36" s="396"/>
      <c r="F36" s="397"/>
      <c r="G36" s="94">
        <f>'3AD'!E26</f>
        <v>0</v>
      </c>
      <c r="H36" s="66"/>
      <c r="I36" s="2"/>
    </row>
    <row r="37" spans="1:9" ht="15.4" customHeight="1">
      <c r="A37" s="45" t="s">
        <v>68</v>
      </c>
      <c r="B37" s="46"/>
      <c r="C37" s="88"/>
      <c r="D37" s="399"/>
      <c r="E37" s="399"/>
      <c r="F37" s="400"/>
      <c r="G37" s="95"/>
      <c r="H37" s="66"/>
      <c r="I37" s="2"/>
    </row>
    <row r="38" spans="1:9" ht="15.4" customHeight="1">
      <c r="A38" s="75" t="s">
        <v>55</v>
      </c>
      <c r="B38" s="76"/>
      <c r="C38" s="402"/>
      <c r="D38" s="402"/>
      <c r="E38" s="402"/>
      <c r="F38" s="403"/>
      <c r="G38" s="96"/>
      <c r="H38" s="66"/>
      <c r="I38" s="2"/>
    </row>
    <row r="39" spans="1:9" ht="15.4" customHeight="1">
      <c r="A39" s="89" t="s">
        <v>10</v>
      </c>
      <c r="B39" s="90"/>
      <c r="C39" s="90"/>
      <c r="D39" s="90"/>
      <c r="E39" s="90"/>
      <c r="F39" s="91"/>
      <c r="G39" s="16" t="e">
        <f>SUM(G28:G38)</f>
        <v>#REF!</v>
      </c>
      <c r="H39" s="87"/>
      <c r="I39" s="2"/>
    </row>
    <row r="40" spans="1:9" ht="8.15" customHeight="1" thickBot="1">
      <c r="A40" s="37"/>
      <c r="B40" s="37"/>
      <c r="C40" s="37"/>
      <c r="D40" s="37"/>
      <c r="E40" s="37"/>
      <c r="F40" s="37"/>
      <c r="G40" s="87"/>
      <c r="H40" s="87"/>
      <c r="I40" s="2"/>
    </row>
    <row r="41" spans="1:9" ht="15.4" customHeight="1" thickBot="1">
      <c r="A41" s="77" t="s">
        <v>11</v>
      </c>
      <c r="B41" s="37"/>
      <c r="C41" s="37"/>
      <c r="D41" s="37"/>
      <c r="E41" s="37"/>
      <c r="F41" s="92" t="e">
        <f>IF(H41&lt;0,"DEBIT","CREDIT")</f>
        <v>#REF!</v>
      </c>
      <c r="G41" s="93" t="s">
        <v>15</v>
      </c>
      <c r="H41" s="14" t="e">
        <f>H25-G39</f>
        <v>#REF!</v>
      </c>
      <c r="I41" s="2"/>
    </row>
    <row r="42" spans="1:9" ht="15.4" customHeight="1">
      <c r="A42" s="37"/>
      <c r="B42" s="37"/>
      <c r="C42" s="37"/>
      <c r="D42" s="37"/>
      <c r="E42" s="37"/>
      <c r="F42" s="37"/>
      <c r="G42" s="37"/>
      <c r="H42" s="37"/>
      <c r="I42" s="2"/>
    </row>
    <row r="43" spans="1:9" ht="30.4" customHeight="1">
      <c r="A43" s="78" t="s">
        <v>69</v>
      </c>
      <c r="B43" s="78"/>
      <c r="C43" s="78"/>
      <c r="D43" s="78"/>
      <c r="E43" s="78"/>
      <c r="F43" s="78"/>
      <c r="G43" s="78"/>
      <c r="H43" s="78"/>
      <c r="I43" s="2"/>
    </row>
    <row r="44" spans="1:9" ht="30.4" customHeight="1">
      <c r="A44" s="82" t="s">
        <v>12</v>
      </c>
      <c r="B44" s="406"/>
      <c r="C44" s="406"/>
      <c r="D44" s="81"/>
      <c r="E44" s="82" t="s">
        <v>13</v>
      </c>
      <c r="F44" s="407"/>
      <c r="G44" s="407"/>
      <c r="H44" s="37"/>
      <c r="I44" s="2"/>
    </row>
    <row r="45" spans="1:9" ht="13.15" customHeight="1">
      <c r="A45" s="37"/>
      <c r="B45" s="35"/>
      <c r="C45" s="35"/>
      <c r="D45" s="35"/>
      <c r="E45" s="37"/>
      <c r="F45" s="35"/>
      <c r="G45" s="37"/>
      <c r="H45" s="37"/>
      <c r="I45" s="2"/>
    </row>
    <row r="46" spans="1:9" ht="13.15" customHeight="1">
      <c r="A46" s="37"/>
      <c r="B46" s="35"/>
      <c r="C46" s="35"/>
      <c r="D46" s="35"/>
      <c r="E46" s="37"/>
      <c r="F46" s="35"/>
      <c r="G46" s="37"/>
      <c r="H46" s="37"/>
      <c r="I46" s="2"/>
    </row>
    <row r="47" spans="1:9" ht="13.15" customHeight="1">
      <c r="A47" s="35" t="s">
        <v>0</v>
      </c>
      <c r="B47" s="37"/>
      <c r="C47" s="37"/>
      <c r="D47" s="37"/>
      <c r="E47" s="37"/>
      <c r="F47" s="35" t="s">
        <v>14</v>
      </c>
      <c r="G47" s="37"/>
      <c r="H47" s="37"/>
      <c r="I47" s="2"/>
    </row>
    <row r="48" spans="1:9" ht="13.15" customHeight="1">
      <c r="A48" s="35"/>
      <c r="B48" s="37"/>
      <c r="C48" s="37"/>
      <c r="D48" s="37"/>
      <c r="E48" s="37"/>
      <c r="F48" s="35"/>
      <c r="G48" s="37"/>
      <c r="H48" s="37"/>
      <c r="I48" s="2"/>
    </row>
    <row r="49" spans="1:9" ht="13.15" customHeight="1">
      <c r="A49" s="37"/>
      <c r="B49" s="34" t="e">
        <f>#REF!</f>
        <v>#REF!</v>
      </c>
      <c r="C49" s="37"/>
      <c r="D49" s="37"/>
      <c r="E49" s="37"/>
      <c r="F49" s="79"/>
      <c r="G49" s="80" t="e">
        <f>B6</f>
        <v>#REF!</v>
      </c>
      <c r="H49" s="37"/>
      <c r="I49" s="2"/>
    </row>
    <row r="50" spans="1:9" ht="13.5">
      <c r="A50" s="17"/>
      <c r="B50" s="17"/>
      <c r="C50" s="17"/>
      <c r="D50" s="17"/>
      <c r="E50" s="17"/>
      <c r="F50" s="17"/>
      <c r="G50" s="17"/>
      <c r="H50" s="17"/>
    </row>
    <row r="51" spans="1:9" ht="13.5">
      <c r="A51" s="17"/>
      <c r="B51" s="17"/>
      <c r="C51" s="17"/>
      <c r="D51" s="17"/>
      <c r="E51" s="17"/>
      <c r="F51" s="17"/>
      <c r="G51" s="17"/>
      <c r="H51" s="17"/>
    </row>
  </sheetData>
  <mergeCells count="18">
    <mergeCell ref="D31:F31"/>
    <mergeCell ref="C32:F32"/>
    <mergeCell ref="D35:F35"/>
    <mergeCell ref="B44:C44"/>
    <mergeCell ref="F44:G44"/>
    <mergeCell ref="D36:F36"/>
    <mergeCell ref="D37:F37"/>
    <mergeCell ref="C38:F38"/>
    <mergeCell ref="D33:F33"/>
    <mergeCell ref="D34:F34"/>
    <mergeCell ref="D29:F29"/>
    <mergeCell ref="D30:F30"/>
    <mergeCell ref="A1:G1"/>
    <mergeCell ref="B17:G17"/>
    <mergeCell ref="B18:G18"/>
    <mergeCell ref="C20:G20"/>
    <mergeCell ref="C4:F4"/>
    <mergeCell ref="C22:G22"/>
  </mergeCells>
  <phoneticPr fontId="0" type="noConversion"/>
  <pageMargins left="0.98425196850393704" right="0.19685039370078741" top="0.39370078740157483" bottom="0" header="0" footer="0"/>
  <pageSetup paperSize="9" orientation="portrait" blackAndWhite="1" horizontalDpi="4294967295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2AL</vt:lpstr>
      <vt:lpstr>1AD</vt:lpstr>
      <vt:lpstr>3AD</vt:lpstr>
      <vt:lpstr>Bond</vt:lpstr>
      <vt:lpstr>19</vt:lpstr>
      <vt:lpstr>20</vt:lpstr>
      <vt:lpstr>21</vt:lpstr>
      <vt:lpstr>Foglio2</vt:lpstr>
      <vt:lpstr>Foglio3</vt:lpstr>
      <vt:lpstr>Foglio4</vt:lpstr>
      <vt:lpstr>'19'!Print_Area</vt:lpstr>
      <vt:lpstr>'1AD'!Print_Area</vt:lpstr>
      <vt:lpstr>'20'!Print_Area</vt:lpstr>
      <vt:lpstr>'21'!Print_Area</vt:lpstr>
      <vt:lpstr>'2AL'!Print_Area</vt:lpstr>
      <vt:lpstr>'3AD'!Print_Area</vt:lpstr>
      <vt:lpstr>Bond!Print_Area</vt:lpstr>
    </vt:vector>
  </TitlesOfParts>
  <Company>Xenoscom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eMGA</dc:title>
  <dc:creator>Xenos Panagiotis</dc:creator>
  <cp:lastModifiedBy>Kirthivasan</cp:lastModifiedBy>
  <cp:lastPrinted>2025-11-26T10:50:06Z</cp:lastPrinted>
  <dcterms:created xsi:type="dcterms:W3CDTF">1998-02-09T07:12:06Z</dcterms:created>
  <dcterms:modified xsi:type="dcterms:W3CDTF">2026-02-08T12:29:07Z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7177d19a-4286-469c-ab0c-e94d8adf6037</vt:lpwstr>
  </property>
</Properties>
</file>