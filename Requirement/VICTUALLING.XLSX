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irthivasan\Downloads\Development\"/>
    </mc:Choice>
  </mc:AlternateContent>
  <xr:revisionPtr revIDLastSave="0" documentId="13_ncr:1_{6C57665D-44F1-41E8-9408-02F300EFBFE3}" xr6:coauthVersionLast="47" xr6:coauthVersionMax="47" xr10:uidLastSave="{00000000-0000-0000-0000-000000000000}"/>
  <bookViews>
    <workbookView xWindow="-110" yWindow="-110" windowWidth="25820" windowHeight="15500" tabRatio="602" xr2:uid="{00000000-000D-0000-FFFF-FFFF00000000}"/>
  </bookViews>
  <sheets>
    <sheet name="Provisions Covering Sheet" sheetId="1" r:id="rId1"/>
    <sheet name="Shipstaff Manday Calculation" sheetId="3" r:id="rId2"/>
    <sheet name="CONSOLIDATED" sheetId="2" r:id="rId3"/>
    <sheet name="OUTPORT MESSING" sheetId="4" r:id="rId4"/>
    <sheet name="Spoiled Items " sheetId="5" r:id="rId5"/>
  </sheets>
  <externalReferences>
    <externalReference r:id="rId6"/>
  </externalReferences>
  <definedNames>
    <definedName name="_xlnm._FilterDatabase" localSheetId="2" hidden="1">CONSOLIDATED!$A$7:$Y$322</definedName>
    <definedName name="_xlnm._FilterDatabase" localSheetId="1" hidden="1">'Shipstaff Manday Calculation'!$F$3:$F$32</definedName>
    <definedName name="aaa" hidden="1">{#N/A,#N/A,FALSE,"ADB"}</definedName>
    <definedName name="abc" hidden="1">{#N/A,#N/A,FALSE,"ADB"}</definedName>
    <definedName name="anchor">[1]Sheet2!#REF!</definedName>
    <definedName name="bondmay" hidden="1">{#N/A,#N/A,FALSE,"ADB"}</definedName>
    <definedName name="ht">[1]Sheet2!#REF!</definedName>
    <definedName name="ltr.p.billnewcastle" hidden="1">{#N/A,#N/A,FALSE,"ADB"}</definedName>
    <definedName name="_xlnm.Print_Area" localSheetId="2">CONSOLIDATED!$A$1:$Y$639</definedName>
    <definedName name="_xlnm.Print_Area" localSheetId="0">'Provisions Covering Sheet'!$A$1:$O$34</definedName>
    <definedName name="_xlnm.Print_Area" localSheetId="1">'Shipstaff Manday Calculation'!$A$1:$G$46</definedName>
    <definedName name="PRINTAREA">#REF!</definedName>
    <definedName name="ROB" hidden="1">{#N/A,#N/A,FALSE,"ADB"}</definedName>
    <definedName name="wdt">[1]Sheet2!#REF!</definedName>
    <definedName name="wrn.PRINTADB." hidden="1">{#N/A,#N/A,FALSE,"ADB"}</definedName>
    <definedName name="xcv" hidden="1">{#N/A,#N/A,FALSE,"ADB"}</definedName>
    <definedName name="xxv" hidden="1">{#N/A,#N/A,FALSE,"ADB"}</definedName>
    <definedName name="xxx">[1]Sheet2!#REF!</definedName>
    <definedName name="XYZ" hidden="1">{#N/A,#N/A,FALSE,"ADB"}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2" l="1"/>
  <c r="H9" i="2" l="1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I208" i="2" s="1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M122" i="2" l="1"/>
  <c r="I9" i="2" l="1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8" i="2"/>
  <c r="Q307" i="2" l="1"/>
  <c r="W307" i="2" s="1"/>
  <c r="M307" i="2"/>
  <c r="E307" i="2"/>
  <c r="S307" i="2" l="1"/>
  <c r="R307" i="2" s="1"/>
  <c r="X307" i="2" s="1"/>
  <c r="Y307" i="2" s="1"/>
  <c r="U307" i="2" l="1"/>
  <c r="V307" i="2" s="1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8" i="2"/>
  <c r="I321" i="2" l="1"/>
  <c r="Q178" i="2"/>
  <c r="E178" i="2"/>
  <c r="S178" i="2" l="1"/>
  <c r="R178" i="2" s="1"/>
  <c r="U178" i="2" s="1"/>
  <c r="W178" i="2"/>
  <c r="V178" i="2" l="1"/>
  <c r="X178" i="2"/>
  <c r="Y178" i="2" s="1"/>
  <c r="P321" i="2"/>
  <c r="N9" i="1" l="1"/>
  <c r="Q78" i="2" l="1"/>
  <c r="Q73" i="2"/>
  <c r="E195" i="2" l="1"/>
  <c r="Q195" i="2"/>
  <c r="W195" i="2" s="1"/>
  <c r="Q194" i="2"/>
  <c r="W194" i="2" s="1"/>
  <c r="E194" i="2"/>
  <c r="S194" i="2" l="1"/>
  <c r="R194" i="2" s="1"/>
  <c r="S195" i="2"/>
  <c r="R195" i="2" s="1"/>
  <c r="X194" i="2" l="1"/>
  <c r="Y194" i="2" s="1"/>
  <c r="U194" i="2"/>
  <c r="V194" i="2" s="1"/>
  <c r="X195" i="2"/>
  <c r="Y195" i="2" s="1"/>
  <c r="U195" i="2"/>
  <c r="V195" i="2" s="1"/>
  <c r="F34" i="3"/>
  <c r="Q315" i="2" l="1"/>
  <c r="W315" i="2" s="1"/>
  <c r="E193" i="2" l="1"/>
  <c r="Q193" i="2"/>
  <c r="W193" i="2" s="1"/>
  <c r="Q314" i="2"/>
  <c r="E315" i="2"/>
  <c r="E314" i="2"/>
  <c r="S315" i="2" l="1"/>
  <c r="R315" i="2" s="1"/>
  <c r="S193" i="2"/>
  <c r="R193" i="2" s="1"/>
  <c r="S314" i="2"/>
  <c r="R314" i="2" s="1"/>
  <c r="U314" i="2" s="1"/>
  <c r="W314" i="2"/>
  <c r="Q313" i="2"/>
  <c r="W313" i="2" s="1"/>
  <c r="E313" i="2"/>
  <c r="X193" i="2" l="1"/>
  <c r="Y193" i="2" s="1"/>
  <c r="U193" i="2"/>
  <c r="V193" i="2" s="1"/>
  <c r="U315" i="2"/>
  <c r="V315" i="2" s="1"/>
  <c r="X315" i="2"/>
  <c r="Y315" i="2" s="1"/>
  <c r="S313" i="2"/>
  <c r="R313" i="2" s="1"/>
  <c r="V314" i="2"/>
  <c r="X314" i="2"/>
  <c r="Y314" i="2" s="1"/>
  <c r="U313" i="2" l="1"/>
  <c r="V313" i="2" s="1"/>
  <c r="X313" i="2"/>
  <c r="Y313" i="2" s="1"/>
  <c r="Q104" i="2"/>
  <c r="W104" i="2" s="1"/>
  <c r="Q36" i="2"/>
  <c r="W36" i="2" s="1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8" i="2"/>
  <c r="E309" i="2"/>
  <c r="E310" i="2"/>
  <c r="E311" i="2"/>
  <c r="E312" i="2"/>
  <c r="E316" i="2"/>
  <c r="E317" i="2"/>
  <c r="E318" i="2"/>
  <c r="E319" i="2"/>
  <c r="E320" i="2"/>
  <c r="E2" i="5" l="1"/>
  <c r="S16" i="2" l="1"/>
  <c r="Q20" i="2" l="1"/>
  <c r="W20" i="2" s="1"/>
  <c r="Q311" i="2"/>
  <c r="W311" i="2" s="1"/>
  <c r="Q312" i="2"/>
  <c r="W312" i="2" s="1"/>
  <c r="Q316" i="2"/>
  <c r="W316" i="2" s="1"/>
  <c r="Q317" i="2"/>
  <c r="W317" i="2" s="1"/>
  <c r="Q318" i="2"/>
  <c r="W318" i="2" s="1"/>
  <c r="Q319" i="2"/>
  <c r="W319" i="2" s="1"/>
  <c r="Q320" i="2"/>
  <c r="W320" i="2" s="1"/>
  <c r="Q176" i="2"/>
  <c r="W176" i="2" s="1"/>
  <c r="Q35" i="2"/>
  <c r="W35" i="2" s="1"/>
  <c r="Q34" i="2"/>
  <c r="W34" i="2" s="1"/>
  <c r="Q8" i="2" l="1"/>
  <c r="W8" i="2" s="1"/>
  <c r="S20" i="2" l="1"/>
  <c r="R20" i="2" s="1"/>
  <c r="U20" i="2" s="1"/>
  <c r="S312" i="2"/>
  <c r="R312" i="2" s="1"/>
  <c r="U312" i="2" s="1"/>
  <c r="S316" i="2"/>
  <c r="R316" i="2" s="1"/>
  <c r="U316" i="2" s="1"/>
  <c r="S319" i="2"/>
  <c r="R319" i="2" s="1"/>
  <c r="U319" i="2" s="1"/>
  <c r="Q310" i="2"/>
  <c r="W310" i="2" s="1"/>
  <c r="Q242" i="2"/>
  <c r="W242" i="2" s="1"/>
  <c r="X316" i="2" l="1"/>
  <c r="Y316" i="2" s="1"/>
  <c r="V316" i="2"/>
  <c r="X312" i="2"/>
  <c r="Y312" i="2" s="1"/>
  <c r="V312" i="2"/>
  <c r="S318" i="2"/>
  <c r="R318" i="2" s="1"/>
  <c r="U318" i="2" s="1"/>
  <c r="X319" i="2"/>
  <c r="Y319" i="2" s="1"/>
  <c r="V319" i="2"/>
  <c r="X20" i="2"/>
  <c r="Y20" i="2" s="1"/>
  <c r="V20" i="2"/>
  <c r="S192" i="2"/>
  <c r="S104" i="2"/>
  <c r="R104" i="2" s="1"/>
  <c r="U104" i="2" s="1"/>
  <c r="S242" i="2"/>
  <c r="R242" i="2" s="1"/>
  <c r="U242" i="2" s="1"/>
  <c r="S36" i="2"/>
  <c r="R36" i="2" s="1"/>
  <c r="U36" i="2" s="1"/>
  <c r="S311" i="2"/>
  <c r="R311" i="2" s="1"/>
  <c r="U311" i="2" s="1"/>
  <c r="S317" i="2"/>
  <c r="R317" i="2" s="1"/>
  <c r="U317" i="2" s="1"/>
  <c r="S320" i="2"/>
  <c r="R320" i="2" s="1"/>
  <c r="U320" i="2" s="1"/>
  <c r="V318" i="2" l="1"/>
  <c r="X318" i="2"/>
  <c r="Y318" i="2" s="1"/>
  <c r="X320" i="2"/>
  <c r="Y320" i="2" s="1"/>
  <c r="V320" i="2"/>
  <c r="X317" i="2"/>
  <c r="Y317" i="2" s="1"/>
  <c r="V317" i="2"/>
  <c r="X311" i="2"/>
  <c r="Y311" i="2" s="1"/>
  <c r="V311" i="2"/>
  <c r="X36" i="2"/>
  <c r="Y36" i="2" s="1"/>
  <c r="V36" i="2"/>
  <c r="X242" i="2"/>
  <c r="Y242" i="2" s="1"/>
  <c r="V242" i="2"/>
  <c r="V104" i="2"/>
  <c r="X104" i="2"/>
  <c r="Y104" i="2" s="1"/>
  <c r="Q192" i="2"/>
  <c r="W192" i="2" s="1"/>
  <c r="R192" i="2" l="1"/>
  <c r="U192" i="2" s="1"/>
  <c r="S310" i="2"/>
  <c r="R310" i="2" s="1"/>
  <c r="U310" i="2" s="1"/>
  <c r="S309" i="2"/>
  <c r="Q309" i="2"/>
  <c r="W309" i="2" s="1"/>
  <c r="S308" i="2"/>
  <c r="Q308" i="2"/>
  <c r="W308" i="2" s="1"/>
  <c r="R308" i="2" l="1"/>
  <c r="R309" i="2"/>
  <c r="U309" i="2" s="1"/>
  <c r="V192" i="2"/>
  <c r="X192" i="2"/>
  <c r="Y192" i="2" s="1"/>
  <c r="X310" i="2"/>
  <c r="Y310" i="2" s="1"/>
  <c r="V310" i="2"/>
  <c r="F4" i="2"/>
  <c r="X308" i="2" l="1"/>
  <c r="Y308" i="2" s="1"/>
  <c r="U308" i="2"/>
  <c r="V308" i="2" s="1"/>
  <c r="X309" i="2"/>
  <c r="Y309" i="2" s="1"/>
  <c r="V309" i="2"/>
  <c r="S304" i="2" l="1"/>
  <c r="S305" i="2"/>
  <c r="S306" i="2"/>
  <c r="Q306" i="2" l="1"/>
  <c r="R306" i="2" l="1"/>
  <c r="W306" i="2"/>
  <c r="Q300" i="2"/>
  <c r="W300" i="2" s="1"/>
  <c r="Q301" i="2"/>
  <c r="W301" i="2" s="1"/>
  <c r="Q302" i="2"/>
  <c r="W302" i="2" s="1"/>
  <c r="Q303" i="2"/>
  <c r="W303" i="2" s="1"/>
  <c r="Q304" i="2"/>
  <c r="W304" i="2" s="1"/>
  <c r="Q305" i="2"/>
  <c r="W305" i="2" s="1"/>
  <c r="X306" i="2" l="1"/>
  <c r="Y306" i="2" s="1"/>
  <c r="U306" i="2"/>
  <c r="V306" i="2" s="1"/>
  <c r="R305" i="2"/>
  <c r="U305" i="2" s="1"/>
  <c r="R304" i="2"/>
  <c r="U304" i="2" s="1"/>
  <c r="S302" i="2"/>
  <c r="R302" i="2" s="1"/>
  <c r="U302" i="2" s="1"/>
  <c r="S303" i="2"/>
  <c r="R303" i="2" s="1"/>
  <c r="U303" i="2" s="1"/>
  <c r="S301" i="2"/>
  <c r="R301" i="2" s="1"/>
  <c r="U301" i="2" s="1"/>
  <c r="S300" i="2"/>
  <c r="R300" i="2" s="1"/>
  <c r="U300" i="2" s="1"/>
  <c r="Q278" i="2"/>
  <c r="W278" i="2" s="1"/>
  <c r="Q279" i="2"/>
  <c r="W279" i="2" s="1"/>
  <c r="Q280" i="2"/>
  <c r="W280" i="2" s="1"/>
  <c r="Q281" i="2"/>
  <c r="W281" i="2" s="1"/>
  <c r="Q282" i="2"/>
  <c r="W282" i="2" s="1"/>
  <c r="Q283" i="2"/>
  <c r="W283" i="2" s="1"/>
  <c r="Q284" i="2"/>
  <c r="W284" i="2" s="1"/>
  <c r="Q285" i="2"/>
  <c r="Q286" i="2"/>
  <c r="W286" i="2" s="1"/>
  <c r="Q287" i="2"/>
  <c r="W287" i="2" s="1"/>
  <c r="Q288" i="2"/>
  <c r="W288" i="2" s="1"/>
  <c r="Q289" i="2"/>
  <c r="Q290" i="2"/>
  <c r="W290" i="2" s="1"/>
  <c r="Q291" i="2"/>
  <c r="W291" i="2" s="1"/>
  <c r="Q292" i="2"/>
  <c r="W292" i="2" s="1"/>
  <c r="Q293" i="2"/>
  <c r="Q294" i="2"/>
  <c r="W294" i="2" s="1"/>
  <c r="Q295" i="2"/>
  <c r="W295" i="2" s="1"/>
  <c r="Q296" i="2"/>
  <c r="W296" i="2" s="1"/>
  <c r="Q297" i="2"/>
  <c r="Q298" i="2"/>
  <c r="W298" i="2" s="1"/>
  <c r="Q299" i="2"/>
  <c r="W285" i="2" l="1"/>
  <c r="W289" i="2"/>
  <c r="W299" i="2"/>
  <c r="W297" i="2"/>
  <c r="W293" i="2"/>
  <c r="X304" i="2"/>
  <c r="Y304" i="2" s="1"/>
  <c r="V304" i="2"/>
  <c r="R296" i="2"/>
  <c r="U296" i="2" s="1"/>
  <c r="V305" i="2"/>
  <c r="X305" i="2"/>
  <c r="Y305" i="2" s="1"/>
  <c r="X301" i="2"/>
  <c r="Y301" i="2" s="1"/>
  <c r="V301" i="2"/>
  <c r="X300" i="2"/>
  <c r="Y300" i="2" s="1"/>
  <c r="V300" i="2"/>
  <c r="X303" i="2"/>
  <c r="Y303" i="2" s="1"/>
  <c r="V303" i="2"/>
  <c r="X302" i="2"/>
  <c r="Y302" i="2" s="1"/>
  <c r="V302" i="2"/>
  <c r="S292" i="2"/>
  <c r="R292" i="2" s="1"/>
  <c r="U292" i="2" s="1"/>
  <c r="S293" i="2"/>
  <c r="R293" i="2" s="1"/>
  <c r="S298" i="2"/>
  <c r="S288" i="2"/>
  <c r="R288" i="2" s="1"/>
  <c r="U288" i="2" s="1"/>
  <c r="S295" i="2"/>
  <c r="R295" i="2" s="1"/>
  <c r="U295" i="2" s="1"/>
  <c r="S286" i="2"/>
  <c r="R286" i="2" s="1"/>
  <c r="U286" i="2" s="1"/>
  <c r="S287" i="2"/>
  <c r="R287" i="2" s="1"/>
  <c r="U287" i="2" s="1"/>
  <c r="S294" i="2"/>
  <c r="R294" i="2" s="1"/>
  <c r="U294" i="2" s="1"/>
  <c r="S280" i="2"/>
  <c r="S299" i="2"/>
  <c r="R299" i="2" s="1"/>
  <c r="S281" i="2"/>
  <c r="R281" i="2" s="1"/>
  <c r="U281" i="2" s="1"/>
  <c r="S297" i="2"/>
  <c r="R297" i="2" s="1"/>
  <c r="U297" i="2" s="1"/>
  <c r="S282" i="2"/>
  <c r="R282" i="2" s="1"/>
  <c r="U282" i="2" s="1"/>
  <c r="S283" i="2"/>
  <c r="R283" i="2" s="1"/>
  <c r="U283" i="2" s="1"/>
  <c r="S279" i="2"/>
  <c r="R279" i="2" s="1"/>
  <c r="U279" i="2" s="1"/>
  <c r="S290" i="2"/>
  <c r="R290" i="2" s="1"/>
  <c r="U290" i="2" s="1"/>
  <c r="S284" i="2"/>
  <c r="R284" i="2" s="1"/>
  <c r="U284" i="2" s="1"/>
  <c r="S285" i="2"/>
  <c r="R285" i="2" s="1"/>
  <c r="S291" i="2"/>
  <c r="R291" i="2" s="1"/>
  <c r="U291" i="2" s="1"/>
  <c r="S289" i="2"/>
  <c r="R289" i="2" s="1"/>
  <c r="S296" i="2"/>
  <c r="Q273" i="2"/>
  <c r="W273" i="2" s="1"/>
  <c r="Q274" i="2"/>
  <c r="W274" i="2" s="1"/>
  <c r="Q275" i="2"/>
  <c r="W275" i="2" s="1"/>
  <c r="Q276" i="2"/>
  <c r="W276" i="2" s="1"/>
  <c r="Q277" i="2"/>
  <c r="W277" i="2" s="1"/>
  <c r="Q250" i="2"/>
  <c r="W250" i="2" s="1"/>
  <c r="Q248" i="2"/>
  <c r="W248" i="2" s="1"/>
  <c r="Q249" i="2"/>
  <c r="W249" i="2" s="1"/>
  <c r="Q251" i="2"/>
  <c r="W251" i="2" s="1"/>
  <c r="Q252" i="2"/>
  <c r="W252" i="2" s="1"/>
  <c r="Q253" i="2"/>
  <c r="W253" i="2" s="1"/>
  <c r="Q254" i="2"/>
  <c r="W254" i="2" s="1"/>
  <c r="Q255" i="2"/>
  <c r="W255" i="2" s="1"/>
  <c r="Q256" i="2"/>
  <c r="W256" i="2" s="1"/>
  <c r="Q257" i="2"/>
  <c r="W257" i="2" s="1"/>
  <c r="Q258" i="2"/>
  <c r="W258" i="2" s="1"/>
  <c r="Q259" i="2"/>
  <c r="W259" i="2" s="1"/>
  <c r="Q260" i="2"/>
  <c r="W260" i="2" s="1"/>
  <c r="Q261" i="2"/>
  <c r="W261" i="2" s="1"/>
  <c r="Q262" i="2"/>
  <c r="W262" i="2" s="1"/>
  <c r="Q263" i="2"/>
  <c r="W263" i="2" s="1"/>
  <c r="Q264" i="2"/>
  <c r="W264" i="2" s="1"/>
  <c r="Q265" i="2"/>
  <c r="W265" i="2" s="1"/>
  <c r="Q266" i="2"/>
  <c r="W266" i="2" s="1"/>
  <c r="Q267" i="2"/>
  <c r="W267" i="2" s="1"/>
  <c r="Q268" i="2"/>
  <c r="W268" i="2" s="1"/>
  <c r="Q269" i="2"/>
  <c r="W269" i="2" s="1"/>
  <c r="Q270" i="2"/>
  <c r="W270" i="2" s="1"/>
  <c r="Q271" i="2"/>
  <c r="W271" i="2" s="1"/>
  <c r="Q272" i="2"/>
  <c r="W272" i="2" s="1"/>
  <c r="Q241" i="2"/>
  <c r="W241" i="2" s="1"/>
  <c r="Q243" i="2"/>
  <c r="W243" i="2" s="1"/>
  <c r="Q244" i="2"/>
  <c r="W244" i="2" s="1"/>
  <c r="Q245" i="2"/>
  <c r="W245" i="2" s="1"/>
  <c r="Q246" i="2"/>
  <c r="W246" i="2" s="1"/>
  <c r="Q247" i="2"/>
  <c r="W247" i="2" s="1"/>
  <c r="C27" i="5"/>
  <c r="C26" i="5"/>
  <c r="F26" i="4"/>
  <c r="E25" i="4"/>
  <c r="D45" i="3"/>
  <c r="X299" i="2" l="1"/>
  <c r="Y299" i="2" s="1"/>
  <c r="U299" i="2"/>
  <c r="V299" i="2" s="1"/>
  <c r="X293" i="2"/>
  <c r="Y293" i="2" s="1"/>
  <c r="U293" i="2"/>
  <c r="V293" i="2" s="1"/>
  <c r="X289" i="2"/>
  <c r="Y289" i="2" s="1"/>
  <c r="U289" i="2"/>
  <c r="V289" i="2" s="1"/>
  <c r="X285" i="2"/>
  <c r="Y285" i="2" s="1"/>
  <c r="U285" i="2"/>
  <c r="V285" i="2" s="1"/>
  <c r="X297" i="2"/>
  <c r="Y297" i="2" s="1"/>
  <c r="X281" i="2"/>
  <c r="Y281" i="2" s="1"/>
  <c r="V281" i="2"/>
  <c r="V279" i="2"/>
  <c r="X279" i="2"/>
  <c r="Y279" i="2" s="1"/>
  <c r="X290" i="2"/>
  <c r="Y290" i="2" s="1"/>
  <c r="V290" i="2"/>
  <c r="X288" i="2"/>
  <c r="Y288" i="2" s="1"/>
  <c r="V288" i="2"/>
  <c r="X291" i="2"/>
  <c r="Y291" i="2" s="1"/>
  <c r="V291" i="2"/>
  <c r="X294" i="2"/>
  <c r="Y294" i="2" s="1"/>
  <c r="V294" i="2"/>
  <c r="R259" i="2"/>
  <c r="U259" i="2" s="1"/>
  <c r="X282" i="2"/>
  <c r="Y282" i="2" s="1"/>
  <c r="V282" i="2"/>
  <c r="R256" i="2"/>
  <c r="U256" i="2" s="1"/>
  <c r="X283" i="2"/>
  <c r="Y283" i="2" s="1"/>
  <c r="V283" i="2"/>
  <c r="R244" i="2"/>
  <c r="U244" i="2" s="1"/>
  <c r="X296" i="2"/>
  <c r="Y296" i="2" s="1"/>
  <c r="V296" i="2"/>
  <c r="X284" i="2"/>
  <c r="Y284" i="2" s="1"/>
  <c r="V284" i="2"/>
  <c r="X287" i="2"/>
  <c r="Y287" i="2" s="1"/>
  <c r="V287" i="2"/>
  <c r="R264" i="2"/>
  <c r="U264" i="2" s="1"/>
  <c r="X286" i="2"/>
  <c r="Y286" i="2" s="1"/>
  <c r="V286" i="2"/>
  <c r="X292" i="2"/>
  <c r="Y292" i="2" s="1"/>
  <c r="V292" i="2"/>
  <c r="R298" i="2"/>
  <c r="U298" i="2" s="1"/>
  <c r="X295" i="2"/>
  <c r="Y295" i="2" s="1"/>
  <c r="V295" i="2"/>
  <c r="R280" i="2"/>
  <c r="U280" i="2" s="1"/>
  <c r="S248" i="2"/>
  <c r="R248" i="2" s="1"/>
  <c r="U248" i="2" s="1"/>
  <c r="S213" i="2"/>
  <c r="S185" i="2"/>
  <c r="S173" i="2"/>
  <c r="S149" i="2"/>
  <c r="S125" i="2"/>
  <c r="S113" i="2"/>
  <c r="S100" i="2"/>
  <c r="S89" i="2"/>
  <c r="S77" i="2"/>
  <c r="S65" i="2"/>
  <c r="S53" i="2"/>
  <c r="S42" i="2"/>
  <c r="S29" i="2"/>
  <c r="S236" i="2"/>
  <c r="S225" i="2"/>
  <c r="S201" i="2"/>
  <c r="S161" i="2"/>
  <c r="S137" i="2"/>
  <c r="S272" i="2"/>
  <c r="R272" i="2" s="1"/>
  <c r="U272" i="2" s="1"/>
  <c r="S260" i="2"/>
  <c r="R260" i="2" s="1"/>
  <c r="U260" i="2" s="1"/>
  <c r="S278" i="2"/>
  <c r="R278" i="2" s="1"/>
  <c r="U278" i="2" s="1"/>
  <c r="V297" i="2"/>
  <c r="S273" i="2"/>
  <c r="R273" i="2" s="1"/>
  <c r="U273" i="2" s="1"/>
  <c r="S271" i="2"/>
  <c r="R271" i="2" s="1"/>
  <c r="U271" i="2" s="1"/>
  <c r="S259" i="2"/>
  <c r="S247" i="2"/>
  <c r="R247" i="2" s="1"/>
  <c r="U247" i="2" s="1"/>
  <c r="S235" i="2"/>
  <c r="S224" i="2"/>
  <c r="S212" i="2"/>
  <c r="S200" i="2"/>
  <c r="S184" i="2"/>
  <c r="S172" i="2"/>
  <c r="S160" i="2"/>
  <c r="S148" i="2"/>
  <c r="S136" i="2"/>
  <c r="S124" i="2"/>
  <c r="S112" i="2"/>
  <c r="S99" i="2"/>
  <c r="S88" i="2"/>
  <c r="S76" i="2"/>
  <c r="S64" i="2"/>
  <c r="S52" i="2"/>
  <c r="S41" i="2"/>
  <c r="S28" i="2"/>
  <c r="S15" i="2"/>
  <c r="S270" i="2"/>
  <c r="R270" i="2" s="1"/>
  <c r="U270" i="2" s="1"/>
  <c r="S258" i="2"/>
  <c r="R258" i="2" s="1"/>
  <c r="U258" i="2" s="1"/>
  <c r="S246" i="2"/>
  <c r="R246" i="2" s="1"/>
  <c r="U246" i="2" s="1"/>
  <c r="S234" i="2"/>
  <c r="S223" i="2"/>
  <c r="S211" i="2"/>
  <c r="S199" i="2"/>
  <c r="S183" i="2"/>
  <c r="S171" i="2"/>
  <c r="S159" i="2"/>
  <c r="S147" i="2"/>
  <c r="S135" i="2"/>
  <c r="S123" i="2"/>
  <c r="S111" i="2"/>
  <c r="S98" i="2"/>
  <c r="S87" i="2"/>
  <c r="S75" i="2"/>
  <c r="S63" i="2"/>
  <c r="S51" i="2"/>
  <c r="S40" i="2"/>
  <c r="S27" i="2"/>
  <c r="S14" i="2"/>
  <c r="S269" i="2"/>
  <c r="R269" i="2" s="1"/>
  <c r="U269" i="2" s="1"/>
  <c r="S257" i="2"/>
  <c r="R257" i="2" s="1"/>
  <c r="U257" i="2" s="1"/>
  <c r="S245" i="2"/>
  <c r="R245" i="2" s="1"/>
  <c r="U245" i="2" s="1"/>
  <c r="S233" i="2"/>
  <c r="S222" i="2"/>
  <c r="S210" i="2"/>
  <c r="S198" i="2"/>
  <c r="S170" i="2"/>
  <c r="S158" i="2"/>
  <c r="S146" i="2"/>
  <c r="S134" i="2"/>
  <c r="S122" i="2"/>
  <c r="S110" i="2"/>
  <c r="S97" i="2"/>
  <c r="S86" i="2"/>
  <c r="S74" i="2"/>
  <c r="S62" i="2"/>
  <c r="S50" i="2"/>
  <c r="S39" i="2"/>
  <c r="S26" i="2"/>
  <c r="S13" i="2"/>
  <c r="S268" i="2"/>
  <c r="R268" i="2" s="1"/>
  <c r="U268" i="2" s="1"/>
  <c r="S256" i="2"/>
  <c r="S244" i="2"/>
  <c r="S232" i="2"/>
  <c r="S221" i="2"/>
  <c r="S209" i="2"/>
  <c r="S197" i="2"/>
  <c r="S182" i="2"/>
  <c r="S169" i="2"/>
  <c r="S157" i="2"/>
  <c r="S145" i="2"/>
  <c r="S133" i="2"/>
  <c r="S121" i="2"/>
  <c r="S109" i="2"/>
  <c r="S96" i="2"/>
  <c r="S85" i="2"/>
  <c r="S73" i="2"/>
  <c r="S61" i="2"/>
  <c r="S49" i="2"/>
  <c r="S38" i="2"/>
  <c r="S25" i="2"/>
  <c r="S12" i="2"/>
  <c r="S267" i="2"/>
  <c r="R267" i="2" s="1"/>
  <c r="U267" i="2" s="1"/>
  <c r="S255" i="2"/>
  <c r="R255" i="2" s="1"/>
  <c r="U255" i="2" s="1"/>
  <c r="S243" i="2"/>
  <c r="R243" i="2" s="1"/>
  <c r="U243" i="2" s="1"/>
  <c r="S231" i="2"/>
  <c r="S220" i="2"/>
  <c r="S208" i="2"/>
  <c r="S196" i="2"/>
  <c r="S181" i="2"/>
  <c r="S168" i="2"/>
  <c r="S156" i="2"/>
  <c r="S144" i="2"/>
  <c r="S132" i="2"/>
  <c r="S120" i="2"/>
  <c r="S108" i="2"/>
  <c r="S95" i="2"/>
  <c r="S84" i="2"/>
  <c r="S72" i="2"/>
  <c r="S60" i="2"/>
  <c r="S48" i="2"/>
  <c r="S37" i="2"/>
  <c r="S24" i="2"/>
  <c r="S11" i="2"/>
  <c r="S266" i="2"/>
  <c r="R266" i="2" s="1"/>
  <c r="U266" i="2" s="1"/>
  <c r="S254" i="2"/>
  <c r="R254" i="2" s="1"/>
  <c r="U254" i="2" s="1"/>
  <c r="S241" i="2"/>
  <c r="R241" i="2" s="1"/>
  <c r="U241" i="2" s="1"/>
  <c r="S219" i="2"/>
  <c r="S207" i="2"/>
  <c r="S191" i="2"/>
  <c r="S180" i="2"/>
  <c r="S167" i="2"/>
  <c r="S155" i="2"/>
  <c r="S143" i="2"/>
  <c r="S131" i="2"/>
  <c r="S119" i="2"/>
  <c r="S107" i="2"/>
  <c r="S83" i="2"/>
  <c r="S71" i="2"/>
  <c r="S59" i="2"/>
  <c r="S47" i="2"/>
  <c r="S35" i="2"/>
  <c r="R35" i="2" s="1"/>
  <c r="U35" i="2" s="1"/>
  <c r="S23" i="2"/>
  <c r="S10" i="2"/>
  <c r="S274" i="2"/>
  <c r="R274" i="2" s="1"/>
  <c r="U274" i="2" s="1"/>
  <c r="S265" i="2"/>
  <c r="R265" i="2" s="1"/>
  <c r="U265" i="2" s="1"/>
  <c r="S253" i="2"/>
  <c r="R253" i="2" s="1"/>
  <c r="U253" i="2" s="1"/>
  <c r="S230" i="2"/>
  <c r="S218" i="2"/>
  <c r="S206" i="2"/>
  <c r="S190" i="2"/>
  <c r="S179" i="2"/>
  <c r="S166" i="2"/>
  <c r="S154" i="2"/>
  <c r="S142" i="2"/>
  <c r="S130" i="2"/>
  <c r="S118" i="2"/>
  <c r="S106" i="2"/>
  <c r="S94" i="2"/>
  <c r="S82" i="2"/>
  <c r="S70" i="2"/>
  <c r="S58" i="2"/>
  <c r="S46" i="2"/>
  <c r="S34" i="2"/>
  <c r="R34" i="2" s="1"/>
  <c r="U34" i="2" s="1"/>
  <c r="S22" i="2"/>
  <c r="S9" i="2"/>
  <c r="S275" i="2"/>
  <c r="R275" i="2" s="1"/>
  <c r="U275" i="2" s="1"/>
  <c r="S264" i="2"/>
  <c r="S252" i="2"/>
  <c r="R252" i="2" s="1"/>
  <c r="U252" i="2" s="1"/>
  <c r="S240" i="2"/>
  <c r="S229" i="2"/>
  <c r="S217" i="2"/>
  <c r="S205" i="2"/>
  <c r="S189" i="2"/>
  <c r="S177" i="2"/>
  <c r="S165" i="2"/>
  <c r="S153" i="2"/>
  <c r="S141" i="2"/>
  <c r="S129" i="2"/>
  <c r="S117" i="2"/>
  <c r="S105" i="2"/>
  <c r="S93" i="2"/>
  <c r="S81" i="2"/>
  <c r="S69" i="2"/>
  <c r="S57" i="2"/>
  <c r="S45" i="2"/>
  <c r="S33" i="2"/>
  <c r="S21" i="2"/>
  <c r="S276" i="2"/>
  <c r="R276" i="2" s="1"/>
  <c r="U276" i="2" s="1"/>
  <c r="S263" i="2"/>
  <c r="R263" i="2" s="1"/>
  <c r="U263" i="2" s="1"/>
  <c r="S251" i="2"/>
  <c r="R251" i="2" s="1"/>
  <c r="U251" i="2" s="1"/>
  <c r="S239" i="2"/>
  <c r="S228" i="2"/>
  <c r="S216" i="2"/>
  <c r="S204" i="2"/>
  <c r="S188" i="2"/>
  <c r="S176" i="2"/>
  <c r="R176" i="2" s="1"/>
  <c r="U176" i="2" s="1"/>
  <c r="S164" i="2"/>
  <c r="S140" i="2"/>
  <c r="S128" i="2"/>
  <c r="S116" i="2"/>
  <c r="S103" i="2"/>
  <c r="S92" i="2"/>
  <c r="S80" i="2"/>
  <c r="S68" i="2"/>
  <c r="S56" i="2"/>
  <c r="S32" i="2"/>
  <c r="S19" i="2"/>
  <c r="S277" i="2"/>
  <c r="R277" i="2" s="1"/>
  <c r="U277" i="2" s="1"/>
  <c r="S262" i="2"/>
  <c r="R262" i="2" s="1"/>
  <c r="U262" i="2" s="1"/>
  <c r="S250" i="2"/>
  <c r="R250" i="2" s="1"/>
  <c r="U250" i="2" s="1"/>
  <c r="S238" i="2"/>
  <c r="S227" i="2"/>
  <c r="S215" i="2"/>
  <c r="S203" i="2"/>
  <c r="S187" i="2"/>
  <c r="S175" i="2"/>
  <c r="S163" i="2"/>
  <c r="S151" i="2"/>
  <c r="S139" i="2"/>
  <c r="S127" i="2"/>
  <c r="S115" i="2"/>
  <c r="S102" i="2"/>
  <c r="S91" i="2"/>
  <c r="S79" i="2"/>
  <c r="S67" i="2"/>
  <c r="S55" i="2"/>
  <c r="S44" i="2"/>
  <c r="S31" i="2"/>
  <c r="S18" i="2"/>
  <c r="S261" i="2"/>
  <c r="R261" i="2" s="1"/>
  <c r="U261" i="2" s="1"/>
  <c r="S249" i="2"/>
  <c r="R249" i="2" s="1"/>
  <c r="U249" i="2" s="1"/>
  <c r="S237" i="2"/>
  <c r="S226" i="2"/>
  <c r="S214" i="2"/>
  <c r="S202" i="2"/>
  <c r="S186" i="2"/>
  <c r="S174" i="2"/>
  <c r="S162" i="2"/>
  <c r="S150" i="2"/>
  <c r="S138" i="2"/>
  <c r="S126" i="2"/>
  <c r="S114" i="2"/>
  <c r="S101" i="2"/>
  <c r="S90" i="2"/>
  <c r="S78" i="2"/>
  <c r="S66" i="2"/>
  <c r="S54" i="2"/>
  <c r="S43" i="2"/>
  <c r="S30" i="2"/>
  <c r="S17" i="2"/>
  <c r="Q10" i="2"/>
  <c r="W10" i="2" s="1"/>
  <c r="Q11" i="2"/>
  <c r="W11" i="2" s="1"/>
  <c r="Q12" i="2"/>
  <c r="W12" i="2" s="1"/>
  <c r="Q13" i="2"/>
  <c r="Q14" i="2"/>
  <c r="W14" i="2" s="1"/>
  <c r="Q15" i="2"/>
  <c r="W15" i="2" s="1"/>
  <c r="Q16" i="2"/>
  <c r="W16" i="2" s="1"/>
  <c r="Q17" i="2"/>
  <c r="W17" i="2" s="1"/>
  <c r="Q18" i="2"/>
  <c r="W18" i="2" s="1"/>
  <c r="Q19" i="2"/>
  <c r="W19" i="2" s="1"/>
  <c r="Q21" i="2"/>
  <c r="W21" i="2" s="1"/>
  <c r="Q22" i="2"/>
  <c r="Q23" i="2"/>
  <c r="Q24" i="2"/>
  <c r="Q25" i="2"/>
  <c r="W25" i="2" s="1"/>
  <c r="Q26" i="2"/>
  <c r="W26" i="2" s="1"/>
  <c r="Q27" i="2"/>
  <c r="W27" i="2" s="1"/>
  <c r="Q28" i="2"/>
  <c r="W28" i="2" s="1"/>
  <c r="Q29" i="2"/>
  <c r="W29" i="2" s="1"/>
  <c r="Q30" i="2"/>
  <c r="Q31" i="2"/>
  <c r="W31" i="2" s="1"/>
  <c r="Q32" i="2"/>
  <c r="W32" i="2" s="1"/>
  <c r="Q33" i="2"/>
  <c r="W33" i="2" s="1"/>
  <c r="Q37" i="2"/>
  <c r="W37" i="2" s="1"/>
  <c r="Q38" i="2"/>
  <c r="W38" i="2" s="1"/>
  <c r="Q39" i="2"/>
  <c r="W39" i="2" s="1"/>
  <c r="Q40" i="2"/>
  <c r="W40" i="2" s="1"/>
  <c r="Q41" i="2"/>
  <c r="W41" i="2" s="1"/>
  <c r="Q42" i="2"/>
  <c r="W42" i="2" s="1"/>
  <c r="Q43" i="2"/>
  <c r="W43" i="2" s="1"/>
  <c r="Q44" i="2"/>
  <c r="W44" i="2" s="1"/>
  <c r="Q45" i="2"/>
  <c r="Q46" i="2"/>
  <c r="W46" i="2" s="1"/>
  <c r="Q47" i="2"/>
  <c r="W47" i="2" s="1"/>
  <c r="Q48" i="2"/>
  <c r="W48" i="2" s="1"/>
  <c r="Q49" i="2"/>
  <c r="W49" i="2" s="1"/>
  <c r="Q50" i="2"/>
  <c r="W50" i="2" s="1"/>
  <c r="Q51" i="2"/>
  <c r="W51" i="2" s="1"/>
  <c r="Q52" i="2"/>
  <c r="W52" i="2" s="1"/>
  <c r="Q53" i="2"/>
  <c r="W53" i="2" s="1"/>
  <c r="Q54" i="2"/>
  <c r="W54" i="2" s="1"/>
  <c r="Q55" i="2"/>
  <c r="W55" i="2" s="1"/>
  <c r="Q56" i="2"/>
  <c r="W56" i="2" s="1"/>
  <c r="Q57" i="2"/>
  <c r="W57" i="2" s="1"/>
  <c r="Q58" i="2"/>
  <c r="W58" i="2" s="1"/>
  <c r="Q59" i="2"/>
  <c r="W59" i="2" s="1"/>
  <c r="Q60" i="2"/>
  <c r="W60" i="2" s="1"/>
  <c r="Q61" i="2"/>
  <c r="W61" i="2" s="1"/>
  <c r="Q62" i="2"/>
  <c r="W62" i="2" s="1"/>
  <c r="Q63" i="2"/>
  <c r="W63" i="2" s="1"/>
  <c r="Q64" i="2"/>
  <c r="W64" i="2" s="1"/>
  <c r="Q65" i="2"/>
  <c r="W65" i="2" s="1"/>
  <c r="Q66" i="2"/>
  <c r="W66" i="2" s="1"/>
  <c r="Q67" i="2"/>
  <c r="W67" i="2" s="1"/>
  <c r="Q68" i="2"/>
  <c r="W68" i="2" s="1"/>
  <c r="Q69" i="2"/>
  <c r="W69" i="2" s="1"/>
  <c r="Q70" i="2"/>
  <c r="W70" i="2" s="1"/>
  <c r="Q71" i="2"/>
  <c r="W71" i="2" s="1"/>
  <c r="Q72" i="2"/>
  <c r="W72" i="2" s="1"/>
  <c r="W73" i="2"/>
  <c r="Q74" i="2"/>
  <c r="W74" i="2" s="1"/>
  <c r="Q75" i="2"/>
  <c r="W75" i="2" s="1"/>
  <c r="Q76" i="2"/>
  <c r="Q77" i="2"/>
  <c r="W77" i="2" s="1"/>
  <c r="W78" i="2"/>
  <c r="Q79" i="2"/>
  <c r="W79" i="2" s="1"/>
  <c r="Q80" i="2"/>
  <c r="W80" i="2" s="1"/>
  <c r="Q81" i="2"/>
  <c r="W81" i="2" s="1"/>
  <c r="Q82" i="2"/>
  <c r="W82" i="2" s="1"/>
  <c r="Q83" i="2"/>
  <c r="W83" i="2" s="1"/>
  <c r="Q84" i="2"/>
  <c r="W84" i="2" s="1"/>
  <c r="Q85" i="2"/>
  <c r="W85" i="2" s="1"/>
  <c r="Q86" i="2"/>
  <c r="W86" i="2" s="1"/>
  <c r="Q87" i="2"/>
  <c r="W87" i="2" s="1"/>
  <c r="Q88" i="2"/>
  <c r="W88" i="2" s="1"/>
  <c r="Q89" i="2"/>
  <c r="W89" i="2" s="1"/>
  <c r="Q90" i="2"/>
  <c r="W90" i="2" s="1"/>
  <c r="Q91" i="2"/>
  <c r="W91" i="2" s="1"/>
  <c r="Q92" i="2"/>
  <c r="W92" i="2" s="1"/>
  <c r="Q93" i="2"/>
  <c r="W93" i="2" s="1"/>
  <c r="Q94" i="2"/>
  <c r="W94" i="2" s="1"/>
  <c r="Q95" i="2"/>
  <c r="W95" i="2" s="1"/>
  <c r="Q96" i="2"/>
  <c r="W96" i="2" s="1"/>
  <c r="Q97" i="2"/>
  <c r="W97" i="2" s="1"/>
  <c r="Q98" i="2"/>
  <c r="W98" i="2" s="1"/>
  <c r="Q99" i="2"/>
  <c r="W99" i="2" s="1"/>
  <c r="Q100" i="2"/>
  <c r="Q101" i="2"/>
  <c r="W101" i="2" s="1"/>
  <c r="Q102" i="2"/>
  <c r="W102" i="2" s="1"/>
  <c r="Q103" i="2"/>
  <c r="W103" i="2" s="1"/>
  <c r="Q105" i="2"/>
  <c r="W105" i="2" s="1"/>
  <c r="Q106" i="2"/>
  <c r="W106" i="2" s="1"/>
  <c r="Q107" i="2"/>
  <c r="Q108" i="2"/>
  <c r="W108" i="2" s="1"/>
  <c r="Q109" i="2"/>
  <c r="W109" i="2" s="1"/>
  <c r="Q110" i="2"/>
  <c r="W110" i="2" s="1"/>
  <c r="Q111" i="2"/>
  <c r="W111" i="2" s="1"/>
  <c r="Q112" i="2"/>
  <c r="W112" i="2" s="1"/>
  <c r="Q113" i="2"/>
  <c r="W113" i="2" s="1"/>
  <c r="Q114" i="2"/>
  <c r="W114" i="2" s="1"/>
  <c r="Q115" i="2"/>
  <c r="W115" i="2" s="1"/>
  <c r="Q116" i="2"/>
  <c r="W116" i="2" s="1"/>
  <c r="Q117" i="2"/>
  <c r="W117" i="2" s="1"/>
  <c r="Q118" i="2"/>
  <c r="W118" i="2" s="1"/>
  <c r="Q119" i="2"/>
  <c r="W119" i="2" s="1"/>
  <c r="Q120" i="2"/>
  <c r="Q121" i="2"/>
  <c r="W121" i="2" s="1"/>
  <c r="Q122" i="2"/>
  <c r="W122" i="2" s="1"/>
  <c r="Q123" i="2"/>
  <c r="W123" i="2" s="1"/>
  <c r="Q124" i="2"/>
  <c r="W124" i="2" s="1"/>
  <c r="Q125" i="2"/>
  <c r="W125" i="2" s="1"/>
  <c r="Q126" i="2"/>
  <c r="W126" i="2" s="1"/>
  <c r="Q127" i="2"/>
  <c r="W127" i="2" s="1"/>
  <c r="Q128" i="2"/>
  <c r="Q129" i="2"/>
  <c r="Q130" i="2"/>
  <c r="W130" i="2" s="1"/>
  <c r="Q131" i="2"/>
  <c r="W131" i="2" s="1"/>
  <c r="Q132" i="2"/>
  <c r="W132" i="2" s="1"/>
  <c r="Q133" i="2"/>
  <c r="Q134" i="2"/>
  <c r="W134" i="2" s="1"/>
  <c r="Q135" i="2"/>
  <c r="W135" i="2" s="1"/>
  <c r="Q136" i="2"/>
  <c r="W136" i="2" s="1"/>
  <c r="Q137" i="2"/>
  <c r="W137" i="2" s="1"/>
  <c r="Q138" i="2"/>
  <c r="W138" i="2" s="1"/>
  <c r="Q139" i="2"/>
  <c r="W139" i="2" s="1"/>
  <c r="Q140" i="2"/>
  <c r="W140" i="2" s="1"/>
  <c r="Q141" i="2"/>
  <c r="W141" i="2" s="1"/>
  <c r="Q142" i="2"/>
  <c r="W142" i="2" s="1"/>
  <c r="Q143" i="2"/>
  <c r="W143" i="2" s="1"/>
  <c r="Q144" i="2"/>
  <c r="W144" i="2" s="1"/>
  <c r="Q145" i="2"/>
  <c r="W145" i="2" s="1"/>
  <c r="Q146" i="2"/>
  <c r="W146" i="2" s="1"/>
  <c r="Q147" i="2"/>
  <c r="W147" i="2" s="1"/>
  <c r="Q148" i="2"/>
  <c r="W148" i="2" s="1"/>
  <c r="Q149" i="2"/>
  <c r="W149" i="2" s="1"/>
  <c r="Q150" i="2"/>
  <c r="W150" i="2" s="1"/>
  <c r="Q151" i="2"/>
  <c r="W151" i="2" s="1"/>
  <c r="Q152" i="2"/>
  <c r="W152" i="2" s="1"/>
  <c r="Q153" i="2"/>
  <c r="W153" i="2" s="1"/>
  <c r="Q154" i="2"/>
  <c r="W154" i="2" s="1"/>
  <c r="Q155" i="2"/>
  <c r="W155" i="2" s="1"/>
  <c r="Q156" i="2"/>
  <c r="W156" i="2" s="1"/>
  <c r="Q157" i="2"/>
  <c r="W157" i="2" s="1"/>
  <c r="Q158" i="2"/>
  <c r="Q159" i="2"/>
  <c r="W159" i="2" s="1"/>
  <c r="Q160" i="2"/>
  <c r="W160" i="2" s="1"/>
  <c r="Q161" i="2"/>
  <c r="W161" i="2" s="1"/>
  <c r="Q162" i="2"/>
  <c r="W162" i="2" s="1"/>
  <c r="Q163" i="2"/>
  <c r="W163" i="2" s="1"/>
  <c r="Q164" i="2"/>
  <c r="W164" i="2" s="1"/>
  <c r="Q165" i="2"/>
  <c r="W165" i="2" s="1"/>
  <c r="Q166" i="2"/>
  <c r="W166" i="2" s="1"/>
  <c r="Q167" i="2"/>
  <c r="W167" i="2" s="1"/>
  <c r="Q168" i="2"/>
  <c r="W168" i="2" s="1"/>
  <c r="Q169" i="2"/>
  <c r="W169" i="2" s="1"/>
  <c r="Q170" i="2"/>
  <c r="W170" i="2" s="1"/>
  <c r="Q171" i="2"/>
  <c r="Q172" i="2"/>
  <c r="W172" i="2" s="1"/>
  <c r="Q173" i="2"/>
  <c r="W173" i="2" s="1"/>
  <c r="Q174" i="2"/>
  <c r="W174" i="2" s="1"/>
  <c r="Q175" i="2"/>
  <c r="W175" i="2" s="1"/>
  <c r="Q177" i="2"/>
  <c r="W177" i="2" s="1"/>
  <c r="Q179" i="2"/>
  <c r="W179" i="2" s="1"/>
  <c r="Q180" i="2"/>
  <c r="W180" i="2" s="1"/>
  <c r="Q181" i="2"/>
  <c r="W181" i="2" s="1"/>
  <c r="Q182" i="2"/>
  <c r="W182" i="2" s="1"/>
  <c r="Q183" i="2"/>
  <c r="W183" i="2" s="1"/>
  <c r="Q184" i="2"/>
  <c r="W184" i="2" s="1"/>
  <c r="Q185" i="2"/>
  <c r="W185" i="2" s="1"/>
  <c r="Q186" i="2"/>
  <c r="W186" i="2" s="1"/>
  <c r="Q187" i="2"/>
  <c r="W187" i="2" s="1"/>
  <c r="Q188" i="2"/>
  <c r="W188" i="2" s="1"/>
  <c r="Q189" i="2"/>
  <c r="W189" i="2" s="1"/>
  <c r="Q190" i="2"/>
  <c r="W190" i="2" s="1"/>
  <c r="Q191" i="2"/>
  <c r="Q196" i="2"/>
  <c r="W196" i="2" s="1"/>
  <c r="Q197" i="2"/>
  <c r="W197" i="2" s="1"/>
  <c r="Q198" i="2"/>
  <c r="W198" i="2" s="1"/>
  <c r="Q199" i="2"/>
  <c r="W199" i="2" s="1"/>
  <c r="Q200" i="2"/>
  <c r="W200" i="2" s="1"/>
  <c r="Q201" i="2"/>
  <c r="W201" i="2" s="1"/>
  <c r="Q202" i="2"/>
  <c r="W202" i="2" s="1"/>
  <c r="Q203" i="2"/>
  <c r="W203" i="2" s="1"/>
  <c r="Q204" i="2"/>
  <c r="W204" i="2" s="1"/>
  <c r="Q205" i="2"/>
  <c r="W205" i="2" s="1"/>
  <c r="Q206" i="2"/>
  <c r="W206" i="2" s="1"/>
  <c r="Q207" i="2"/>
  <c r="W207" i="2" s="1"/>
  <c r="Q208" i="2"/>
  <c r="W208" i="2" s="1"/>
  <c r="Q209" i="2"/>
  <c r="W209" i="2" s="1"/>
  <c r="Q210" i="2"/>
  <c r="W210" i="2" s="1"/>
  <c r="Q211" i="2"/>
  <c r="W211" i="2" s="1"/>
  <c r="Q212" i="2"/>
  <c r="W212" i="2" s="1"/>
  <c r="Q213" i="2"/>
  <c r="W213" i="2" s="1"/>
  <c r="Q214" i="2"/>
  <c r="W214" i="2" s="1"/>
  <c r="Q215" i="2"/>
  <c r="Q216" i="2"/>
  <c r="W216" i="2" s="1"/>
  <c r="Q217" i="2"/>
  <c r="W217" i="2" s="1"/>
  <c r="Q218" i="2"/>
  <c r="W218" i="2" s="1"/>
  <c r="Q219" i="2"/>
  <c r="W219" i="2" s="1"/>
  <c r="Q220" i="2"/>
  <c r="W220" i="2" s="1"/>
  <c r="Q221" i="2"/>
  <c r="W221" i="2" s="1"/>
  <c r="Q222" i="2"/>
  <c r="W222" i="2" s="1"/>
  <c r="Q223" i="2"/>
  <c r="W223" i="2" s="1"/>
  <c r="Q224" i="2"/>
  <c r="Q225" i="2"/>
  <c r="W225" i="2" s="1"/>
  <c r="Q226" i="2"/>
  <c r="Q227" i="2"/>
  <c r="Q228" i="2"/>
  <c r="Q229" i="2"/>
  <c r="W229" i="2" s="1"/>
  <c r="Q230" i="2"/>
  <c r="Q231" i="2"/>
  <c r="W231" i="2" s="1"/>
  <c r="Q232" i="2"/>
  <c r="Q233" i="2"/>
  <c r="W233" i="2" s="1"/>
  <c r="Q234" i="2"/>
  <c r="W234" i="2" s="1"/>
  <c r="Q235" i="2"/>
  <c r="W235" i="2" s="1"/>
  <c r="Q236" i="2"/>
  <c r="W236" i="2" s="1"/>
  <c r="Q237" i="2"/>
  <c r="W237" i="2" s="1"/>
  <c r="Q238" i="2"/>
  <c r="W238" i="2" s="1"/>
  <c r="Q239" i="2"/>
  <c r="W239" i="2" s="1"/>
  <c r="Q240" i="2"/>
  <c r="W240" i="2" s="1"/>
  <c r="R128" i="2" l="1"/>
  <c r="U128" i="2" s="1"/>
  <c r="W128" i="2"/>
  <c r="R13" i="2"/>
  <c r="W13" i="2"/>
  <c r="R215" i="2"/>
  <c r="W215" i="2"/>
  <c r="R100" i="2"/>
  <c r="W100" i="2"/>
  <c r="R76" i="2"/>
  <c r="U76" i="2" s="1"/>
  <c r="W76" i="2"/>
  <c r="R230" i="2"/>
  <c r="W230" i="2"/>
  <c r="R227" i="2"/>
  <c r="U227" i="2" s="1"/>
  <c r="W227" i="2"/>
  <c r="R226" i="2"/>
  <c r="U226" i="2" s="1"/>
  <c r="W226" i="2"/>
  <c r="R24" i="2"/>
  <c r="W24" i="2"/>
  <c r="R171" i="2"/>
  <c r="U171" i="2" s="1"/>
  <c r="W171" i="2"/>
  <c r="R23" i="2"/>
  <c r="W23" i="2"/>
  <c r="R228" i="2"/>
  <c r="W228" i="2"/>
  <c r="R224" i="2"/>
  <c r="U224" i="2" s="1"/>
  <c r="W224" i="2"/>
  <c r="R158" i="2"/>
  <c r="W158" i="2"/>
  <c r="R22" i="2"/>
  <c r="W22" i="2"/>
  <c r="R129" i="2"/>
  <c r="W129" i="2"/>
  <c r="R133" i="2"/>
  <c r="W133" i="2"/>
  <c r="R120" i="2"/>
  <c r="W120" i="2"/>
  <c r="R232" i="2"/>
  <c r="U232" i="2" s="1"/>
  <c r="W232" i="2"/>
  <c r="R107" i="2"/>
  <c r="W107" i="2"/>
  <c r="R191" i="2"/>
  <c r="W191" i="2"/>
  <c r="R45" i="2"/>
  <c r="W45" i="2"/>
  <c r="R30" i="2"/>
  <c r="W30" i="2"/>
  <c r="R17" i="2"/>
  <c r="U17" i="2" s="1"/>
  <c r="R55" i="2"/>
  <c r="R43" i="2"/>
  <c r="U43" i="2" s="1"/>
  <c r="X277" i="2"/>
  <c r="R98" i="2"/>
  <c r="R162" i="2"/>
  <c r="R203" i="2"/>
  <c r="R92" i="2"/>
  <c r="R142" i="2"/>
  <c r="R180" i="2"/>
  <c r="R208" i="2"/>
  <c r="R85" i="2"/>
  <c r="U85" i="2" s="1"/>
  <c r="R110" i="2"/>
  <c r="R147" i="2"/>
  <c r="R28" i="2"/>
  <c r="U28" i="2" s="1"/>
  <c r="R172" i="2"/>
  <c r="R54" i="2"/>
  <c r="R79" i="2"/>
  <c r="R151" i="2"/>
  <c r="R16" i="2"/>
  <c r="R185" i="2"/>
  <c r="U185" i="2" s="1"/>
  <c r="X278" i="2"/>
  <c r="R229" i="2"/>
  <c r="U229" i="2" s="1"/>
  <c r="R204" i="2"/>
  <c r="R126" i="2"/>
  <c r="R174" i="2"/>
  <c r="R67" i="2"/>
  <c r="R103" i="2"/>
  <c r="R141" i="2"/>
  <c r="U141" i="2" s="1"/>
  <c r="R154" i="2"/>
  <c r="R72" i="2"/>
  <c r="R220" i="2"/>
  <c r="U220" i="2" s="1"/>
  <c r="R96" i="2"/>
  <c r="R122" i="2"/>
  <c r="R159" i="2"/>
  <c r="R41" i="2"/>
  <c r="R184" i="2"/>
  <c r="U184" i="2" s="1"/>
  <c r="R29" i="2"/>
  <c r="R213" i="2"/>
  <c r="U213" i="2" s="1"/>
  <c r="X257" i="2"/>
  <c r="R186" i="2"/>
  <c r="U186" i="2" s="1"/>
  <c r="R116" i="2"/>
  <c r="R153" i="2"/>
  <c r="R166" i="2"/>
  <c r="R47" i="2"/>
  <c r="R207" i="2"/>
  <c r="U207" i="2" s="1"/>
  <c r="R84" i="2"/>
  <c r="R231" i="2"/>
  <c r="U231" i="2" s="1"/>
  <c r="R109" i="2"/>
  <c r="U109" i="2" s="1"/>
  <c r="R134" i="2"/>
  <c r="U134" i="2" s="1"/>
  <c r="R52" i="2"/>
  <c r="R200" i="2"/>
  <c r="U200" i="2" s="1"/>
  <c r="R42" i="2"/>
  <c r="U42" i="2" s="1"/>
  <c r="X267" i="2"/>
  <c r="X259" i="2"/>
  <c r="R202" i="2"/>
  <c r="R91" i="2"/>
  <c r="R238" i="2"/>
  <c r="U238" i="2" s="1"/>
  <c r="R21" i="2"/>
  <c r="U21" i="2" s="1"/>
  <c r="R165" i="2"/>
  <c r="U165" i="2" s="1"/>
  <c r="R179" i="2"/>
  <c r="R59" i="2"/>
  <c r="R219" i="2"/>
  <c r="R95" i="2"/>
  <c r="R121" i="2"/>
  <c r="R146" i="2"/>
  <c r="R40" i="2"/>
  <c r="R183" i="2"/>
  <c r="R64" i="2"/>
  <c r="R53" i="2"/>
  <c r="U53" i="2" s="1"/>
  <c r="X249" i="2"/>
  <c r="X251" i="2"/>
  <c r="R66" i="2"/>
  <c r="R214" i="2"/>
  <c r="R102" i="2"/>
  <c r="R140" i="2"/>
  <c r="R33" i="2"/>
  <c r="U33" i="2" s="1"/>
  <c r="R177" i="2"/>
  <c r="U177" i="2" s="1"/>
  <c r="R46" i="2"/>
  <c r="R190" i="2"/>
  <c r="U190" i="2" s="1"/>
  <c r="R71" i="2"/>
  <c r="R108" i="2"/>
  <c r="R51" i="2"/>
  <c r="U51" i="2" s="1"/>
  <c r="R65" i="2"/>
  <c r="X275" i="2"/>
  <c r="X253" i="2"/>
  <c r="R60" i="2"/>
  <c r="U60" i="2" s="1"/>
  <c r="R78" i="2"/>
  <c r="R115" i="2"/>
  <c r="U115" i="2" s="1"/>
  <c r="R164" i="2"/>
  <c r="R189" i="2"/>
  <c r="R58" i="2"/>
  <c r="R206" i="2"/>
  <c r="R83" i="2"/>
  <c r="R145" i="2"/>
  <c r="R26" i="2"/>
  <c r="U26" i="2" s="1"/>
  <c r="R170" i="2"/>
  <c r="U170" i="2" s="1"/>
  <c r="R63" i="2"/>
  <c r="R211" i="2"/>
  <c r="R88" i="2"/>
  <c r="R235" i="2"/>
  <c r="R77" i="2"/>
  <c r="U77" i="2" s="1"/>
  <c r="X264" i="2"/>
  <c r="X244" i="2"/>
  <c r="R90" i="2"/>
  <c r="U90" i="2" s="1"/>
  <c r="R237" i="2"/>
  <c r="R127" i="2"/>
  <c r="R57" i="2"/>
  <c r="U57" i="2" s="1"/>
  <c r="R205" i="2"/>
  <c r="U205" i="2" s="1"/>
  <c r="R70" i="2"/>
  <c r="R218" i="2"/>
  <c r="R132" i="2"/>
  <c r="U132" i="2" s="1"/>
  <c r="R12" i="2"/>
  <c r="R157" i="2"/>
  <c r="U157" i="2" s="1"/>
  <c r="R39" i="2"/>
  <c r="R198" i="2"/>
  <c r="R75" i="2"/>
  <c r="U75" i="2" s="1"/>
  <c r="R223" i="2"/>
  <c r="U223" i="2" s="1"/>
  <c r="R99" i="2"/>
  <c r="R89" i="2"/>
  <c r="X276" i="2"/>
  <c r="X256" i="2"/>
  <c r="R101" i="2"/>
  <c r="R19" i="2"/>
  <c r="U19" i="2" s="1"/>
  <c r="R188" i="2"/>
  <c r="U188" i="2" s="1"/>
  <c r="R69" i="2"/>
  <c r="R217" i="2"/>
  <c r="R82" i="2"/>
  <c r="R119" i="2"/>
  <c r="U119" i="2" s="1"/>
  <c r="R144" i="2"/>
  <c r="R25" i="2"/>
  <c r="R169" i="2"/>
  <c r="R50" i="2"/>
  <c r="R210" i="2"/>
  <c r="R87" i="2"/>
  <c r="R234" i="2"/>
  <c r="U234" i="2" s="1"/>
  <c r="R112" i="2"/>
  <c r="R137" i="2"/>
  <c r="X246" i="2"/>
  <c r="X245" i="2"/>
  <c r="X252" i="2"/>
  <c r="R114" i="2"/>
  <c r="R81" i="2"/>
  <c r="R94" i="2"/>
  <c r="R131" i="2"/>
  <c r="U131" i="2" s="1"/>
  <c r="R156" i="2"/>
  <c r="U156" i="2" s="1"/>
  <c r="R38" i="2"/>
  <c r="R182" i="2"/>
  <c r="R62" i="2"/>
  <c r="R222" i="2"/>
  <c r="R124" i="2"/>
  <c r="U124" i="2" s="1"/>
  <c r="R161" i="2"/>
  <c r="R113" i="2"/>
  <c r="R18" i="2"/>
  <c r="R163" i="2"/>
  <c r="R56" i="2"/>
  <c r="R216" i="2"/>
  <c r="R93" i="2"/>
  <c r="R240" i="2"/>
  <c r="R106" i="2"/>
  <c r="R143" i="2"/>
  <c r="R168" i="2"/>
  <c r="R49" i="2"/>
  <c r="U49" i="2" s="1"/>
  <c r="R197" i="2"/>
  <c r="U197" i="2" s="1"/>
  <c r="R74" i="2"/>
  <c r="U74" i="2" s="1"/>
  <c r="R233" i="2"/>
  <c r="U233" i="2" s="1"/>
  <c r="R111" i="2"/>
  <c r="R136" i="2"/>
  <c r="R201" i="2"/>
  <c r="R125" i="2"/>
  <c r="X255" i="2"/>
  <c r="X250" i="2"/>
  <c r="R138" i="2"/>
  <c r="R31" i="2"/>
  <c r="R175" i="2"/>
  <c r="R68" i="2"/>
  <c r="U68" i="2" s="1"/>
  <c r="R105" i="2"/>
  <c r="R118" i="2"/>
  <c r="U118" i="2" s="1"/>
  <c r="R155" i="2"/>
  <c r="R37" i="2"/>
  <c r="U37" i="2" s="1"/>
  <c r="R181" i="2"/>
  <c r="R61" i="2"/>
  <c r="R209" i="2"/>
  <c r="R86" i="2"/>
  <c r="R123" i="2"/>
  <c r="R148" i="2"/>
  <c r="R225" i="2"/>
  <c r="R149" i="2"/>
  <c r="X254" i="2"/>
  <c r="R150" i="2"/>
  <c r="R44" i="2"/>
  <c r="R187" i="2"/>
  <c r="U187" i="2" s="1"/>
  <c r="R80" i="2"/>
  <c r="U80" i="2" s="1"/>
  <c r="R239" i="2"/>
  <c r="R117" i="2"/>
  <c r="U117" i="2" s="1"/>
  <c r="R130" i="2"/>
  <c r="U130" i="2" s="1"/>
  <c r="R10" i="2"/>
  <c r="R167" i="2"/>
  <c r="R48" i="2"/>
  <c r="R196" i="2"/>
  <c r="R73" i="2"/>
  <c r="U73" i="2" s="1"/>
  <c r="R221" i="2"/>
  <c r="R97" i="2"/>
  <c r="R135" i="2"/>
  <c r="R15" i="2"/>
  <c r="R160" i="2"/>
  <c r="R236" i="2"/>
  <c r="R173" i="2"/>
  <c r="R212" i="2"/>
  <c r="R199" i="2"/>
  <c r="R32" i="2"/>
  <c r="U32" i="2" s="1"/>
  <c r="R27" i="2"/>
  <c r="R14" i="2"/>
  <c r="U14" i="2" s="1"/>
  <c r="R11" i="2"/>
  <c r="X262" i="2"/>
  <c r="X260" i="2"/>
  <c r="X176" i="2"/>
  <c r="X247" i="2"/>
  <c r="X272" i="2"/>
  <c r="X266" i="2"/>
  <c r="X261" i="2"/>
  <c r="X271" i="2"/>
  <c r="X265" i="2"/>
  <c r="X258" i="2"/>
  <c r="X273" i="2"/>
  <c r="X274" i="2"/>
  <c r="X270" i="2"/>
  <c r="X280" i="2"/>
  <c r="Y280" i="2" s="1"/>
  <c r="V280" i="2"/>
  <c r="X269" i="2"/>
  <c r="X28" i="2"/>
  <c r="X241" i="2"/>
  <c r="X263" i="2"/>
  <c r="X35" i="2"/>
  <c r="X248" i="2"/>
  <c r="X298" i="2"/>
  <c r="Y298" i="2" s="1"/>
  <c r="V298" i="2"/>
  <c r="X34" i="2"/>
  <c r="X243" i="2"/>
  <c r="X268" i="2"/>
  <c r="R139" i="2"/>
  <c r="U139" i="2" s="1"/>
  <c r="S152" i="2"/>
  <c r="R152" i="2" s="1"/>
  <c r="U152" i="2" s="1"/>
  <c r="H16" i="4"/>
  <c r="X160" i="2" l="1"/>
  <c r="U160" i="2"/>
  <c r="X239" i="2"/>
  <c r="U239" i="2"/>
  <c r="X61" i="2"/>
  <c r="U61" i="2"/>
  <c r="X125" i="2"/>
  <c r="Y125" i="2" s="1"/>
  <c r="U125" i="2"/>
  <c r="V125" i="2" s="1"/>
  <c r="X93" i="2"/>
  <c r="U93" i="2"/>
  <c r="X210" i="2"/>
  <c r="U210" i="2"/>
  <c r="X70" i="2"/>
  <c r="U70" i="2"/>
  <c r="X63" i="2"/>
  <c r="U63" i="2"/>
  <c r="X214" i="2"/>
  <c r="U214" i="2"/>
  <c r="X59" i="2"/>
  <c r="Y59" i="2" s="1"/>
  <c r="U59" i="2"/>
  <c r="V59" i="2" s="1"/>
  <c r="U29" i="2"/>
  <c r="V29" i="2" s="1"/>
  <c r="X174" i="2"/>
  <c r="U174" i="2"/>
  <c r="X147" i="2"/>
  <c r="U147" i="2"/>
  <c r="X55" i="2"/>
  <c r="U55" i="2"/>
  <c r="X66" i="2"/>
  <c r="U66" i="2"/>
  <c r="X179" i="2"/>
  <c r="U179" i="2"/>
  <c r="X126" i="2"/>
  <c r="Y126" i="2" s="1"/>
  <c r="U126" i="2"/>
  <c r="V126" i="2" s="1"/>
  <c r="X110" i="2"/>
  <c r="U110" i="2"/>
  <c r="X120" i="2"/>
  <c r="U120" i="2"/>
  <c r="X228" i="2"/>
  <c r="U228" i="2"/>
  <c r="X230" i="2"/>
  <c r="Y230" i="2" s="1"/>
  <c r="U230" i="2"/>
  <c r="X135" i="2"/>
  <c r="U135" i="2"/>
  <c r="X136" i="2"/>
  <c r="U136" i="2"/>
  <c r="X56" i="2"/>
  <c r="U56" i="2"/>
  <c r="X94" i="2"/>
  <c r="U94" i="2"/>
  <c r="X169" i="2"/>
  <c r="U169" i="2"/>
  <c r="X89" i="2"/>
  <c r="Y89" i="2" s="1"/>
  <c r="U89" i="2"/>
  <c r="X65" i="2"/>
  <c r="Y65" i="2" s="1"/>
  <c r="U65" i="2"/>
  <c r="X41" i="2"/>
  <c r="Y41" i="2" s="1"/>
  <c r="U41" i="2"/>
  <c r="V41" i="2" s="1"/>
  <c r="X204" i="2"/>
  <c r="U204" i="2"/>
  <c r="X15" i="2"/>
  <c r="U15" i="2"/>
  <c r="X99" i="2"/>
  <c r="Y99" i="2" s="1"/>
  <c r="U99" i="2"/>
  <c r="V99" i="2" s="1"/>
  <c r="X127" i="2"/>
  <c r="U127" i="2"/>
  <c r="X145" i="2"/>
  <c r="U145" i="2"/>
  <c r="X84" i="2"/>
  <c r="U84" i="2"/>
  <c r="X159" i="2"/>
  <c r="Y159" i="2" s="1"/>
  <c r="U159" i="2"/>
  <c r="V159" i="2" s="1"/>
  <c r="X208" i="2"/>
  <c r="U208" i="2"/>
  <c r="X30" i="2"/>
  <c r="Y30" i="2" s="1"/>
  <c r="U30" i="2"/>
  <c r="V30" i="2" s="1"/>
  <c r="X133" i="2"/>
  <c r="U133" i="2"/>
  <c r="U23" i="2"/>
  <c r="V23" i="2" s="1"/>
  <c r="X150" i="2"/>
  <c r="U150" i="2"/>
  <c r="X18" i="2"/>
  <c r="U18" i="2"/>
  <c r="X114" i="2"/>
  <c r="Y114" i="2" s="1"/>
  <c r="U114" i="2"/>
  <c r="V114" i="2" s="1"/>
  <c r="X144" i="2"/>
  <c r="U144" i="2"/>
  <c r="X237" i="2"/>
  <c r="Y237" i="2" s="1"/>
  <c r="U237" i="2"/>
  <c r="V237" i="2" s="1"/>
  <c r="X83" i="2"/>
  <c r="U83" i="2"/>
  <c r="X108" i="2"/>
  <c r="U108" i="2"/>
  <c r="X122" i="2"/>
  <c r="U122" i="2"/>
  <c r="X180" i="2"/>
  <c r="U180" i="2"/>
  <c r="X181" i="2"/>
  <c r="U181" i="2"/>
  <c r="X163" i="2"/>
  <c r="U163" i="2"/>
  <c r="X105" i="2"/>
  <c r="U105" i="2"/>
  <c r="X113" i="2"/>
  <c r="Y113" i="2" s="1"/>
  <c r="U113" i="2"/>
  <c r="V113" i="2" s="1"/>
  <c r="X206" i="2"/>
  <c r="U206" i="2"/>
  <c r="X71" i="2"/>
  <c r="U71" i="2"/>
  <c r="X64" i="2"/>
  <c r="Y64" i="2" s="1"/>
  <c r="U64" i="2"/>
  <c r="V64" i="2" s="1"/>
  <c r="X91" i="2"/>
  <c r="U91" i="2"/>
  <c r="X47" i="2"/>
  <c r="U47" i="2"/>
  <c r="X96" i="2"/>
  <c r="U96" i="2"/>
  <c r="X142" i="2"/>
  <c r="U142" i="2"/>
  <c r="X45" i="2"/>
  <c r="U45" i="2"/>
  <c r="X129" i="2"/>
  <c r="U129" i="2"/>
  <c r="X100" i="2"/>
  <c r="U100" i="2"/>
  <c r="V100" i="2" s="1"/>
  <c r="X216" i="2"/>
  <c r="U216" i="2"/>
  <c r="X111" i="2"/>
  <c r="U111" i="2"/>
  <c r="X161" i="2"/>
  <c r="U161" i="2"/>
  <c r="X82" i="2"/>
  <c r="U82" i="2"/>
  <c r="X198" i="2"/>
  <c r="U198" i="2"/>
  <c r="X58" i="2"/>
  <c r="U58" i="2"/>
  <c r="X183" i="2"/>
  <c r="U183" i="2"/>
  <c r="X202" i="2"/>
  <c r="U202" i="2"/>
  <c r="V202" i="2" s="1"/>
  <c r="X166" i="2"/>
  <c r="U166" i="2"/>
  <c r="U16" i="2"/>
  <c r="V16" i="2" s="1"/>
  <c r="X92" i="2"/>
  <c r="Y92" i="2" s="1"/>
  <c r="U92" i="2"/>
  <c r="V92" i="2" s="1"/>
  <c r="X97" i="2"/>
  <c r="U97" i="2"/>
  <c r="X48" i="2"/>
  <c r="Y48" i="2" s="1"/>
  <c r="U48" i="2"/>
  <c r="X217" i="2"/>
  <c r="U217" i="2"/>
  <c r="V217" i="2" s="1"/>
  <c r="X39" i="2"/>
  <c r="U39" i="2"/>
  <c r="X189" i="2"/>
  <c r="U189" i="2"/>
  <c r="X46" i="2"/>
  <c r="U46" i="2"/>
  <c r="X40" i="2"/>
  <c r="U40" i="2"/>
  <c r="X153" i="2"/>
  <c r="U153" i="2"/>
  <c r="X72" i="2"/>
  <c r="U72" i="2"/>
  <c r="V72" i="2" s="1"/>
  <c r="X151" i="2"/>
  <c r="Y151" i="2" s="1"/>
  <c r="U151" i="2"/>
  <c r="V151" i="2" s="1"/>
  <c r="X203" i="2"/>
  <c r="U203" i="2"/>
  <c r="X191" i="2"/>
  <c r="U191" i="2"/>
  <c r="X22" i="2"/>
  <c r="Y22" i="2" s="1"/>
  <c r="U22" i="2"/>
  <c r="X24" i="2"/>
  <c r="U24" i="2"/>
  <c r="X215" i="2"/>
  <c r="Y215" i="2" s="1"/>
  <c r="U215" i="2"/>
  <c r="V215" i="2" s="1"/>
  <c r="X50" i="2"/>
  <c r="Y50" i="2" s="1"/>
  <c r="U50" i="2"/>
  <c r="V50" i="2" s="1"/>
  <c r="X155" i="2"/>
  <c r="U155" i="2"/>
  <c r="X221" i="2"/>
  <c r="U221" i="2"/>
  <c r="X148" i="2"/>
  <c r="Y148" i="2" s="1"/>
  <c r="U148" i="2"/>
  <c r="V148" i="2" s="1"/>
  <c r="X168" i="2"/>
  <c r="U168" i="2"/>
  <c r="X222" i="2"/>
  <c r="U222" i="2"/>
  <c r="X137" i="2"/>
  <c r="U137" i="2"/>
  <c r="X69" i="2"/>
  <c r="U69" i="2"/>
  <c r="V69" i="2" s="1"/>
  <c r="X164" i="2"/>
  <c r="U164" i="2"/>
  <c r="X146" i="2"/>
  <c r="U146" i="2"/>
  <c r="X116" i="2"/>
  <c r="U116" i="2"/>
  <c r="X154" i="2"/>
  <c r="U154" i="2"/>
  <c r="X79" i="2"/>
  <c r="U79" i="2"/>
  <c r="X162" i="2"/>
  <c r="U162" i="2"/>
  <c r="X25" i="2"/>
  <c r="U25" i="2"/>
  <c r="X149" i="2"/>
  <c r="Y149" i="2" s="1"/>
  <c r="U149" i="2"/>
  <c r="V149" i="2" s="1"/>
  <c r="X10" i="2"/>
  <c r="U10" i="2"/>
  <c r="X138" i="2"/>
  <c r="U138" i="2"/>
  <c r="X143" i="2"/>
  <c r="U143" i="2"/>
  <c r="X62" i="2"/>
  <c r="Y62" i="2" s="1"/>
  <c r="U62" i="2"/>
  <c r="V62" i="2" s="1"/>
  <c r="X112" i="2"/>
  <c r="Y112" i="2" s="1"/>
  <c r="U112" i="2"/>
  <c r="V112" i="2" s="1"/>
  <c r="X12" i="2"/>
  <c r="Y12" i="2" s="1"/>
  <c r="U12" i="2"/>
  <c r="V12" i="2" s="1"/>
  <c r="X235" i="2"/>
  <c r="U235" i="2"/>
  <c r="X121" i="2"/>
  <c r="U121" i="2"/>
  <c r="X54" i="2"/>
  <c r="U54" i="2"/>
  <c r="X98" i="2"/>
  <c r="U98" i="2"/>
  <c r="X107" i="2"/>
  <c r="U107" i="2"/>
  <c r="X158" i="2"/>
  <c r="Y158" i="2" s="1"/>
  <c r="U158" i="2"/>
  <c r="V158" i="2" s="1"/>
  <c r="X13" i="2"/>
  <c r="Y13" i="2" s="1"/>
  <c r="U13" i="2"/>
  <c r="X44" i="2"/>
  <c r="U44" i="2"/>
  <c r="X11" i="2"/>
  <c r="U11" i="2"/>
  <c r="X27" i="2"/>
  <c r="U27" i="2"/>
  <c r="X175" i="2"/>
  <c r="U175" i="2"/>
  <c r="X167" i="2"/>
  <c r="U167" i="2"/>
  <c r="X212" i="2"/>
  <c r="U212" i="2"/>
  <c r="X123" i="2"/>
  <c r="U123" i="2"/>
  <c r="X173" i="2"/>
  <c r="U173" i="2"/>
  <c r="X86" i="2"/>
  <c r="U86" i="2"/>
  <c r="X106" i="2"/>
  <c r="U106" i="2"/>
  <c r="X182" i="2"/>
  <c r="Y182" i="2" s="1"/>
  <c r="U182" i="2"/>
  <c r="V182" i="2" s="1"/>
  <c r="X88" i="2"/>
  <c r="U88" i="2"/>
  <c r="X78" i="2"/>
  <c r="U78" i="2"/>
  <c r="X140" i="2"/>
  <c r="U140" i="2"/>
  <c r="X95" i="2"/>
  <c r="U95" i="2"/>
  <c r="X103" i="2"/>
  <c r="U103" i="2"/>
  <c r="X172" i="2"/>
  <c r="U172" i="2"/>
  <c r="X201" i="2"/>
  <c r="Y201" i="2" s="1"/>
  <c r="U201" i="2"/>
  <c r="V201" i="2" s="1"/>
  <c r="X81" i="2"/>
  <c r="U81" i="2"/>
  <c r="X196" i="2"/>
  <c r="U196" i="2"/>
  <c r="X225" i="2"/>
  <c r="Y225" i="2" s="1"/>
  <c r="U225" i="2"/>
  <c r="V225" i="2" s="1"/>
  <c r="X199" i="2"/>
  <c r="U199" i="2"/>
  <c r="X31" i="2"/>
  <c r="U31" i="2"/>
  <c r="X236" i="2"/>
  <c r="Y236" i="2" s="1"/>
  <c r="U236" i="2"/>
  <c r="V236" i="2" s="1"/>
  <c r="X209" i="2"/>
  <c r="U209" i="2"/>
  <c r="X240" i="2"/>
  <c r="U240" i="2"/>
  <c r="X38" i="2"/>
  <c r="Y38" i="2" s="1"/>
  <c r="U38" i="2"/>
  <c r="V38" i="2" s="1"/>
  <c r="X87" i="2"/>
  <c r="U87" i="2"/>
  <c r="X101" i="2"/>
  <c r="U101" i="2"/>
  <c r="X218" i="2"/>
  <c r="U218" i="2"/>
  <c r="X211" i="2"/>
  <c r="U211" i="2"/>
  <c r="X102" i="2"/>
  <c r="U102" i="2"/>
  <c r="X219" i="2"/>
  <c r="U219" i="2"/>
  <c r="X52" i="2"/>
  <c r="U52" i="2"/>
  <c r="X67" i="2"/>
  <c r="U67" i="2"/>
  <c r="X29" i="2"/>
  <c r="Y29" i="2" s="1"/>
  <c r="X33" i="2"/>
  <c r="X60" i="2"/>
  <c r="X76" i="2"/>
  <c r="X23" i="2"/>
  <c r="Y23" i="2" s="1"/>
  <c r="X227" i="2"/>
  <c r="X128" i="2"/>
  <c r="X231" i="2"/>
  <c r="Y231" i="2" s="1"/>
  <c r="X170" i="2"/>
  <c r="X109" i="2"/>
  <c r="X226" i="2"/>
  <c r="X224" i="2"/>
  <c r="X43" i="2"/>
  <c r="X232" i="2"/>
  <c r="Y232" i="2" s="1"/>
  <c r="X26" i="2"/>
  <c r="V13" i="2"/>
  <c r="X213" i="2"/>
  <c r="X134" i="2"/>
  <c r="X131" i="2"/>
  <c r="X185" i="2"/>
  <c r="X75" i="2"/>
  <c r="X51" i="2"/>
  <c r="Y51" i="2" s="1"/>
  <c r="X171" i="2"/>
  <c r="Y171" i="2" s="1"/>
  <c r="X90" i="2"/>
  <c r="X177" i="2"/>
  <c r="X223" i="2"/>
  <c r="X85" i="2"/>
  <c r="X207" i="2"/>
  <c r="V22" i="2"/>
  <c r="X16" i="2"/>
  <c r="Y16" i="2" s="1"/>
  <c r="X68" i="2"/>
  <c r="X17" i="2"/>
  <c r="X234" i="2"/>
  <c r="X118" i="2"/>
  <c r="X132" i="2"/>
  <c r="V230" i="2"/>
  <c r="X117" i="2"/>
  <c r="X74" i="2"/>
  <c r="X77" i="2"/>
  <c r="X156" i="2"/>
  <c r="X197" i="2"/>
  <c r="Y197" i="2" s="1"/>
  <c r="X188" i="2"/>
  <c r="X187" i="2"/>
  <c r="X184" i="2"/>
  <c r="X165" i="2"/>
  <c r="X157" i="2"/>
  <c r="X19" i="2"/>
  <c r="X80" i="2"/>
  <c r="X49" i="2"/>
  <c r="X141" i="2"/>
  <c r="X130" i="2"/>
  <c r="X124" i="2"/>
  <c r="X73" i="2"/>
  <c r="V65" i="2"/>
  <c r="X220" i="2"/>
  <c r="X186" i="2"/>
  <c r="X200" i="2"/>
  <c r="X238" i="2"/>
  <c r="Y238" i="2" s="1"/>
  <c r="X53" i="2"/>
  <c r="X42" i="2"/>
  <c r="X119" i="2"/>
  <c r="X57" i="2"/>
  <c r="X21" i="2"/>
  <c r="X115" i="2"/>
  <c r="X229" i="2"/>
  <c r="Y229" i="2" s="1"/>
  <c r="X233" i="2"/>
  <c r="X37" i="2"/>
  <c r="X190" i="2"/>
  <c r="Y190" i="2" s="1"/>
  <c r="V89" i="2"/>
  <c r="X32" i="2"/>
  <c r="X205" i="2"/>
  <c r="V61" i="2"/>
  <c r="V48" i="2"/>
  <c r="X14" i="2"/>
  <c r="X152" i="2"/>
  <c r="X139" i="2"/>
  <c r="Y100" i="2"/>
  <c r="V51" i="2"/>
  <c r="Y72" i="2"/>
  <c r="V231" i="2"/>
  <c r="V190" i="2"/>
  <c r="V229" i="2"/>
  <c r="V171" i="2"/>
  <c r="V197" i="2"/>
  <c r="V238" i="2"/>
  <c r="V232" i="2"/>
  <c r="Y217" i="2"/>
  <c r="V67" i="2" l="1"/>
  <c r="Y18" i="2"/>
  <c r="Y69" i="2"/>
  <c r="Y61" i="2"/>
  <c r="Y202" i="2"/>
  <c r="Y67" i="2"/>
  <c r="V18" i="2"/>
  <c r="Q9" i="2"/>
  <c r="W9" i="2" s="1"/>
  <c r="R9" i="2" l="1"/>
  <c r="U9" i="2" s="1"/>
  <c r="C44" i="3"/>
  <c r="D2" i="3"/>
  <c r="B4" i="4"/>
  <c r="X9" i="2" l="1"/>
  <c r="H27" i="1"/>
  <c r="E17" i="5" l="1"/>
  <c r="E16" i="5"/>
  <c r="E15" i="5"/>
  <c r="E12" i="5"/>
  <c r="E11" i="5"/>
  <c r="E10" i="5"/>
  <c r="E9" i="5"/>
  <c r="E13" i="5" l="1"/>
  <c r="E18" i="5"/>
  <c r="H26" i="1"/>
  <c r="E20" i="5" l="1"/>
  <c r="H29" i="1"/>
  <c r="I5" i="2" l="1"/>
  <c r="V11" i="2" l="1"/>
  <c r="V15" i="2"/>
  <c r="V17" i="2"/>
  <c r="V21" i="2"/>
  <c r="V25" i="2"/>
  <c r="V27" i="2"/>
  <c r="V31" i="2"/>
  <c r="V33" i="2"/>
  <c r="V35" i="2"/>
  <c r="V39" i="2"/>
  <c r="V42" i="2"/>
  <c r="V44" i="2"/>
  <c r="V46" i="2"/>
  <c r="V49" i="2"/>
  <c r="V53" i="2"/>
  <c r="V55" i="2"/>
  <c r="V57" i="2"/>
  <c r="V60" i="2"/>
  <c r="V66" i="2"/>
  <c r="V70" i="2"/>
  <c r="V73" i="2"/>
  <c r="V75" i="2"/>
  <c r="V77" i="2"/>
  <c r="V79" i="2"/>
  <c r="V81" i="2"/>
  <c r="V83" i="2"/>
  <c r="V85" i="2"/>
  <c r="V87" i="2"/>
  <c r="V90" i="2"/>
  <c r="V93" i="2"/>
  <c r="V95" i="2"/>
  <c r="V97" i="2"/>
  <c r="V101" i="2"/>
  <c r="V103" i="2"/>
  <c r="V106" i="2"/>
  <c r="V108" i="2"/>
  <c r="V110" i="2"/>
  <c r="V115" i="2"/>
  <c r="V117" i="2"/>
  <c r="V119" i="2"/>
  <c r="V121" i="2"/>
  <c r="V123" i="2"/>
  <c r="V127" i="2"/>
  <c r="V129" i="2"/>
  <c r="V131" i="2"/>
  <c r="V133" i="2"/>
  <c r="V135" i="2"/>
  <c r="V137" i="2"/>
  <c r="V139" i="2"/>
  <c r="V141" i="2"/>
  <c r="V143" i="2"/>
  <c r="V145" i="2"/>
  <c r="V147" i="2"/>
  <c r="V152" i="2"/>
  <c r="V154" i="2"/>
  <c r="V156" i="2"/>
  <c r="V160" i="2"/>
  <c r="V162" i="2"/>
  <c r="V164" i="2"/>
  <c r="V166" i="2"/>
  <c r="V168" i="2"/>
  <c r="V170" i="2"/>
  <c r="V173" i="2"/>
  <c r="V174" i="2"/>
  <c r="V175" i="2"/>
  <c r="V176" i="2"/>
  <c r="V177" i="2"/>
  <c r="V179" i="2"/>
  <c r="V180" i="2"/>
  <c r="V181" i="2"/>
  <c r="V183" i="2"/>
  <c r="V184" i="2"/>
  <c r="V185" i="2"/>
  <c r="V186" i="2"/>
  <c r="V187" i="2"/>
  <c r="V188" i="2"/>
  <c r="V189" i="2"/>
  <c r="V191" i="2"/>
  <c r="V196" i="2"/>
  <c r="V198" i="2"/>
  <c r="V199" i="2"/>
  <c r="V200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6" i="2"/>
  <c r="V218" i="2"/>
  <c r="V219" i="2"/>
  <c r="V220" i="2"/>
  <c r="V221" i="2"/>
  <c r="V222" i="2"/>
  <c r="V223" i="2"/>
  <c r="V224" i="2"/>
  <c r="V226" i="2"/>
  <c r="V227" i="2"/>
  <c r="V228" i="2"/>
  <c r="V233" i="2"/>
  <c r="V234" i="2"/>
  <c r="V235" i="2"/>
  <c r="V239" i="2"/>
  <c r="V240" i="2"/>
  <c r="V241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Y119" i="2" l="1"/>
  <c r="Y209" i="2"/>
  <c r="Y198" i="2"/>
  <c r="Y44" i="2"/>
  <c r="Y156" i="2"/>
  <c r="Y79" i="2"/>
  <c r="Y27" i="2"/>
  <c r="Y254" i="2"/>
  <c r="Y175" i="2"/>
  <c r="Y137" i="2"/>
  <c r="Y97" i="2"/>
  <c r="Y55" i="2"/>
  <c r="Y33" i="2"/>
  <c r="Y17" i="2"/>
  <c r="Y246" i="2"/>
  <c r="Y235" i="2"/>
  <c r="Y228" i="2"/>
  <c r="Y184" i="2"/>
  <c r="Y166" i="2"/>
  <c r="Y145" i="2"/>
  <c r="Y129" i="2"/>
  <c r="Y108" i="2"/>
  <c r="Y87" i="2"/>
  <c r="Y70" i="2"/>
  <c r="Y49" i="2"/>
  <c r="Y39" i="2"/>
  <c r="Y31" i="2"/>
  <c r="Y21" i="2"/>
  <c r="Y15" i="2"/>
  <c r="Y191" i="2"/>
  <c r="Y173" i="2"/>
  <c r="Y164" i="2"/>
  <c r="Y154" i="2"/>
  <c r="Y143" i="2"/>
  <c r="Y135" i="2"/>
  <c r="Y127" i="2"/>
  <c r="Y117" i="2"/>
  <c r="Y106" i="2"/>
  <c r="Y95" i="2"/>
  <c r="Y85" i="2"/>
  <c r="Y77" i="2"/>
  <c r="Y66" i="2"/>
  <c r="Y53" i="2"/>
  <c r="Y42" i="2"/>
  <c r="Y275" i="2"/>
  <c r="Y265" i="2"/>
  <c r="Y227" i="2"/>
  <c r="Y216" i="2"/>
  <c r="Y188" i="2"/>
  <c r="Y180" i="2"/>
  <c r="Y170" i="2"/>
  <c r="Y162" i="2"/>
  <c r="Y152" i="2"/>
  <c r="Y141" i="2"/>
  <c r="Y133" i="2"/>
  <c r="Y123" i="2"/>
  <c r="Y115" i="2"/>
  <c r="Y103" i="2"/>
  <c r="Y93" i="2"/>
  <c r="Y83" i="2"/>
  <c r="Y75" i="2"/>
  <c r="Y60" i="2"/>
  <c r="Y200" i="2"/>
  <c r="Y186" i="2"/>
  <c r="Y177" i="2"/>
  <c r="Y168" i="2"/>
  <c r="Y160" i="2"/>
  <c r="Y147" i="2"/>
  <c r="Y139" i="2"/>
  <c r="Y131" i="2"/>
  <c r="Y121" i="2"/>
  <c r="Y110" i="2"/>
  <c r="Y101" i="2"/>
  <c r="Y90" i="2"/>
  <c r="Y81" i="2"/>
  <c r="Y73" i="2"/>
  <c r="Y57" i="2"/>
  <c r="Y46" i="2"/>
  <c r="Y35" i="2"/>
  <c r="Y25" i="2"/>
  <c r="Y11" i="2"/>
  <c r="Y223" i="2"/>
  <c r="Y271" i="2"/>
  <c r="Y261" i="2"/>
  <c r="Y273" i="2"/>
  <c r="Y267" i="2"/>
  <c r="Y252" i="2"/>
  <c r="Y251" i="2"/>
  <c r="Y248" i="2"/>
  <c r="Y244" i="2"/>
  <c r="Y240" i="2"/>
  <c r="Y233" i="2"/>
  <c r="Y219" i="2"/>
  <c r="Y213" i="2"/>
  <c r="Y212" i="2"/>
  <c r="Y211" i="2"/>
  <c r="Y207" i="2"/>
  <c r="Y269" i="2"/>
  <c r="Y278" i="2"/>
  <c r="Y277" i="2"/>
  <c r="Y263" i="2"/>
  <c r="Y259" i="2"/>
  <c r="Y258" i="2"/>
  <c r="Y257" i="2"/>
  <c r="Y256" i="2"/>
  <c r="Y241" i="2"/>
  <c r="Y224" i="2"/>
  <c r="Y221" i="2"/>
  <c r="Y218" i="2"/>
  <c r="Y205" i="2"/>
  <c r="Y204" i="2"/>
  <c r="Y203" i="2"/>
  <c r="Y276" i="2"/>
  <c r="Y274" i="2"/>
  <c r="Y272" i="2"/>
  <c r="Y270" i="2"/>
  <c r="Y268" i="2"/>
  <c r="Y266" i="2"/>
  <c r="Y264" i="2"/>
  <c r="Y262" i="2"/>
  <c r="Y260" i="2"/>
  <c r="Y255" i="2"/>
  <c r="Y253" i="2"/>
  <c r="Y250" i="2"/>
  <c r="Y249" i="2"/>
  <c r="Y247" i="2"/>
  <c r="Y245" i="2"/>
  <c r="Y243" i="2"/>
  <c r="Y239" i="2"/>
  <c r="Y234" i="2"/>
  <c r="Y226" i="2"/>
  <c r="Y222" i="2"/>
  <c r="Y220" i="2"/>
  <c r="Y214" i="2"/>
  <c r="Y210" i="2"/>
  <c r="Y208" i="2"/>
  <c r="Y206" i="2"/>
  <c r="Y199" i="2"/>
  <c r="V172" i="2"/>
  <c r="Y172" i="2"/>
  <c r="V169" i="2"/>
  <c r="Y169" i="2"/>
  <c r="V167" i="2"/>
  <c r="Y167" i="2"/>
  <c r="V165" i="2"/>
  <c r="Y165" i="2"/>
  <c r="V163" i="2"/>
  <c r="Y163" i="2"/>
  <c r="V161" i="2"/>
  <c r="Y161" i="2"/>
  <c r="V157" i="2"/>
  <c r="Y157" i="2"/>
  <c r="V155" i="2"/>
  <c r="Y155" i="2"/>
  <c r="V153" i="2"/>
  <c r="Y153" i="2"/>
  <c r="V150" i="2"/>
  <c r="Y150" i="2"/>
  <c r="V146" i="2"/>
  <c r="Y146" i="2"/>
  <c r="V144" i="2"/>
  <c r="Y144" i="2"/>
  <c r="V142" i="2"/>
  <c r="Y142" i="2"/>
  <c r="V140" i="2"/>
  <c r="Y140" i="2"/>
  <c r="V138" i="2"/>
  <c r="Y138" i="2"/>
  <c r="V136" i="2"/>
  <c r="Y136" i="2"/>
  <c r="V134" i="2"/>
  <c r="Y134" i="2"/>
  <c r="V132" i="2"/>
  <c r="Y132" i="2"/>
  <c r="V130" i="2"/>
  <c r="Y130" i="2"/>
  <c r="V128" i="2"/>
  <c r="Y128" i="2"/>
  <c r="V124" i="2"/>
  <c r="Y124" i="2"/>
  <c r="V122" i="2"/>
  <c r="Y122" i="2"/>
  <c r="V120" i="2"/>
  <c r="Y120" i="2"/>
  <c r="V118" i="2"/>
  <c r="Y118" i="2"/>
  <c r="V116" i="2"/>
  <c r="Y116" i="2"/>
  <c r="V111" i="2"/>
  <c r="Y111" i="2"/>
  <c r="V109" i="2"/>
  <c r="Y109" i="2"/>
  <c r="V107" i="2"/>
  <c r="Y107" i="2"/>
  <c r="V105" i="2"/>
  <c r="Y105" i="2"/>
  <c r="V102" i="2"/>
  <c r="Y102" i="2"/>
  <c r="V98" i="2"/>
  <c r="Y98" i="2"/>
  <c r="V96" i="2"/>
  <c r="Y96" i="2"/>
  <c r="V94" i="2"/>
  <c r="Y94" i="2"/>
  <c r="V91" i="2"/>
  <c r="Y91" i="2"/>
  <c r="V88" i="2"/>
  <c r="Y88" i="2"/>
  <c r="V86" i="2"/>
  <c r="Y86" i="2"/>
  <c r="V84" i="2"/>
  <c r="Y84" i="2"/>
  <c r="V82" i="2"/>
  <c r="Y82" i="2"/>
  <c r="V80" i="2"/>
  <c r="Y80" i="2"/>
  <c r="V78" i="2"/>
  <c r="Y78" i="2"/>
  <c r="V76" i="2"/>
  <c r="Y76" i="2"/>
  <c r="V74" i="2"/>
  <c r="Y74" i="2"/>
  <c r="V71" i="2"/>
  <c r="Y71" i="2"/>
  <c r="V68" i="2"/>
  <c r="Y68" i="2"/>
  <c r="V63" i="2"/>
  <c r="Y63" i="2"/>
  <c r="V58" i="2"/>
  <c r="Y58" i="2"/>
  <c r="V56" i="2"/>
  <c r="Y56" i="2"/>
  <c r="V54" i="2"/>
  <c r="Y54" i="2"/>
  <c r="V52" i="2"/>
  <c r="Y52" i="2"/>
  <c r="V47" i="2"/>
  <c r="Y47" i="2"/>
  <c r="V45" i="2"/>
  <c r="Y45" i="2"/>
  <c r="V43" i="2"/>
  <c r="Y43" i="2"/>
  <c r="V40" i="2"/>
  <c r="Y40" i="2"/>
  <c r="V37" i="2"/>
  <c r="Y37" i="2"/>
  <c r="V34" i="2"/>
  <c r="Y34" i="2"/>
  <c r="V32" i="2"/>
  <c r="Y32" i="2"/>
  <c r="V28" i="2"/>
  <c r="Y28" i="2"/>
  <c r="V26" i="2"/>
  <c r="Y26" i="2"/>
  <c r="V24" i="2"/>
  <c r="Y24" i="2"/>
  <c r="V19" i="2"/>
  <c r="Y19" i="2"/>
  <c r="V14" i="2"/>
  <c r="Y14" i="2"/>
  <c r="V10" i="2"/>
  <c r="Y10" i="2"/>
  <c r="Y196" i="2"/>
  <c r="Y189" i="2"/>
  <c r="Y187" i="2"/>
  <c r="Y185" i="2"/>
  <c r="Y183" i="2"/>
  <c r="Y181" i="2"/>
  <c r="Y179" i="2"/>
  <c r="Y176" i="2"/>
  <c r="Y174" i="2"/>
  <c r="V9" i="2"/>
  <c r="Y9" i="2" l="1"/>
  <c r="E8" i="2"/>
  <c r="E321" i="2" l="1"/>
  <c r="J1" i="2" s="1"/>
  <c r="G7" i="1" l="1"/>
  <c r="M321" i="2"/>
  <c r="M5" i="2" s="1"/>
  <c r="L321" i="2"/>
  <c r="S8" i="2"/>
  <c r="S321" i="2" s="1"/>
  <c r="R8" i="2" l="1"/>
  <c r="U8" i="2" s="1"/>
  <c r="J322" i="2"/>
  <c r="G12" i="1" s="1"/>
  <c r="G20" i="1" s="1"/>
  <c r="V8" i="2" l="1"/>
  <c r="V321" i="2" s="1"/>
  <c r="V5" i="2" s="1"/>
  <c r="U321" i="2"/>
  <c r="X8" i="2"/>
  <c r="Y8" i="2" l="1"/>
  <c r="Y321" i="2" s="1"/>
  <c r="Y5" i="2" s="1"/>
  <c r="X321" i="2"/>
  <c r="N7" i="1" l="1"/>
  <c r="J23" i="1" s="1"/>
  <c r="I8" i="4" s="1"/>
  <c r="V4" i="2"/>
  <c r="I11" i="4" l="1"/>
  <c r="I10" i="4"/>
  <c r="I12" i="4"/>
  <c r="A5" i="2"/>
  <c r="I13" i="4"/>
  <c r="I9" i="4"/>
  <c r="N16" i="1"/>
  <c r="N20" i="1" s="1"/>
  <c r="I16" i="4" l="1"/>
  <c r="N10" i="1" s="1"/>
  <c r="N13" i="1" s="1"/>
  <c r="I18" i="4" l="1"/>
</calcChain>
</file>

<file path=xl/sharedStrings.xml><?xml version="1.0" encoding="utf-8"?>
<sst xmlns="http://schemas.openxmlformats.org/spreadsheetml/2006/main" count="853" uniqueCount="425">
  <si>
    <t>Statement for Provisions consumption for :</t>
  </si>
  <si>
    <t>Provisions balance brought forward</t>
  </si>
  <si>
    <t>Consumption as per attached</t>
  </si>
  <si>
    <t xml:space="preserve"> from last month</t>
  </si>
  <si>
    <t>Statement:</t>
  </si>
  <si>
    <t>Transport</t>
  </si>
  <si>
    <t>Less: Outport messing expenses</t>
  </si>
  <si>
    <t>(for Pilot / Workshop / Superintendent / Immigration / Customs etc. - actual cost)</t>
  </si>
  <si>
    <t>Provision value consumed for Ship's crew:</t>
  </si>
  <si>
    <t>Value of Provisions balance carried forward :</t>
  </si>
  <si>
    <t xml:space="preserve"> </t>
  </si>
  <si>
    <r>
      <t>as on</t>
    </r>
    <r>
      <rPr>
        <sz val="10"/>
        <color rgb="FFFF0000"/>
        <rFont val="Arial"/>
        <family val="2"/>
      </rPr>
      <t xml:space="preserve"> </t>
    </r>
  </si>
  <si>
    <t>Total:</t>
  </si>
  <si>
    <t>Per day per head expense:</t>
  </si>
  <si>
    <t>No. of crew x days of the month:</t>
  </si>
  <si>
    <t>Outport mandays</t>
  </si>
  <si>
    <t>Total no. of man days for the month</t>
  </si>
  <si>
    <t>(ALL AMOUNTS IN US DOLLARS)</t>
  </si>
  <si>
    <t xml:space="preserve">RECEIPT &amp; CONSUMPTION STATEMENT FOR THE MONTH OF </t>
  </si>
  <si>
    <t>ITEM</t>
  </si>
  <si>
    <t>UNIT</t>
  </si>
  <si>
    <t>OPENING ROB</t>
  </si>
  <si>
    <t xml:space="preserve">1 PURCHASE </t>
  </si>
  <si>
    <t xml:space="preserve">2 PURCHASE </t>
  </si>
  <si>
    <t xml:space="preserve">3 PURCHASE </t>
  </si>
  <si>
    <t>MONTH END ROB</t>
  </si>
  <si>
    <t>CONSUMPTION</t>
  </si>
  <si>
    <t>Weight</t>
  </si>
  <si>
    <t>Unit</t>
  </si>
  <si>
    <t xml:space="preserve">Total </t>
  </si>
  <si>
    <t>KG</t>
  </si>
  <si>
    <t>TOTAL PURCHASE</t>
  </si>
  <si>
    <t>Statement of man days for the month</t>
  </si>
  <si>
    <t>No.</t>
  </si>
  <si>
    <t>Ranks</t>
  </si>
  <si>
    <t>From</t>
  </si>
  <si>
    <t>To</t>
  </si>
  <si>
    <t>No. of days</t>
  </si>
  <si>
    <t>OFFSIGNERS</t>
  </si>
  <si>
    <t>Total Mandays:</t>
  </si>
  <si>
    <t>STATEMENT OF MAN DAYS</t>
  </si>
  <si>
    <t>OUTPORT MESSING</t>
  </si>
  <si>
    <t>No. of persons</t>
  </si>
  <si>
    <t>USD</t>
  </si>
  <si>
    <t>ITEMS DAMAGED DURING BLACKOUT</t>
  </si>
  <si>
    <t>WEIGHT</t>
  </si>
  <si>
    <t>TOTAL</t>
  </si>
  <si>
    <t>COST</t>
  </si>
  <si>
    <t>T O T A L S</t>
  </si>
  <si>
    <t xml:space="preserve">CONSUMPTION </t>
  </si>
  <si>
    <t>OUT PORT EXPENSES</t>
  </si>
  <si>
    <t>Total Man days</t>
  </si>
  <si>
    <t>Transport (delivery Charge)=</t>
  </si>
  <si>
    <t>=</t>
  </si>
  <si>
    <t>3. Transportation Fee-</t>
  </si>
  <si>
    <t xml:space="preserve">Provsions received during the month </t>
  </si>
  <si>
    <t>TOTAL MONTHLY ROB</t>
  </si>
  <si>
    <t>Master</t>
  </si>
  <si>
    <t>Ch.Eng.</t>
  </si>
  <si>
    <t>2nd Engineer</t>
  </si>
  <si>
    <t>3rd Engineer</t>
  </si>
  <si>
    <t>4th Engineer</t>
  </si>
  <si>
    <t>Trainee Marine Engineer</t>
  </si>
  <si>
    <t>Electrical Officer</t>
  </si>
  <si>
    <t>AB 2</t>
  </si>
  <si>
    <t>Fitter</t>
  </si>
  <si>
    <t>Oiler 1</t>
  </si>
  <si>
    <t>Ch. Cook</t>
  </si>
  <si>
    <t>CARROT</t>
  </si>
  <si>
    <t>CHICKEN WHOLE</t>
  </si>
  <si>
    <t>PKT</t>
  </si>
  <si>
    <t>ORANGE</t>
  </si>
  <si>
    <t>TIN</t>
  </si>
  <si>
    <t>BTL</t>
  </si>
  <si>
    <t>CUP</t>
  </si>
  <si>
    <t>C/S</t>
  </si>
  <si>
    <t>MANGO</t>
  </si>
  <si>
    <t>LTR</t>
  </si>
  <si>
    <t>APPLE RED</t>
  </si>
  <si>
    <t>KGS</t>
  </si>
  <si>
    <t>WHIPPING CREAM 1LTR</t>
  </si>
  <si>
    <t>TAMARIND</t>
  </si>
  <si>
    <t>PCS</t>
  </si>
  <si>
    <t>CORIANDER LEAVES</t>
  </si>
  <si>
    <t>CHICKEN BREAST</t>
  </si>
  <si>
    <t>CHICKEN LEG DRUMSTICK</t>
  </si>
  <si>
    <t>CHICKEN WINGS</t>
  </si>
  <si>
    <t>CHICKEN NUGGETS 1KG</t>
  </si>
  <si>
    <t>KING FISH</t>
  </si>
  <si>
    <t>ROHU FISH</t>
  </si>
  <si>
    <t>PRAWNS PEELED MEDIUM SIZE</t>
  </si>
  <si>
    <t>CRAB (BIG SIZE)</t>
  </si>
  <si>
    <t>MACKERAL</t>
  </si>
  <si>
    <t>SALMON FISH</t>
  </si>
  <si>
    <t>CHICKEN BURGER PATTY</t>
  </si>
  <si>
    <t>VEG BURGER PATTY</t>
  </si>
  <si>
    <t>BURGER BUN</t>
  </si>
  <si>
    <t>SPRING ROLL FORZEN</t>
  </si>
  <si>
    <t>SAMOSAA</t>
  </si>
  <si>
    <t>BIRYANI MASALA (100 GMS)</t>
  </si>
  <si>
    <t>PAV BHAJI MASALA(100  GMS)</t>
  </si>
  <si>
    <t>SAMBHAR MASALA(100  GMS)</t>
  </si>
  <si>
    <t>CHICKEN MASALA(100  GMS)</t>
  </si>
  <si>
    <t>KITCHEN KING MASALA (100GHMS)</t>
  </si>
  <si>
    <t>MEAT MASALA(100  GMS)</t>
  </si>
  <si>
    <t>FISH MASALA(100  GMS)</t>
  </si>
  <si>
    <t>CINNAMON STICK(500 GMS) (DALCHINI)</t>
  </si>
  <si>
    <t>CLOVES ( LAUNG)</t>
  </si>
  <si>
    <t>BAY LEAF (TEJ PATTA)</t>
  </si>
  <si>
    <t>RED CHILLI WHOLE</t>
  </si>
  <si>
    <t>RED CHILLI POWDER</t>
  </si>
  <si>
    <t>TURMERIC POWDER (HALDI)</t>
  </si>
  <si>
    <t>CORIANDER WHOLE ( DHANIA )</t>
  </si>
  <si>
    <t>CORIANDER POWDER</t>
  </si>
  <si>
    <t>CUMIN WHOLE (JEERA)</t>
  </si>
  <si>
    <t>CUMIN POWDER</t>
  </si>
  <si>
    <t>GARAM MASALA(100GMS)</t>
  </si>
  <si>
    <t>NUTMEG (JAAYAPHAL)</t>
  </si>
  <si>
    <t>MACE (JAVETRI)</t>
  </si>
  <si>
    <t>CARAWAY SEED ( AJWAIN)</t>
  </si>
  <si>
    <t>METHI SEED ( FENUGREEK)</t>
  </si>
  <si>
    <t>FENNEL SEED (SAUMPH)</t>
  </si>
  <si>
    <t>STAR ANISE ( CHAKR PHOOL)</t>
  </si>
  <si>
    <t>KASURI METHI (250GMS)</t>
  </si>
  <si>
    <t>POHA-500GMS</t>
  </si>
  <si>
    <t>BESAN-1KG</t>
  </si>
  <si>
    <t>SALT COOKIG FINE</t>
  </si>
  <si>
    <t>MUSTARD OIL</t>
  </si>
  <si>
    <t>AMUL DESI GHEE(1LTR)</t>
  </si>
  <si>
    <t>DAL TOOR</t>
  </si>
  <si>
    <t>DAL MASOOR</t>
  </si>
  <si>
    <t>DAL CHANA</t>
  </si>
  <si>
    <t>WHOLE MASOOR</t>
  </si>
  <si>
    <t>KABULI CHANA</t>
  </si>
  <si>
    <t>SABU DANA</t>
  </si>
  <si>
    <t>JAGGERY</t>
  </si>
  <si>
    <t>VERMICELLI</t>
  </si>
  <si>
    <t>DOSA MIX(200 GMS) GITTS</t>
  </si>
  <si>
    <t>IDLI MIX(200 GMS) GITTS</t>
  </si>
  <si>
    <t>VADA MIX(200 GMS)</t>
  </si>
  <si>
    <t>TOMATO KETCHUP (500 ML)</t>
  </si>
  <si>
    <t>RED CHILLI SAUCE (500 ML)</t>
  </si>
  <si>
    <t>SWEET CHILLI SAUCE (300 ML)</t>
  </si>
  <si>
    <t>PICKLES GARLIC(300GMS)-RUCHI MAGIC</t>
  </si>
  <si>
    <t>JAM, MIXED (300 GMS)</t>
  </si>
  <si>
    <t>JAM, STRAWBERRY  (300 GMS)</t>
  </si>
  <si>
    <t>BIRYANI KAWDA WATER</t>
  </si>
  <si>
    <t>ROSE WATER (450 ML) OFFER 300ML</t>
  </si>
  <si>
    <t>ROOAFZA (700 ML)</t>
  </si>
  <si>
    <t>PEANUT BUTTER(400GMS)</t>
  </si>
  <si>
    <t>PAPPADAM (KERALA,INDIAN)</t>
  </si>
  <si>
    <t>GULAB JAMUN ( 1 KG)</t>
  </si>
  <si>
    <t>RASGULLA (1 KG)</t>
  </si>
  <si>
    <t>CONDENSED MILK (400 GMS )</t>
  </si>
  <si>
    <t>BISCUIT OREO</t>
  </si>
  <si>
    <t>GOOD DAY BISCUIT</t>
  </si>
  <si>
    <t>BROWN BREAD SLICED-800 GMS</t>
  </si>
  <si>
    <t>BEET ROOT</t>
  </si>
  <si>
    <t>BRINJALS BIG</t>
  </si>
  <si>
    <t>CABBAGE</t>
  </si>
  <si>
    <t>CUCUMBER</t>
  </si>
  <si>
    <t>CURRY LEAVES</t>
  </si>
  <si>
    <t>MINT LEAVES</t>
  </si>
  <si>
    <t>SPINACH LEAVES</t>
  </si>
  <si>
    <t>DRUM STICKS</t>
  </si>
  <si>
    <t>COCONUT FRESH</t>
  </si>
  <si>
    <t>FRESH LEMON</t>
  </si>
  <si>
    <t>RADISH</t>
  </si>
  <si>
    <t>RIDGE GOURD- TURAI</t>
  </si>
  <si>
    <t>MUSK MELON</t>
  </si>
  <si>
    <t>PINEAPPLE</t>
  </si>
  <si>
    <t>PEARS</t>
  </si>
  <si>
    <t>LONG LIFE MILK (1 LTR)</t>
  </si>
  <si>
    <t>CHEESE SLICE ( 200 GMS )</t>
  </si>
  <si>
    <t>PANEER -INDIAN AMUL</t>
  </si>
  <si>
    <t>PLAIN YOGHURT</t>
  </si>
  <si>
    <t>MANGO JUICE</t>
  </si>
  <si>
    <t>MIXED FRUIT JUICE</t>
  </si>
  <si>
    <t>ORANGE JUICE</t>
  </si>
  <si>
    <t>APPLE JUICE</t>
  </si>
  <si>
    <t>AMUL LASSI(250ML)</t>
  </si>
  <si>
    <t>CHICKEN SAUSAGES</t>
  </si>
  <si>
    <t>FISH FILLET</t>
  </si>
  <si>
    <t>TANDOORI CHICKEN MASALA(100  GMS)- (EVEREST)</t>
  </si>
  <si>
    <t>SHAHI JEERA</t>
  </si>
  <si>
    <t>HAKKA NOODLES – EGG NOODLE (200 GMS)
CHINGS</t>
  </si>
  <si>
    <t>MAGGI 2 MIN NOODLES(100  GMS)</t>
  </si>
  <si>
    <t>TANG(500 GMS)</t>
  </si>
  <si>
    <t>PICKLES-MANGO THOKKU (300 GMS)-RUCHI MAGIC</t>
  </si>
  <si>
    <t>HEALTHY MIX VEGETABLE SOUP(1 KG PKT) KNOR</t>
  </si>
  <si>
    <t>METHI LEAVES</t>
  </si>
  <si>
    <t>BUTTER ( 500 GMS ) AMUL</t>
  </si>
  <si>
    <t>FRESH CREAM-200ML</t>
  </si>
  <si>
    <t>BUTTER MILK AMUL (250ML)</t>
  </si>
  <si>
    <t>COFFEE, GOLD</t>
  </si>
  <si>
    <t>GRS</t>
  </si>
  <si>
    <t>AB 3</t>
  </si>
  <si>
    <t>BOSUN</t>
  </si>
  <si>
    <t>PUMPMAN</t>
  </si>
  <si>
    <t>POTATO FRENCH FRIES</t>
  </si>
  <si>
    <t>ICE CREAM  BUTTER SCOTCH</t>
  </si>
  <si>
    <t>FRUIT YOGHURT ASSORTED</t>
  </si>
  <si>
    <t>FRUITS COCKTAIL</t>
  </si>
  <si>
    <t>HALDIRAM BHUJIA SEV 250 GRMS </t>
  </si>
  <si>
    <t>HALDIRAM NAVRATAN 250 GRMS</t>
  </si>
  <si>
    <t>HONEY</t>
  </si>
  <si>
    <t>SEMOLINA</t>
  </si>
  <si>
    <t>BAKED BEANS</t>
  </si>
  <si>
    <t>MILK POWDER</t>
  </si>
  <si>
    <t>SONPAPDI</t>
  </si>
  <si>
    <t>PEEL TOMATO</t>
  </si>
  <si>
    <t>FOOD COLOUR POWDER- YELLOW (100 GRMS)</t>
  </si>
  <si>
    <t>FOOD COLOUR POWDER- RED (100 GRMS)</t>
  </si>
  <si>
    <t>PRIYA PICKLE MIXED</t>
  </si>
  <si>
    <t>PRIYA PICKLE GREEN CHILLI</t>
  </si>
  <si>
    <t>HING</t>
  </si>
  <si>
    <t>TEA POWDER</t>
  </si>
  <si>
    <t>SOYABIN CHUNKS</t>
  </si>
  <si>
    <t>ALMOND</t>
  </si>
  <si>
    <t>CASHEWNUTS</t>
  </si>
  <si>
    <t>WALNUTS</t>
  </si>
  <si>
    <t>PISTA</t>
  </si>
  <si>
    <t>RAISINS</t>
  </si>
  <si>
    <t>SAFFRON</t>
  </si>
  <si>
    <t>POTATO</t>
  </si>
  <si>
    <t>ONION</t>
  </si>
  <si>
    <t>TOMATO FRESH</t>
  </si>
  <si>
    <t>GARLIC</t>
  </si>
  <si>
    <t>GINGER</t>
  </si>
  <si>
    <t>CAULIFLOWER</t>
  </si>
  <si>
    <t>FRENCH BEANS</t>
  </si>
  <si>
    <t>LONG BEANS</t>
  </si>
  <si>
    <t xml:space="preserve">CAPCICUM GREEN </t>
  </si>
  <si>
    <t>CAPCICUM RED</t>
  </si>
  <si>
    <t>LADY FINGER</t>
  </si>
  <si>
    <t>EGG PLANT SMALL</t>
  </si>
  <si>
    <t>LETTUCE</t>
  </si>
  <si>
    <t>BOTTLE GOURD</t>
  </si>
  <si>
    <t>BITTER GOURD</t>
  </si>
  <si>
    <t>YELLOW PUMPKIN</t>
  </si>
  <si>
    <t>SNAKE GOURD</t>
  </si>
  <si>
    <t>BANANA</t>
  </si>
  <si>
    <t>PLUM</t>
  </si>
  <si>
    <t>GRAPES GREEN SEEDLESS</t>
  </si>
  <si>
    <t>GRAPES BLACK SEEDLESS</t>
  </si>
  <si>
    <t>WATER MELON</t>
  </si>
  <si>
    <t>MILO</t>
  </si>
  <si>
    <t>MT ALMA</t>
  </si>
  <si>
    <t>0.00</t>
  </si>
  <si>
    <t>FRESH PAPAYA</t>
  </si>
  <si>
    <t>CHAT MASALA</t>
  </si>
  <si>
    <t>RED KIDNEY BEAN</t>
  </si>
  <si>
    <t>SOYA SAUCE</t>
  </si>
  <si>
    <t>GREEN CHILI SAUCE</t>
  </si>
  <si>
    <t>ICE CREAM  MANGO</t>
  </si>
  <si>
    <t>ICE CREAM CORNETTO</t>
  </si>
  <si>
    <t>CORN FLAKE</t>
  </si>
  <si>
    <t>MUESLI</t>
  </si>
  <si>
    <t>PEANUT RAW</t>
  </si>
  <si>
    <t>POPPY SEEDS</t>
  </si>
  <si>
    <t>THOUSAND ISLAND</t>
  </si>
  <si>
    <t>YEAST DRY</t>
  </si>
  <si>
    <t>BLACK CHANA</t>
  </si>
  <si>
    <t>CUSTARD POWDER</t>
  </si>
  <si>
    <t>JILABI MIX</t>
  </si>
  <si>
    <t>GULAB JAMUN MIX</t>
  </si>
  <si>
    <t>MIXED VEGETABLES FZN</t>
  </si>
  <si>
    <t xml:space="preserve">                        </t>
  </si>
  <si>
    <t>DARK FANTASY BISCUT</t>
  </si>
  <si>
    <t>INDIAN GOAT WHOLE(12-15  KG ZABIA HALAl)</t>
  </si>
  <si>
    <t xml:space="preserve">MUTTON BONELESS LEG </t>
  </si>
  <si>
    <t>FISH SALMON SMOKED</t>
  </si>
  <si>
    <t>RED SPNIACH LEAVES</t>
  </si>
  <si>
    <t>MANDARINE</t>
  </si>
  <si>
    <t>ICE CREAM CHOCOBAR</t>
  </si>
  <si>
    <t>CORN FLOUR</t>
  </si>
  <si>
    <t>OATS</t>
  </si>
  <si>
    <t>SOFT DRINK FANTA</t>
  </si>
  <si>
    <t>SOFT DRINK COCA COLA</t>
  </si>
  <si>
    <t>SOFT DRINK 7UP</t>
  </si>
  <si>
    <t>AB 1</t>
  </si>
  <si>
    <t>CAKE MAFFIN</t>
  </si>
  <si>
    <t>MANGO PULP</t>
  </si>
  <si>
    <t>SQUID FISH</t>
  </si>
  <si>
    <t>COCONUT MILK</t>
  </si>
  <si>
    <t>OS2</t>
  </si>
  <si>
    <t>COFFEE MATE</t>
  </si>
  <si>
    <t>FROZEN GREEN PEAS</t>
  </si>
  <si>
    <t>FROZEN SWEET CORN</t>
  </si>
  <si>
    <t>GRAPES RED SEEDLESS</t>
  </si>
  <si>
    <t>MAYONNAISE</t>
  </si>
  <si>
    <t>POMFRET WHITE BLACK BIG SIZE</t>
  </si>
  <si>
    <t>CH OFFICER</t>
  </si>
  <si>
    <t>BLACK SALT 1KG/PKT</t>
  </si>
  <si>
    <t>BROCCOLI</t>
  </si>
  <si>
    <t>FROZEN CAULIFLOWER</t>
  </si>
  <si>
    <t>CHANNA MASALA (100GMS)</t>
  </si>
  <si>
    <t>MOZARELLA CHEESE GRATED</t>
  </si>
  <si>
    <t xml:space="preserve">PINEAPPLE SLICE IN TIN </t>
  </si>
  <si>
    <t>PINEAPPLE JUICE</t>
  </si>
  <si>
    <t>POMFRET BLACK</t>
  </si>
  <si>
    <t>ROASTED CHANNA DAL</t>
  </si>
  <si>
    <t>CHANNA DAAL - BLACK</t>
  </si>
  <si>
    <t>PIZZA BASE</t>
  </si>
  <si>
    <t xml:space="preserve">PAV BUN </t>
  </si>
  <si>
    <t>MINERAL WATER</t>
  </si>
  <si>
    <t>WHEAT ATTA (ASHIRVAD) 5KG /BAG</t>
  </si>
  <si>
    <t>BAG</t>
  </si>
  <si>
    <t>UNIT USD</t>
  </si>
  <si>
    <t>OS 1</t>
  </si>
  <si>
    <t>MUSTARD SEED ( SARASON KE BHEEJ)</t>
  </si>
  <si>
    <t>FROZEN BEANS</t>
  </si>
  <si>
    <t>FROZEN GREEN PALAK</t>
  </si>
  <si>
    <t>GINGER GARLIC PASTE 500GMS</t>
  </si>
  <si>
    <t>CHICKEN 65 MASALA</t>
  </si>
  <si>
    <t xml:space="preserve">WHITE BREAD </t>
  </si>
  <si>
    <t>NESTLE EVAPORATED MILK</t>
  </si>
  <si>
    <t>PASTA 500 GMS</t>
  </si>
  <si>
    <t>RED SNAPPER FISH</t>
  </si>
  <si>
    <t>VANNILA ESSENCE 40ML</t>
  </si>
  <si>
    <t>EGGS FRESH 360'S (2 CTN -720 Pcs Recvd.)</t>
  </si>
  <si>
    <t>PEACH</t>
  </si>
  <si>
    <t>GUAVA FRUIT</t>
  </si>
  <si>
    <t>2. Authorities and Terminal Fee-</t>
  </si>
  <si>
    <t>Oiler 2</t>
  </si>
  <si>
    <t>ALL PURPOSE FLOUR</t>
  </si>
  <si>
    <t>Oiler 3</t>
  </si>
  <si>
    <t>FENUGREEK LEAVES</t>
  </si>
  <si>
    <t>GREEN PALAK</t>
  </si>
  <si>
    <t>ONION SPRING</t>
  </si>
  <si>
    <t>SWEET POTATO</t>
  </si>
  <si>
    <t xml:space="preserve">Dack Cadet </t>
  </si>
  <si>
    <t>DIGESTIVE BISCUIT</t>
  </si>
  <si>
    <t>FRESH MUSHROOM</t>
  </si>
  <si>
    <t>CARDAMON SMALL(500 GMS) ( ELAICHI )</t>
  </si>
  <si>
    <t>CARDAMON BLACK (500 GMS)</t>
  </si>
  <si>
    <t>ICE CREAM ASSORTED</t>
  </si>
  <si>
    <t>FISH TUNA</t>
  </si>
  <si>
    <t>MILK BISCUIT</t>
  </si>
  <si>
    <t>COCONUT COOKING OIL</t>
  </si>
  <si>
    <t>FISH FRY MASALA</t>
  </si>
  <si>
    <t>DRY MANGO POWDER</t>
  </si>
  <si>
    <t>MUSTARD SAUCE</t>
  </si>
  <si>
    <t xml:space="preserve">AACHI KULAMBU CHILLY </t>
  </si>
  <si>
    <t>KING FISH TENGGIRI</t>
  </si>
  <si>
    <t>KAJU KATLI SWEET</t>
  </si>
  <si>
    <t>KIWI</t>
  </si>
  <si>
    <t>BISCUIT RITZ</t>
  </si>
  <si>
    <t>JUICE RED GRAPE</t>
  </si>
  <si>
    <t>SONA MASURI SHORT GRAIN RICE 25 KG</t>
  </si>
  <si>
    <t>PIZZA SAUCE</t>
  </si>
  <si>
    <t>BAKING SODA</t>
  </si>
  <si>
    <t>BRITANNIA PURE MAGIC CHOCOLUSH</t>
  </si>
  <si>
    <t>FRUIT DRAGON</t>
  </si>
  <si>
    <t>ICING SUGAR</t>
  </si>
  <si>
    <t>LIPTON GREEN TEA</t>
  </si>
  <si>
    <t>CAKE MIX STRAWBERRY</t>
  </si>
  <si>
    <t>CAKE MIX VANILLA</t>
  </si>
  <si>
    <t>VEG PAPAYA GREEN FOR COOKING</t>
  </si>
  <si>
    <t>BOURBON BISCUT</t>
  </si>
  <si>
    <t>SCHEZWAN CHUTNEY</t>
  </si>
  <si>
    <t>CHILLI FLAKES</t>
  </si>
  <si>
    <t>PICKLE CUCUMER</t>
  </si>
  <si>
    <t>GREEN OLIVES WITH SEED</t>
  </si>
  <si>
    <t>HALDIRAM BOONDI PLAIN FOR RAITA (200G)</t>
  </si>
  <si>
    <t>GREEN CHILIS HOT SMALL</t>
  </si>
  <si>
    <t>BARBEQUE SAUCE 500 ML</t>
  </si>
  <si>
    <t>BASMATI RICE - INDIA GATE</t>
  </si>
  <si>
    <t>BLACK PAPPER WHOLE</t>
  </si>
  <si>
    <t>BREAD CRUMBS</t>
  </si>
  <si>
    <t>TEA BAG LIPTON / WAGH BAKRI MASALA</t>
  </si>
  <si>
    <t>URAD DAL WHITE</t>
  </si>
  <si>
    <t>WHOLE MOONG GREEN</t>
  </si>
  <si>
    <t>SWEET CORN FRESH</t>
  </si>
  <si>
    <t>TOPPING FRESH CREAM FOR CAKE / MILLAC ROSELLE SUPREME CONFECTIONARY TOPPING</t>
  </si>
  <si>
    <t>BRITANIA NUTRI CHOICE OATS / CHO &amp; ALMOND BISCUIT</t>
  </si>
  <si>
    <t>CHOCOLATE CAKE MIX(400 GMS)</t>
  </si>
  <si>
    <t>COCO POWDER</t>
  </si>
  <si>
    <t>COCONUT DESICCATED</t>
  </si>
  <si>
    <t>GUAVA JUICE</t>
  </si>
  <si>
    <t>JAM, PINEAPPLE (300 GMS)</t>
  </si>
  <si>
    <t>MOONG DAL YELLOW</t>
  </si>
  <si>
    <t>NUTTELLA (400GMS)</t>
  </si>
  <si>
    <t>OLIVE WHOLE BLACK</t>
  </si>
  <si>
    <t xml:space="preserve">PONNI RICE / IDLY RICE </t>
  </si>
  <si>
    <t>COOKING OIL SUNFLOWER</t>
  </si>
  <si>
    <t xml:space="preserve">SPEGETTI </t>
  </si>
  <si>
    <t>FRENCH FRIES BIG SIZE</t>
  </si>
  <si>
    <t>DONUTS</t>
  </si>
  <si>
    <t>DALDA</t>
  </si>
  <si>
    <t>CHILLI GARLIC SAUCE</t>
  </si>
  <si>
    <t>OREGANO</t>
  </si>
  <si>
    <t xml:space="preserve">SUGAR </t>
  </si>
  <si>
    <t xml:space="preserve">MINERAL WATER </t>
  </si>
  <si>
    <t>1. Transportation + boat-</t>
  </si>
  <si>
    <t>LOPSTORS FISH</t>
  </si>
  <si>
    <t>UNIT AED</t>
  </si>
  <si>
    <t>Trainee General Steward</t>
  </si>
  <si>
    <t>UNIT SGD</t>
  </si>
  <si>
    <t>HALDIRAM ALL IN ONE 200 GRMS</t>
  </si>
  <si>
    <t>HALDIRAM KHATTA MEETHA 150 GRMS</t>
  </si>
  <si>
    <t>FROZEN LADY FINGER</t>
  </si>
  <si>
    <t>VIRGIN OLIVE OIL BTL 1 LTR</t>
  </si>
  <si>
    <t>VINEGAR</t>
  </si>
  <si>
    <t>BOONDI LADOO</t>
  </si>
  <si>
    <t>NESCAFE CLASSIC 200g</t>
  </si>
  <si>
    <t>PINE NUTS WITHOUT SHELL</t>
  </si>
  <si>
    <t>CADBURY DAIRY MILK 130gm</t>
  </si>
  <si>
    <t>CHOCOLATE MARS 51g</t>
  </si>
  <si>
    <t>CHOCOLATE SNICKERS 45g</t>
  </si>
  <si>
    <t>01.12.2025</t>
  </si>
  <si>
    <t>31.12.2025</t>
  </si>
  <si>
    <t>Adtnl CO</t>
  </si>
  <si>
    <t>2nd Officer</t>
  </si>
  <si>
    <t>06.12.2025</t>
  </si>
  <si>
    <t>07.12.2025</t>
  </si>
  <si>
    <t xml:space="preserve"> 1 Agent at disport</t>
  </si>
  <si>
    <t>20.12.2025</t>
  </si>
  <si>
    <t>18.12.2025</t>
  </si>
  <si>
    <t>2 Surveyor and 1 sampling person at load port TB Indonesia</t>
  </si>
  <si>
    <t>Vessel Name</t>
  </si>
  <si>
    <t>Master name</t>
  </si>
  <si>
    <t>Number of meals</t>
  </si>
  <si>
    <t>Onboard for full month calcuate as per the crew list onbaord</t>
  </si>
  <si>
    <t>Manually 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</si>
</sst>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[$-409]mmmm\-yy;@"/>
    <numFmt numFmtId="167" formatCode="[$USD]\ #,##0.00"/>
    <numFmt numFmtId="168" formatCode="0.0"/>
    <numFmt numFmtId="169" formatCode="dd/mm/yy;@"/>
    <numFmt numFmtId="170" formatCode="dd\.mm\.yyyy;@"/>
    <numFmt numFmtId="171" formatCode="&quot;$&quot;#,##0.00"/>
    <numFmt numFmtId="172" formatCode="&quot;kr&quot;\ #,##0;[Red]&quot;kr&quot;\ \-#,##0"/>
    <numFmt numFmtId="173" formatCode="&quot;kr&quot;\ #,##0.00;[Red]&quot;kr&quot;\ \-#,##0.00"/>
    <numFmt numFmtId="174" formatCode="dd/mm/yyyy;@"/>
    <numFmt numFmtId="175" formatCode="0.000"/>
    <numFmt numFmtId="176" formatCode="0.00;[Red]0.00"/>
  </numFmts>
  <fonts count="4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0" tint="-0.14999847407452621"/>
      <name val="Arial"/>
      <family val="2"/>
    </font>
    <font>
      <sz val="10"/>
      <color rgb="FFFF0000"/>
      <name val="Arial"/>
      <family val="2"/>
    </font>
    <font>
      <sz val="10"/>
      <color rgb="FF0000FF"/>
      <name val="Arial"/>
      <family val="2"/>
    </font>
    <font>
      <b/>
      <u/>
      <sz val="10"/>
      <color indexed="12"/>
      <name val="Arial"/>
      <family val="2"/>
    </font>
    <font>
      <b/>
      <sz val="11"/>
      <name val="Calibri"/>
      <family val="2"/>
    </font>
    <font>
      <b/>
      <sz val="9"/>
      <name val="Calibri"/>
      <family val="2"/>
    </font>
    <font>
      <u/>
      <sz val="10"/>
      <name val="Arial"/>
      <family val="2"/>
    </font>
    <font>
      <b/>
      <sz val="12"/>
      <name val="Arial"/>
      <family val="2"/>
    </font>
    <font>
      <sz val="8"/>
      <color theme="0" tint="-0.14999847407452621"/>
      <name val="Arial"/>
      <family val="2"/>
    </font>
    <font>
      <b/>
      <sz val="10"/>
      <color rgb="FFFF0000"/>
      <name val="Arial"/>
      <family val="2"/>
    </font>
    <font>
      <sz val="10"/>
      <color indexed="9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9"/>
      <name val="Arial"/>
      <family val="2"/>
    </font>
    <font>
      <sz val="10"/>
      <name val="Lucida Calligraphy"/>
      <family val="4"/>
    </font>
    <font>
      <b/>
      <u/>
      <sz val="12"/>
      <name val="Arial"/>
      <family val="2"/>
    </font>
    <font>
      <b/>
      <u/>
      <sz val="11"/>
      <name val="Arial"/>
      <family val="2"/>
    </font>
    <font>
      <sz val="12"/>
      <name val="Times New Roman"/>
      <family val="1"/>
    </font>
    <font>
      <sz val="9"/>
      <name val="Times New Roman"/>
      <family val="1"/>
    </font>
    <font>
      <sz val="12"/>
      <color rgb="FFFF0000"/>
      <name val="Times New Roman"/>
      <family val="1"/>
    </font>
    <font>
      <sz val="10"/>
      <name val="Times New Roman"/>
      <family val="1"/>
    </font>
    <font>
      <sz val="10"/>
      <name val="MS Sans Serif"/>
      <family val="2"/>
    </font>
    <font>
      <sz val="8"/>
      <name val="Arial"/>
      <family val="2"/>
    </font>
    <font>
      <b/>
      <sz val="14"/>
      <name val="Freestyle Script"/>
      <family val="4"/>
    </font>
    <font>
      <b/>
      <sz val="8"/>
      <name val="Arial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b/>
      <sz val="10"/>
      <name val="Times New Roman"/>
      <family val="1"/>
    </font>
    <font>
      <sz val="10"/>
      <color rgb="FF000000"/>
      <name val="Arial"/>
      <family val="2"/>
    </font>
    <font>
      <sz val="11"/>
      <color rgb="FF000000"/>
      <name val="Calibri"/>
      <family val="2"/>
      <charset val="204"/>
    </font>
    <font>
      <sz val="10"/>
      <color rgb="FF000000"/>
      <name val="Aptos"/>
      <family val="2"/>
    </font>
    <font>
      <sz val="11"/>
      <name val="굴림"/>
      <family val="2"/>
    </font>
    <font>
      <sz val="8"/>
      <color rgb="FF000000"/>
      <name val="Arial"/>
      <family val="2"/>
    </font>
    <font>
      <b/>
      <sz val="8"/>
      <color theme="0" tint="-0.14999847407452621"/>
      <name val="Arial"/>
      <family val="2"/>
    </font>
    <font>
      <sz val="8"/>
      <name val="Times New Roman"/>
      <family val="1"/>
    </font>
    <font>
      <b/>
      <sz val="9"/>
      <name val="Arial"/>
      <family val="2"/>
    </font>
    <font>
      <sz val="9"/>
      <color rgb="FF000000"/>
      <name val="Arial"/>
      <family val="2"/>
    </font>
    <font>
      <sz val="1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7">
    <xf numFmtId="0" fontId="0" fillId="0" borderId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6" fillId="0" borderId="0"/>
    <xf numFmtId="0" fontId="4" fillId="0" borderId="0"/>
    <xf numFmtId="0" fontId="26" fillId="0" borderId="0"/>
    <xf numFmtId="0" fontId="2" fillId="0" borderId="0"/>
    <xf numFmtId="38" fontId="27" fillId="0" borderId="0" applyFont="0" applyFill="0" applyBorder="0" applyAlignment="0" applyProtection="0"/>
    <xf numFmtId="40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64" fontId="31" fillId="0" borderId="0" applyFont="0" applyFill="0" applyBorder="0" applyAlignment="0" applyProtection="0"/>
    <xf numFmtId="0" fontId="35" fillId="0" borderId="0"/>
    <xf numFmtId="0" fontId="1" fillId="0" borderId="0"/>
    <xf numFmtId="9" fontId="1" fillId="0" borderId="0" applyFont="0" applyFill="0" applyBorder="0" applyAlignment="0" applyProtection="0"/>
    <xf numFmtId="0" fontId="37" fillId="0" borderId="0"/>
  </cellStyleXfs>
  <cellXfs count="269">
    <xf numFmtId="0" fontId="0" fillId="0" borderId="0" xfId="0"/>
    <xf numFmtId="0" fontId="4" fillId="0" borderId="0" xfId="0" applyFont="1"/>
    <xf numFmtId="0" fontId="3" fillId="0" borderId="0" xfId="0" applyFont="1"/>
    <xf numFmtId="0" fontId="5" fillId="0" borderId="0" xfId="0" applyFont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167" fontId="0" fillId="0" borderId="8" xfId="0" applyNumberFormat="1" applyBorder="1" applyAlignment="1">
      <alignment horizontal="center"/>
    </xf>
    <xf numFmtId="0" fontId="0" fillId="0" borderId="9" xfId="0" applyBorder="1"/>
    <xf numFmtId="167" fontId="0" fillId="0" borderId="10" xfId="0" applyNumberFormat="1" applyBorder="1"/>
    <xf numFmtId="167" fontId="0" fillId="0" borderId="11" xfId="0" applyNumberFormat="1" applyBorder="1"/>
    <xf numFmtId="167" fontId="0" fillId="0" borderId="0" xfId="0" applyNumberFormat="1"/>
    <xf numFmtId="167" fontId="0" fillId="0" borderId="10" xfId="0" applyNumberFormat="1" applyBorder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15" fontId="8" fillId="0" borderId="0" xfId="0" applyNumberFormat="1" applyFont="1"/>
    <xf numFmtId="167" fontId="0" fillId="0" borderId="13" xfId="0" applyNumberFormat="1" applyBorder="1"/>
    <xf numFmtId="0" fontId="0" fillId="0" borderId="14" xfId="0" applyBorder="1"/>
    <xf numFmtId="0" fontId="0" fillId="0" borderId="1" xfId="0" applyBorder="1"/>
    <xf numFmtId="0" fontId="4" fillId="0" borderId="1" xfId="0" applyFont="1" applyBorder="1"/>
    <xf numFmtId="0" fontId="0" fillId="0" borderId="15" xfId="0" applyBorder="1"/>
    <xf numFmtId="167" fontId="0" fillId="0" borderId="16" xfId="0" applyNumberFormat="1" applyBorder="1"/>
    <xf numFmtId="0" fontId="0" fillId="0" borderId="17" xfId="0" applyBorder="1"/>
    <xf numFmtId="167" fontId="9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4" fillId="0" borderId="20" xfId="0" applyFont="1" applyBorder="1"/>
    <xf numFmtId="0" fontId="0" fillId="0" borderId="21" xfId="0" applyBorder="1"/>
    <xf numFmtId="17" fontId="0" fillId="0" borderId="0" xfId="0" applyNumberFormat="1"/>
    <xf numFmtId="0" fontId="0" fillId="0" borderId="19" xfId="0" applyBorder="1" applyAlignment="1">
      <alignment horizontal="left"/>
    </xf>
    <xf numFmtId="0" fontId="0" fillId="0" borderId="20" xfId="0" applyBorder="1" applyAlignment="1">
      <alignment horizontal="left"/>
    </xf>
    <xf numFmtId="0" fontId="12" fillId="0" borderId="1" xfId="0" applyFont="1" applyBorder="1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2" fontId="14" fillId="0" borderId="0" xfId="0" applyNumberFormat="1" applyFont="1" applyAlignment="1">
      <alignment horizontal="center"/>
    </xf>
    <xf numFmtId="0" fontId="4" fillId="0" borderId="0" xfId="0" applyFont="1" applyAlignment="1">
      <alignment wrapText="1"/>
    </xf>
    <xf numFmtId="0" fontId="4" fillId="3" borderId="0" xfId="0" applyFont="1" applyFill="1"/>
    <xf numFmtId="2" fontId="4" fillId="0" borderId="24" xfId="0" applyNumberFormat="1" applyFont="1" applyBorder="1" applyAlignment="1">
      <alignment horizontal="center"/>
    </xf>
    <xf numFmtId="2" fontId="4" fillId="4" borderId="24" xfId="0" applyNumberFormat="1" applyFont="1" applyFill="1" applyBorder="1" applyAlignment="1">
      <alignment horizontal="center"/>
    </xf>
    <xf numFmtId="2" fontId="4" fillId="5" borderId="24" xfId="0" applyNumberFormat="1" applyFont="1" applyFill="1" applyBorder="1" applyAlignment="1">
      <alignment horizontal="center"/>
    </xf>
    <xf numFmtId="2" fontId="4" fillId="6" borderId="24" xfId="0" applyNumberFormat="1" applyFont="1" applyFill="1" applyBorder="1" applyAlignment="1">
      <alignment horizontal="center"/>
    </xf>
    <xf numFmtId="2" fontId="4" fillId="7" borderId="24" xfId="0" applyNumberFormat="1" applyFont="1" applyFill="1" applyBorder="1" applyAlignment="1">
      <alignment horizontal="center"/>
    </xf>
    <xf numFmtId="2" fontId="4" fillId="0" borderId="24" xfId="0" applyNumberFormat="1" applyFont="1" applyBorder="1" applyAlignment="1" applyProtection="1">
      <alignment horizontal="center"/>
      <protection locked="0"/>
    </xf>
    <xf numFmtId="2" fontId="4" fillId="0" borderId="0" xfId="0" applyNumberFormat="1" applyFont="1" applyAlignment="1">
      <alignment horizontal="center"/>
    </xf>
    <xf numFmtId="0" fontId="4" fillId="0" borderId="24" xfId="0" applyFont="1" applyBorder="1"/>
    <xf numFmtId="2" fontId="4" fillId="0" borderId="28" xfId="0" applyNumberFormat="1" applyFont="1" applyBorder="1" applyAlignment="1" applyProtection="1">
      <alignment horizontal="center"/>
      <protection locked="0"/>
    </xf>
    <xf numFmtId="2" fontId="4" fillId="0" borderId="28" xfId="0" applyNumberFormat="1" applyFont="1" applyBorder="1" applyAlignment="1">
      <alignment horizontal="center"/>
    </xf>
    <xf numFmtId="0" fontId="4" fillId="0" borderId="24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4" fillId="0" borderId="24" xfId="0" applyFont="1" applyBorder="1" applyAlignment="1">
      <alignment horizontal="left" vertical="center"/>
    </xf>
    <xf numFmtId="0" fontId="18" fillId="0" borderId="0" xfId="0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169" fontId="4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0" fillId="0" borderId="24" xfId="0" applyBorder="1" applyAlignment="1">
      <alignment horizontal="center" vertical="center" wrapText="1"/>
    </xf>
    <xf numFmtId="0" fontId="23" fillId="0" borderId="0" xfId="0" applyFont="1"/>
    <xf numFmtId="0" fontId="24" fillId="0" borderId="0" xfId="0" applyFont="1" applyAlignment="1">
      <alignment horizontal="center"/>
    </xf>
    <xf numFmtId="2" fontId="24" fillId="0" borderId="0" xfId="0" applyNumberFormat="1" applyFont="1" applyAlignment="1">
      <alignment horizontal="right"/>
    </xf>
    <xf numFmtId="0" fontId="24" fillId="0" borderId="0" xfId="0" applyFont="1"/>
    <xf numFmtId="0" fontId="25" fillId="0" borderId="0" xfId="0" applyFont="1"/>
    <xf numFmtId="0" fontId="26" fillId="0" borderId="24" xfId="0" applyFont="1" applyBorder="1" applyAlignment="1">
      <alignment horizontal="center"/>
    </xf>
    <xf numFmtId="0" fontId="24" fillId="9" borderId="24" xfId="0" applyFont="1" applyFill="1" applyBorder="1"/>
    <xf numFmtId="0" fontId="24" fillId="9" borderId="24" xfId="0" applyFont="1" applyFill="1" applyBorder="1" applyAlignment="1">
      <alignment horizontal="center"/>
    </xf>
    <xf numFmtId="2" fontId="26" fillId="8" borderId="24" xfId="0" applyNumberFormat="1" applyFont="1" applyFill="1" applyBorder="1" applyAlignment="1">
      <alignment horizontal="center"/>
    </xf>
    <xf numFmtId="0" fontId="26" fillId="0" borderId="24" xfId="0" applyFont="1" applyBorder="1"/>
    <xf numFmtId="2" fontId="26" fillId="0" borderId="24" xfId="0" applyNumberFormat="1" applyFont="1" applyBorder="1" applyAlignment="1">
      <alignment horizontal="right"/>
    </xf>
    <xf numFmtId="2" fontId="26" fillId="0" borderId="24" xfId="0" applyNumberFormat="1" applyFont="1" applyBorder="1" applyAlignment="1">
      <alignment horizontal="center"/>
    </xf>
    <xf numFmtId="1" fontId="13" fillId="0" borderId="24" xfId="0" applyNumberFormat="1" applyFont="1" applyBorder="1" applyAlignment="1">
      <alignment horizontal="center" vertical="center"/>
    </xf>
    <xf numFmtId="0" fontId="12" fillId="0" borderId="0" xfId="0" applyFont="1"/>
    <xf numFmtId="0" fontId="4" fillId="0" borderId="24" xfId="0" applyFont="1" applyBorder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right"/>
    </xf>
    <xf numFmtId="1" fontId="0" fillId="0" borderId="32" xfId="0" applyNumberFormat="1" applyBorder="1" applyAlignment="1">
      <alignment horizontal="center"/>
    </xf>
    <xf numFmtId="1" fontId="0" fillId="0" borderId="33" xfId="0" applyNumberFormat="1" applyBorder="1" applyAlignment="1">
      <alignment horizontal="center"/>
    </xf>
    <xf numFmtId="1" fontId="0" fillId="0" borderId="34" xfId="0" applyNumberFormat="1" applyBorder="1" applyAlignment="1">
      <alignment horizontal="center"/>
    </xf>
    <xf numFmtId="2" fontId="30" fillId="0" borderId="0" xfId="0" applyNumberFormat="1" applyFont="1" applyAlignment="1">
      <alignment horizontal="center"/>
    </xf>
    <xf numFmtId="0" fontId="29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Alignment="1">
      <alignment wrapText="1"/>
    </xf>
    <xf numFmtId="0" fontId="19" fillId="0" borderId="7" xfId="0" applyFont="1" applyBorder="1" applyAlignment="1">
      <alignment vertical="center" wrapText="1"/>
    </xf>
    <xf numFmtId="167" fontId="0" fillId="0" borderId="8" xfId="0" applyNumberFormat="1" applyBorder="1" applyAlignment="1">
      <alignment horizontal="left"/>
    </xf>
    <xf numFmtId="167" fontId="0" fillId="0" borderId="12" xfId="0" applyNumberFormat="1" applyBorder="1" applyAlignment="1">
      <alignment horizontal="left"/>
    </xf>
    <xf numFmtId="0" fontId="4" fillId="10" borderId="24" xfId="0" applyFont="1" applyFill="1" applyBorder="1" applyAlignment="1">
      <alignment horizontal="center" vertical="center"/>
    </xf>
    <xf numFmtId="0" fontId="0" fillId="10" borderId="24" xfId="0" applyFill="1" applyBorder="1" applyAlignment="1">
      <alignment horizontal="center" vertical="center"/>
    </xf>
    <xf numFmtId="166" fontId="8" fillId="0" borderId="0" xfId="0" applyNumberFormat="1" applyFont="1" applyAlignment="1">
      <alignment horizontal="left"/>
    </xf>
    <xf numFmtId="2" fontId="4" fillId="2" borderId="24" xfId="0" applyNumberFormat="1" applyFont="1" applyFill="1" applyBorder="1" applyAlignment="1">
      <alignment horizontal="center"/>
    </xf>
    <xf numFmtId="2" fontId="4" fillId="3" borderId="0" xfId="0" applyNumberFormat="1" applyFont="1" applyFill="1" applyAlignment="1">
      <alignment horizontal="center"/>
    </xf>
    <xf numFmtId="2" fontId="17" fillId="4" borderId="24" xfId="0" applyNumberFormat="1" applyFont="1" applyFill="1" applyBorder="1" applyAlignment="1">
      <alignment horizontal="center"/>
    </xf>
    <xf numFmtId="2" fontId="16" fillId="4" borderId="24" xfId="0" applyNumberFormat="1" applyFont="1" applyFill="1" applyBorder="1" applyAlignment="1" applyProtection="1">
      <alignment horizontal="center"/>
      <protection locked="0"/>
    </xf>
    <xf numFmtId="2" fontId="4" fillId="3" borderId="28" xfId="0" applyNumberFormat="1" applyFont="1" applyFill="1" applyBorder="1" applyAlignment="1" applyProtection="1">
      <alignment horizontal="center"/>
      <protection locked="0"/>
    </xf>
    <xf numFmtId="2" fontId="4" fillId="0" borderId="0" xfId="0" applyNumberFormat="1" applyFont="1" applyAlignment="1">
      <alignment horizontal="center" vertical="top"/>
    </xf>
    <xf numFmtId="2" fontId="14" fillId="0" borderId="0" xfId="12" applyNumberFormat="1" applyFont="1" applyAlignment="1">
      <alignment horizontal="center"/>
    </xf>
    <xf numFmtId="2" fontId="4" fillId="3" borderId="24" xfId="0" applyNumberFormat="1" applyFont="1" applyFill="1" applyBorder="1" applyAlignment="1" applyProtection="1">
      <alignment horizontal="center"/>
      <protection locked="0"/>
    </xf>
    <xf numFmtId="2" fontId="16" fillId="2" borderId="24" xfId="0" applyNumberFormat="1" applyFont="1" applyFill="1" applyBorder="1" applyAlignment="1" applyProtection="1">
      <alignment horizontal="center"/>
      <protection locked="0"/>
    </xf>
    <xf numFmtId="2" fontId="16" fillId="4" borderId="24" xfId="0" applyNumberFormat="1" applyFont="1" applyFill="1" applyBorder="1" applyAlignment="1" applyProtection="1">
      <alignment horizontal="right"/>
      <protection locked="0"/>
    </xf>
    <xf numFmtId="175" fontId="4" fillId="4" borderId="24" xfId="0" applyNumberFormat="1" applyFont="1" applyFill="1" applyBorder="1" applyAlignment="1" applyProtection="1">
      <alignment horizontal="right"/>
      <protection locked="0"/>
    </xf>
    <xf numFmtId="176" fontId="16" fillId="4" borderId="24" xfId="0" applyNumberFormat="1" applyFont="1" applyFill="1" applyBorder="1" applyAlignment="1" applyProtection="1">
      <alignment horizontal="right"/>
      <protection locked="0"/>
    </xf>
    <xf numFmtId="2" fontId="4" fillId="0" borderId="29" xfId="0" applyNumberFormat="1" applyFont="1" applyBorder="1" applyAlignment="1">
      <alignment horizontal="center" vertical="center"/>
    </xf>
    <xf numFmtId="16" fontId="0" fillId="0" borderId="0" xfId="0" applyNumberFormat="1" applyAlignment="1">
      <alignment vertical="center"/>
    </xf>
    <xf numFmtId="0" fontId="4" fillId="8" borderId="0" xfId="0" applyFont="1" applyFill="1"/>
    <xf numFmtId="0" fontId="4" fillId="8" borderId="0" xfId="0" applyFont="1" applyFill="1" applyAlignment="1">
      <alignment horizontal="center"/>
    </xf>
    <xf numFmtId="2" fontId="4" fillId="8" borderId="0" xfId="0" applyNumberFormat="1" applyFont="1" applyFill="1" applyAlignment="1">
      <alignment horizontal="center"/>
    </xf>
    <xf numFmtId="2" fontId="15" fillId="8" borderId="0" xfId="0" applyNumberFormat="1" applyFont="1" applyFill="1"/>
    <xf numFmtId="0" fontId="4" fillId="8" borderId="25" xfId="0" applyFont="1" applyFill="1" applyBorder="1" applyAlignment="1">
      <alignment horizontal="center"/>
    </xf>
    <xf numFmtId="0" fontId="4" fillId="8" borderId="24" xfId="0" applyFont="1" applyFill="1" applyBorder="1" applyAlignment="1">
      <alignment horizontal="center"/>
    </xf>
    <xf numFmtId="2" fontId="4" fillId="8" borderId="24" xfId="0" applyNumberFormat="1" applyFont="1" applyFill="1" applyBorder="1" applyAlignment="1">
      <alignment horizontal="center"/>
    </xf>
    <xf numFmtId="2" fontId="4" fillId="8" borderId="24" xfId="0" applyNumberFormat="1" applyFont="1" applyFill="1" applyBorder="1" applyAlignment="1" applyProtection="1">
      <alignment horizontal="center"/>
      <protection locked="0"/>
    </xf>
    <xf numFmtId="2" fontId="30" fillId="8" borderId="0" xfId="0" applyNumberFormat="1" applyFont="1" applyFill="1" applyAlignment="1">
      <alignment horizontal="center"/>
    </xf>
    <xf numFmtId="174" fontId="4" fillId="8" borderId="24" xfId="0" applyNumberFormat="1" applyFont="1" applyFill="1" applyBorder="1" applyAlignment="1">
      <alignment horizontal="center" vertical="center"/>
    </xf>
    <xf numFmtId="0" fontId="33" fillId="8" borderId="0" xfId="0" applyFont="1" applyFill="1" applyAlignment="1">
      <alignment horizontal="center" vertical="top"/>
    </xf>
    <xf numFmtId="0" fontId="0" fillId="8" borderId="0" xfId="0" applyFill="1" applyAlignment="1">
      <alignment horizontal="left"/>
    </xf>
    <xf numFmtId="0" fontId="4" fillId="8" borderId="0" xfId="0" applyFont="1" applyFill="1" applyAlignment="1">
      <alignment horizontal="left" vertical="center"/>
    </xf>
    <xf numFmtId="0" fontId="33" fillId="8" borderId="0" xfId="0" applyFont="1" applyFill="1" applyAlignment="1">
      <alignment vertical="center" wrapText="1"/>
    </xf>
    <xf numFmtId="0" fontId="33" fillId="8" borderId="0" xfId="0" applyFont="1" applyFill="1" applyAlignment="1">
      <alignment horizontal="center" vertical="center" wrapText="1"/>
    </xf>
    <xf numFmtId="0" fontId="33" fillId="8" borderId="0" xfId="0" applyFont="1" applyFill="1" applyAlignment="1">
      <alignment vertical="center"/>
    </xf>
    <xf numFmtId="0" fontId="33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26" fillId="8" borderId="24" xfId="0" applyFont="1" applyFill="1" applyBorder="1" applyAlignment="1" applyProtection="1">
      <alignment horizontal="center"/>
      <protection locked="0"/>
    </xf>
    <xf numFmtId="0" fontId="26" fillId="8" borderId="24" xfId="0" applyFont="1" applyFill="1" applyBorder="1"/>
    <xf numFmtId="0" fontId="26" fillId="3" borderId="24" xfId="0" applyFont="1" applyFill="1" applyBorder="1" applyAlignment="1">
      <alignment horizontal="center"/>
    </xf>
    <xf numFmtId="0" fontId="26" fillId="0" borderId="24" xfId="0" applyFont="1" applyBorder="1" applyProtection="1">
      <protection locked="0"/>
    </xf>
    <xf numFmtId="167" fontId="0" fillId="8" borderId="10" xfId="0" applyNumberFormat="1" applyFill="1" applyBorder="1"/>
    <xf numFmtId="167" fontId="0" fillId="8" borderId="8" xfId="0" applyNumberFormat="1" applyFill="1" applyBorder="1" applyAlignment="1">
      <alignment horizontal="left"/>
    </xf>
    <xf numFmtId="2" fontId="4" fillId="0" borderId="0" xfId="0" applyNumberFormat="1" applyFont="1"/>
    <xf numFmtId="2" fontId="17" fillId="0" borderId="0" xfId="0" applyNumberFormat="1" applyFont="1" applyAlignment="1">
      <alignment horizontal="center"/>
    </xf>
    <xf numFmtId="0" fontId="4" fillId="8" borderId="24" xfId="0" applyFont="1" applyFill="1" applyBorder="1" applyAlignment="1">
      <alignment horizontal="left" vertical="center"/>
    </xf>
    <xf numFmtId="0" fontId="4" fillId="0" borderId="0" xfId="0" applyFont="1" applyAlignment="1">
      <alignment horizontal="center"/>
    </xf>
    <xf numFmtId="2" fontId="6" fillId="0" borderId="0" xfId="0" applyNumberFormat="1" applyFont="1" applyAlignment="1">
      <alignment horizontal="center"/>
    </xf>
    <xf numFmtId="0" fontId="34" fillId="8" borderId="24" xfId="0" applyFont="1" applyFill="1" applyBorder="1" applyAlignment="1">
      <alignment horizontal="center" vertical="top"/>
    </xf>
    <xf numFmtId="0" fontId="0" fillId="8" borderId="0" xfId="0" applyFill="1" applyAlignment="1">
      <alignment vertical="center"/>
    </xf>
    <xf numFmtId="0" fontId="0" fillId="0" borderId="13" xfId="0" applyBorder="1" applyAlignment="1">
      <alignment horizontal="center" vertical="center"/>
    </xf>
    <xf numFmtId="2" fontId="4" fillId="8" borderId="24" xfId="0" applyNumberFormat="1" applyFont="1" applyFill="1" applyBorder="1" applyAlignment="1">
      <alignment horizontal="center" vertical="center"/>
    </xf>
    <xf numFmtId="0" fontId="36" fillId="8" borderId="24" xfId="13" applyFont="1" applyFill="1" applyBorder="1" applyAlignment="1">
      <alignment horizontal="left" vertical="top"/>
    </xf>
    <xf numFmtId="2" fontId="0" fillId="8" borderId="24" xfId="0" applyNumberFormat="1" applyFill="1" applyBorder="1" applyAlignment="1">
      <alignment horizontal="center" vertical="center"/>
    </xf>
    <xf numFmtId="0" fontId="36" fillId="8" borderId="24" xfId="13" applyFont="1" applyFill="1" applyBorder="1" applyAlignment="1">
      <alignment horizontal="left" vertical="top" wrapText="1"/>
    </xf>
    <xf numFmtId="0" fontId="38" fillId="8" borderId="24" xfId="0" applyFont="1" applyFill="1" applyBorder="1" applyAlignment="1">
      <alignment horizontal="left" vertical="top"/>
    </xf>
    <xf numFmtId="2" fontId="39" fillId="0" borderId="0" xfId="0" applyNumberFormat="1" applyFont="1" applyAlignment="1">
      <alignment horizontal="center" vertical="center"/>
    </xf>
    <xf numFmtId="0" fontId="28" fillId="0" borderId="0" xfId="0" applyFont="1" applyAlignment="1">
      <alignment vertical="center" wrapText="1"/>
    </xf>
    <xf numFmtId="0" fontId="28" fillId="0" borderId="0" xfId="0" applyFont="1" applyAlignment="1">
      <alignment horizontal="left" wrapText="1"/>
    </xf>
    <xf numFmtId="0" fontId="0" fillId="0" borderId="30" xfId="0" applyBorder="1" applyAlignment="1">
      <alignment horizontal="center" vertical="center"/>
    </xf>
    <xf numFmtId="0" fontId="4" fillId="0" borderId="39" xfId="0" applyFont="1" applyBorder="1" applyAlignment="1">
      <alignment vertical="center"/>
    </xf>
    <xf numFmtId="171" fontId="4" fillId="0" borderId="40" xfId="0" applyNumberFormat="1" applyFont="1" applyBorder="1" applyAlignment="1">
      <alignment horizontal="center" vertical="center"/>
    </xf>
    <xf numFmtId="171" fontId="0" fillId="0" borderId="38" xfId="0" applyNumberFormat="1" applyBorder="1" applyAlignment="1">
      <alignment horizontal="center" vertical="center"/>
    </xf>
    <xf numFmtId="168" fontId="26" fillId="8" borderId="24" xfId="0" applyNumberFormat="1" applyFont="1" applyFill="1" applyBorder="1" applyAlignment="1" applyProtection="1">
      <alignment horizontal="center"/>
      <protection locked="0"/>
    </xf>
    <xf numFmtId="2" fontId="26" fillId="8" borderId="24" xfId="0" applyNumberFormat="1" applyFont="1" applyFill="1" applyBorder="1" applyAlignment="1" applyProtection="1">
      <alignment horizontal="right"/>
      <protection locked="0"/>
    </xf>
    <xf numFmtId="171" fontId="0" fillId="0" borderId="41" xfId="0" applyNumberFormat="1" applyBorder="1" applyAlignment="1">
      <alignment horizontal="center" vertical="center"/>
    </xf>
    <xf numFmtId="0" fontId="0" fillId="2" borderId="0" xfId="0" applyFill="1"/>
    <xf numFmtId="2" fontId="16" fillId="8" borderId="24" xfId="0" applyNumberFormat="1" applyFont="1" applyFill="1" applyBorder="1" applyAlignment="1" applyProtection="1">
      <alignment horizontal="right"/>
      <protection locked="0"/>
    </xf>
    <xf numFmtId="175" fontId="4" fillId="8" borderId="24" xfId="0" applyNumberFormat="1" applyFont="1" applyFill="1" applyBorder="1" applyAlignment="1" applyProtection="1">
      <alignment horizontal="right"/>
      <protection locked="0"/>
    </xf>
    <xf numFmtId="176" fontId="16" fillId="8" borderId="24" xfId="0" applyNumberFormat="1" applyFont="1" applyFill="1" applyBorder="1" applyAlignment="1" applyProtection="1">
      <alignment horizontal="right"/>
      <protection locked="0"/>
    </xf>
    <xf numFmtId="0" fontId="0" fillId="8" borderId="0" xfId="0" applyFill="1"/>
    <xf numFmtId="0" fontId="4" fillId="0" borderId="24" xfId="0" applyFont="1" applyBorder="1" applyAlignment="1">
      <alignment vertical="center"/>
    </xf>
    <xf numFmtId="0" fontId="26" fillId="8" borderId="24" xfId="0" applyFont="1" applyFill="1" applyBorder="1" applyAlignment="1">
      <alignment horizontal="center"/>
    </xf>
    <xf numFmtId="0" fontId="4" fillId="0" borderId="0" xfId="0" applyFont="1" applyAlignment="1">
      <alignment horizontal="left" vertical="center"/>
    </xf>
    <xf numFmtId="167" fontId="0" fillId="2" borderId="10" xfId="0" applyNumberFormat="1" applyFill="1" applyBorder="1"/>
    <xf numFmtId="167" fontId="0" fillId="2" borderId="8" xfId="0" applyNumberFormat="1" applyFill="1" applyBorder="1"/>
    <xf numFmtId="167" fontId="0" fillId="2" borderId="12" xfId="0" applyNumberFormat="1" applyFill="1" applyBorder="1"/>
    <xf numFmtId="0" fontId="4" fillId="8" borderId="26" xfId="0" applyFont="1" applyFill="1" applyBorder="1" applyAlignment="1">
      <alignment horizontal="center"/>
    </xf>
    <xf numFmtId="2" fontId="4" fillId="7" borderId="41" xfId="0" applyNumberFormat="1" applyFont="1" applyFill="1" applyBorder="1" applyAlignment="1">
      <alignment horizontal="center" vertical="center"/>
    </xf>
    <xf numFmtId="2" fontId="4" fillId="7" borderId="41" xfId="0" applyNumberFormat="1" applyFont="1" applyFill="1" applyBorder="1" applyAlignment="1">
      <alignment horizontal="center"/>
    </xf>
    <xf numFmtId="0" fontId="36" fillId="0" borderId="27" xfId="13" applyFont="1" applyBorder="1" applyAlignment="1">
      <alignment vertical="top"/>
    </xf>
    <xf numFmtId="2" fontId="4" fillId="0" borderId="41" xfId="0" applyNumberFormat="1" applyFont="1" applyBorder="1" applyAlignment="1">
      <alignment horizontal="center" vertical="center"/>
    </xf>
    <xf numFmtId="0" fontId="4" fillId="8" borderId="28" xfId="0" applyFont="1" applyFill="1" applyBorder="1" applyAlignment="1">
      <alignment horizontal="center"/>
    </xf>
    <xf numFmtId="2" fontId="4" fillId="8" borderId="28" xfId="0" applyNumberFormat="1" applyFont="1" applyFill="1" applyBorder="1" applyAlignment="1" applyProtection="1">
      <alignment horizontal="center"/>
      <protection locked="0"/>
    </xf>
    <xf numFmtId="2" fontId="4" fillId="8" borderId="28" xfId="0" applyNumberFormat="1" applyFont="1" applyFill="1" applyBorder="1" applyAlignment="1">
      <alignment horizontal="center"/>
    </xf>
    <xf numFmtId="2" fontId="4" fillId="0" borderId="24" xfId="0" applyNumberFormat="1" applyFont="1" applyBorder="1" applyAlignment="1" applyProtection="1">
      <alignment horizontal="center" wrapText="1"/>
      <protection locked="0"/>
    </xf>
    <xf numFmtId="0" fontId="4" fillId="8" borderId="27" xfId="0" applyFont="1" applyFill="1" applyBorder="1"/>
    <xf numFmtId="0" fontId="36" fillId="0" borderId="27" xfId="13" applyFont="1" applyBorder="1" applyAlignment="1">
      <alignment vertical="top" wrapText="1"/>
    </xf>
    <xf numFmtId="0" fontId="36" fillId="8" borderId="27" xfId="13" applyFont="1" applyFill="1" applyBorder="1" applyAlignment="1">
      <alignment vertical="top"/>
    </xf>
    <xf numFmtId="0" fontId="36" fillId="8" borderId="27" xfId="13" applyFont="1" applyFill="1" applyBorder="1" applyAlignment="1">
      <alignment vertical="top" wrapText="1"/>
    </xf>
    <xf numFmtId="0" fontId="4" fillId="8" borderId="43" xfId="0" applyFont="1" applyFill="1" applyBorder="1"/>
    <xf numFmtId="0" fontId="19" fillId="0" borderId="24" xfId="0" applyFont="1" applyBorder="1" applyAlignment="1">
      <alignment vertical="center" wrapText="1"/>
    </xf>
    <xf numFmtId="2" fontId="4" fillId="4" borderId="24" xfId="0" applyNumberFormat="1" applyFont="1" applyFill="1" applyBorder="1" applyAlignment="1">
      <alignment horizontal="left"/>
    </xf>
    <xf numFmtId="166" fontId="5" fillId="0" borderId="1" xfId="0" applyNumberFormat="1" applyFont="1" applyBorder="1" applyAlignment="1">
      <alignment horizontal="center"/>
    </xf>
    <xf numFmtId="166" fontId="5" fillId="0" borderId="0" xfId="0" applyNumberFormat="1" applyFont="1" applyAlignment="1">
      <alignment horizontal="center" vertical="center"/>
    </xf>
    <xf numFmtId="0" fontId="43" fillId="0" borderId="24" xfId="0" applyFont="1" applyBorder="1" applyAlignment="1">
      <alignment wrapText="1"/>
    </xf>
    <xf numFmtId="0" fontId="43" fillId="0" borderId="24" xfId="0" applyFont="1" applyBorder="1" applyAlignment="1">
      <alignment vertical="center" wrapText="1"/>
    </xf>
    <xf numFmtId="174" fontId="4" fillId="8" borderId="26" xfId="0" applyNumberFormat="1" applyFont="1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171" fontId="0" fillId="0" borderId="42" xfId="0" applyNumberFormat="1" applyBorder="1" applyAlignment="1">
      <alignment horizontal="center" vertical="center"/>
    </xf>
    <xf numFmtId="0" fontId="43" fillId="0" borderId="27" xfId="0" applyFont="1" applyBorder="1" applyAlignment="1">
      <alignment horizontal="center" vertical="top" wrapText="1"/>
    </xf>
    <xf numFmtId="0" fontId="43" fillId="0" borderId="24" xfId="0" applyFont="1" applyBorder="1" applyAlignment="1">
      <alignment vertical="center"/>
    </xf>
    <xf numFmtId="0" fontId="43" fillId="0" borderId="27" xfId="0" applyFont="1" applyBorder="1" applyAlignment="1">
      <alignment horizontal="center" vertical="center" wrapText="1"/>
    </xf>
    <xf numFmtId="2" fontId="0" fillId="0" borderId="0" xfId="0" applyNumberFormat="1"/>
    <xf numFmtId="0" fontId="0" fillId="8" borderId="24" xfId="0" applyFill="1" applyBorder="1" applyAlignment="1">
      <alignment horizontal="center" vertical="center"/>
    </xf>
    <xf numFmtId="169" fontId="4" fillId="8" borderId="24" xfId="0" applyNumberFormat="1" applyFont="1" applyFill="1" applyBorder="1" applyAlignment="1">
      <alignment horizontal="center" vertical="center"/>
    </xf>
    <xf numFmtId="0" fontId="5" fillId="8" borderId="24" xfId="0" applyFont="1" applyFill="1" applyBorder="1" applyAlignment="1">
      <alignment horizontal="center" vertical="center"/>
    </xf>
    <xf numFmtId="174" fontId="4" fillId="8" borderId="24" xfId="0" applyNumberFormat="1" applyFont="1" applyFill="1" applyBorder="1"/>
    <xf numFmtId="2" fontId="32" fillId="0" borderId="0" xfId="0" applyNumberFormat="1" applyFont="1" applyAlignment="1">
      <alignment horizontal="center" wrapText="1"/>
    </xf>
    <xf numFmtId="0" fontId="17" fillId="0" borderId="27" xfId="0" applyFont="1" applyBorder="1" applyAlignment="1">
      <alignment horizontal="left" vertical="center" wrapText="1"/>
    </xf>
    <xf numFmtId="0" fontId="34" fillId="0" borderId="27" xfId="0" applyFont="1" applyBorder="1" applyAlignment="1">
      <alignment horizontal="left" vertical="top"/>
    </xf>
    <xf numFmtId="0" fontId="36" fillId="2" borderId="27" xfId="13" applyFont="1" applyFill="1" applyBorder="1" applyAlignment="1">
      <alignment vertical="top"/>
    </xf>
    <xf numFmtId="0" fontId="34" fillId="2" borderId="27" xfId="0" applyFont="1" applyFill="1" applyBorder="1" applyAlignment="1">
      <alignment horizontal="left" vertical="top" wrapText="1"/>
    </xf>
    <xf numFmtId="0" fontId="36" fillId="2" borderId="27" xfId="13" applyFont="1" applyFill="1" applyBorder="1" applyAlignment="1">
      <alignment vertical="top" wrapText="1"/>
    </xf>
    <xf numFmtId="0" fontId="4" fillId="2" borderId="27" xfId="0" applyFont="1" applyFill="1" applyBorder="1"/>
    <xf numFmtId="0" fontId="34" fillId="0" borderId="27" xfId="0" applyFont="1" applyBorder="1" applyAlignment="1">
      <alignment horizontal="left" vertical="top" wrapText="1"/>
    </xf>
    <xf numFmtId="0" fontId="42" fillId="0" borderId="27" xfId="0" applyFont="1" applyBorder="1" applyAlignment="1">
      <alignment horizontal="left" vertical="top"/>
    </xf>
    <xf numFmtId="0" fontId="4" fillId="0" borderId="27" xfId="0" applyFont="1" applyBorder="1"/>
    <xf numFmtId="0" fontId="4" fillId="0" borderId="27" xfId="0" applyFont="1" applyBorder="1" applyAlignment="1">
      <alignment wrapText="1"/>
    </xf>
    <xf numFmtId="0" fontId="5" fillId="0" borderId="27" xfId="0" applyFont="1" applyBorder="1" applyAlignment="1">
      <alignment horizontal="center"/>
    </xf>
    <xf numFmtId="0" fontId="4" fillId="0" borderId="28" xfId="0" applyFont="1" applyBorder="1" applyAlignment="1">
      <alignment horizontal="center" vertical="center"/>
    </xf>
    <xf numFmtId="0" fontId="43" fillId="0" borderId="25" xfId="0" applyFont="1" applyBorder="1" applyAlignment="1">
      <alignment horizontal="center" vertical="center" wrapText="1"/>
    </xf>
    <xf numFmtId="0" fontId="43" fillId="0" borderId="26" xfId="0" applyFont="1" applyBorder="1" applyAlignment="1">
      <alignment vertical="center" wrapText="1"/>
    </xf>
    <xf numFmtId="0" fontId="0" fillId="0" borderId="26" xfId="0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/>
    </xf>
    <xf numFmtId="0" fontId="0" fillId="0" borderId="45" xfId="0" applyBorder="1" applyAlignment="1">
      <alignment vertical="center"/>
    </xf>
    <xf numFmtId="0" fontId="0" fillId="0" borderId="46" xfId="0" applyBorder="1" applyAlignment="1">
      <alignment vertical="center"/>
    </xf>
    <xf numFmtId="0" fontId="4" fillId="0" borderId="46" xfId="0" applyFont="1" applyBorder="1" applyAlignment="1">
      <alignment horizontal="center" vertical="center"/>
    </xf>
    <xf numFmtId="1" fontId="0" fillId="0" borderId="46" xfId="0" applyNumberFormat="1" applyBorder="1" applyAlignment="1">
      <alignment horizontal="center" vertical="center"/>
    </xf>
    <xf numFmtId="171" fontId="0" fillId="0" borderId="47" xfId="0" applyNumberFormat="1" applyBorder="1" applyAlignment="1">
      <alignment horizontal="center" vertical="center"/>
    </xf>
    <xf numFmtId="0" fontId="17" fillId="8" borderId="43" xfId="0" applyFont="1" applyFill="1" applyBorder="1" applyAlignment="1">
      <alignment horizontal="center" vertical="center"/>
    </xf>
    <xf numFmtId="0" fontId="19" fillId="0" borderId="28" xfId="0" applyFont="1" applyBorder="1" applyAlignment="1">
      <alignment vertical="center" wrapText="1"/>
    </xf>
    <xf numFmtId="170" fontId="4" fillId="8" borderId="28" xfId="0" applyNumberFormat="1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71" fontId="0" fillId="8" borderId="29" xfId="0" applyNumberFormat="1" applyFill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/>
    </xf>
    <xf numFmtId="2" fontId="10" fillId="0" borderId="31" xfId="0" applyNumberFormat="1" applyFont="1" applyBorder="1" applyAlignment="1">
      <alignment horizontal="left" vertical="center" wrapText="1"/>
    </xf>
    <xf numFmtId="2" fontId="10" fillId="0" borderId="23" xfId="0" applyNumberFormat="1" applyFont="1" applyBorder="1" applyAlignment="1">
      <alignment horizontal="left" vertical="center" wrapText="1"/>
    </xf>
    <xf numFmtId="0" fontId="11" fillId="0" borderId="27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0" xfId="0" applyFont="1" applyAlignment="1">
      <alignment horizontal="right" wrapText="1"/>
    </xf>
    <xf numFmtId="0" fontId="28" fillId="0" borderId="0" xfId="0" applyFont="1" applyAlignment="1">
      <alignment horizontal="left"/>
    </xf>
    <xf numFmtId="0" fontId="19" fillId="0" borderId="0" xfId="0" applyFont="1" applyAlignment="1">
      <alignment horizontal="center" vertical="center" wrapText="1"/>
    </xf>
    <xf numFmtId="0" fontId="4" fillId="0" borderId="35" xfId="0" applyFont="1" applyBorder="1" applyAlignment="1">
      <alignment horizontal="center" vertical="center"/>
    </xf>
    <xf numFmtId="0" fontId="5" fillId="8" borderId="0" xfId="0" applyFont="1" applyFill="1" applyAlignment="1">
      <alignment horizontal="center" vertical="center" wrapText="1"/>
    </xf>
    <xf numFmtId="0" fontId="41" fillId="8" borderId="30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33" fillId="0" borderId="30" xfId="0" applyFont="1" applyBorder="1" applyAlignment="1">
      <alignment horizontal="center" vertical="center"/>
    </xf>
    <xf numFmtId="2" fontId="5" fillId="3" borderId="24" xfId="0" applyNumberFormat="1" applyFont="1" applyFill="1" applyBorder="1" applyAlignment="1">
      <alignment horizontal="center"/>
    </xf>
    <xf numFmtId="2" fontId="4" fillId="0" borderId="0" xfId="0" applyNumberFormat="1" applyFont="1" applyAlignment="1">
      <alignment horizontal="center"/>
    </xf>
    <xf numFmtId="17" fontId="4" fillId="0" borderId="0" xfId="0" applyNumberFormat="1" applyFont="1" applyAlignment="1">
      <alignment horizontal="center"/>
    </xf>
    <xf numFmtId="2" fontId="4" fillId="8" borderId="26" xfId="0" applyNumberFormat="1" applyFont="1" applyFill="1" applyBorder="1" applyAlignment="1">
      <alignment horizontal="center"/>
    </xf>
    <xf numFmtId="2" fontId="4" fillId="4" borderId="26" xfId="0" applyNumberFormat="1" applyFont="1" applyFill="1" applyBorder="1" applyAlignment="1">
      <alignment horizontal="center"/>
    </xf>
    <xf numFmtId="2" fontId="4" fillId="5" borderId="26" xfId="0" applyNumberFormat="1" applyFont="1" applyFill="1" applyBorder="1" applyAlignment="1">
      <alignment horizontal="center"/>
    </xf>
    <xf numFmtId="2" fontId="4" fillId="6" borderId="26" xfId="0" applyNumberFormat="1" applyFont="1" applyFill="1" applyBorder="1" applyAlignment="1">
      <alignment horizontal="center"/>
    </xf>
    <xf numFmtId="2" fontId="4" fillId="7" borderId="26" xfId="0" applyNumberFormat="1" applyFont="1" applyFill="1" applyBorder="1" applyAlignment="1">
      <alignment horizontal="center"/>
    </xf>
    <xf numFmtId="2" fontId="4" fillId="7" borderId="42" xfId="0" applyNumberFormat="1" applyFont="1" applyFill="1" applyBorder="1" applyAlignment="1">
      <alignment horizontal="center"/>
    </xf>
    <xf numFmtId="2" fontId="32" fillId="0" borderId="0" xfId="0" applyNumberFormat="1" applyFont="1" applyAlignment="1">
      <alignment horizontal="center" wrapText="1"/>
    </xf>
    <xf numFmtId="0" fontId="33" fillId="0" borderId="0" xfId="0" applyFont="1" applyAlignment="1">
      <alignment horizontal="left" vertical="center" wrapText="1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33" fillId="0" borderId="0" xfId="0" applyFont="1" applyAlignment="1">
      <alignment horizontal="center" vertical="center" wrapText="1"/>
    </xf>
    <xf numFmtId="2" fontId="24" fillId="0" borderId="0" xfId="0" applyNumberFormat="1" applyFont="1" applyAlignment="1">
      <alignment horizontal="center"/>
    </xf>
    <xf numFmtId="0" fontId="40" fillId="9" borderId="24" xfId="0" applyFont="1" applyFill="1" applyBorder="1" applyAlignment="1">
      <alignment horizontal="center" wrapText="1"/>
    </xf>
    <xf numFmtId="0" fontId="4" fillId="2" borderId="26" xfId="0" applyFont="1" applyFill="1" applyBorder="1" applyAlignment="1">
      <alignment horizontal="center" vertical="center" wrapText="1"/>
    </xf>
  </cellXfs>
  <cellStyles count="17">
    <cellStyle name="Comma 2" xfId="1" xr:uid="{00000000-0005-0000-0000-000000000000}"/>
    <cellStyle name="Currency" xfId="12" builtinId="4"/>
    <cellStyle name="Currency 2" xfId="2" xr:uid="{00000000-0005-0000-0000-000002000000}"/>
    <cellStyle name="Normal" xfId="0" builtinId="0"/>
    <cellStyle name="Normal 2" xfId="3" xr:uid="{00000000-0005-0000-0000-000004000000}"/>
    <cellStyle name="Normal 2 2" xfId="4" xr:uid="{00000000-0005-0000-0000-000005000000}"/>
    <cellStyle name="Normal 2 3" xfId="5" xr:uid="{00000000-0005-0000-0000-000006000000}"/>
    <cellStyle name="Normal 3" xfId="6" xr:uid="{00000000-0005-0000-0000-000007000000}"/>
    <cellStyle name="Normal 4" xfId="7" xr:uid="{00000000-0005-0000-0000-000008000000}"/>
    <cellStyle name="Normal 5" xfId="13" xr:uid="{00000000-0005-0000-0000-000009000000}"/>
    <cellStyle name="Normal 6" xfId="14" xr:uid="{00000000-0005-0000-0000-00000A000000}"/>
    <cellStyle name="Percent 2" xfId="15" xr:uid="{00000000-0005-0000-0000-00000B000000}"/>
    <cellStyle name="Tusenskille [0]_laroux" xfId="8" xr:uid="{00000000-0005-0000-0000-00000C000000}"/>
    <cellStyle name="Tusenskille_laroux" xfId="9" xr:uid="{00000000-0005-0000-0000-00000D000000}"/>
    <cellStyle name="Valuta [0]_laroux" xfId="10" xr:uid="{00000000-0005-0000-0000-00000E000000}"/>
    <cellStyle name="Valuta_laroux" xfId="11" xr:uid="{00000000-0005-0000-0000-00000F000000}"/>
    <cellStyle name="표준_ARCQT-2004" xfId="16" xr:uid="{00000000-0005-0000-0000-000010000000}"/>
  </cellStyles>
  <dxfs count="0"/>
  <tableStyles count="0" defaultTableStyle="TableStyleMedium2" defaultPivotStyle="PivotStyleLight16"/>
  <colors>
    <mruColors>
      <color rgb="FF009900"/>
      <color rgb="FF0A740F"/>
      <color rgb="FF366C00"/>
      <color rgb="FF336600"/>
      <color rgb="FF008000"/>
      <color rgb="FF006600"/>
      <color rgb="FF7F53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WINDOWS\DESKTOP\1\TRIAL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Q36"/>
  <sheetViews>
    <sheetView tabSelected="1" topLeftCell="A9" workbookViewId="0">
      <selection activeCell="S19" sqref="S19"/>
    </sheetView>
  </sheetViews>
  <sheetFormatPr defaultRowHeight="12.5" x14ac:dyDescent="0.25"/>
  <cols>
    <col min="1" max="1" width="2.54296875" customWidth="1"/>
    <col min="2" max="2" width="1.6328125" customWidth="1"/>
    <col min="4" max="4" width="6.54296875" customWidth="1"/>
    <col min="5" max="5" width="18" customWidth="1"/>
    <col min="6" max="6" width="2.54296875" customWidth="1"/>
    <col min="7" max="7" width="13.6328125" customWidth="1"/>
    <col min="8" max="8" width="7" customWidth="1"/>
    <col min="9" max="9" width="2.6328125" customWidth="1"/>
    <col min="10" max="10" width="14.453125" customWidth="1"/>
    <col min="11" max="11" width="9.6328125" bestFit="1" customWidth="1"/>
    <col min="12" max="12" width="11" bestFit="1" customWidth="1"/>
    <col min="13" max="13" width="2.54296875" customWidth="1"/>
    <col min="14" max="14" width="13.6328125" customWidth="1"/>
    <col min="17" max="17" width="12.54296875" bestFit="1" customWidth="1"/>
  </cols>
  <sheetData>
    <row r="1" spans="1:17" ht="14.25" customHeight="1" x14ac:dyDescent="0.25"/>
    <row r="2" spans="1:17" ht="21" customHeight="1" x14ac:dyDescent="0.3">
      <c r="A2" s="225" t="s">
        <v>420</v>
      </c>
      <c r="B2" s="225"/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  <c r="N2" s="225"/>
    </row>
    <row r="3" spans="1:17" ht="8.25" customHeight="1" x14ac:dyDescent="0.25">
      <c r="H3" s="1"/>
      <c r="I3" s="1"/>
      <c r="J3" s="1"/>
    </row>
    <row r="4" spans="1:17" ht="21" customHeight="1" x14ac:dyDescent="0.3">
      <c r="C4" s="2" t="s">
        <v>0</v>
      </c>
      <c r="G4" s="3"/>
      <c r="J4" s="181">
        <v>46021</v>
      </c>
      <c r="L4" s="1"/>
    </row>
    <row r="5" spans="1:17" ht="21" customHeight="1" thickBot="1" x14ac:dyDescent="0.3"/>
    <row r="6" spans="1:17" ht="21" customHeight="1" x14ac:dyDescent="0.25">
      <c r="B6" s="4"/>
      <c r="C6" s="5"/>
      <c r="D6" s="5"/>
      <c r="E6" s="5"/>
      <c r="F6" s="5"/>
      <c r="G6" s="6"/>
      <c r="H6" s="7"/>
      <c r="I6" s="5"/>
      <c r="J6" s="5"/>
      <c r="K6" s="5"/>
      <c r="L6" s="5"/>
      <c r="M6" s="5"/>
      <c r="N6" s="8"/>
    </row>
    <row r="7" spans="1:17" ht="21" customHeight="1" x14ac:dyDescent="0.25">
      <c r="B7" s="9"/>
      <c r="C7" s="1" t="s">
        <v>1</v>
      </c>
      <c r="G7" s="130">
        <f>CONSOLIDATED!E321</f>
        <v>13303.124811850599</v>
      </c>
      <c r="H7" s="11"/>
      <c r="I7" s="1" t="s">
        <v>2</v>
      </c>
      <c r="N7" s="12">
        <f>CONSOLIDATED!Y321</f>
        <v>7221.079188364386</v>
      </c>
    </row>
    <row r="8" spans="1:17" ht="21" customHeight="1" x14ac:dyDescent="0.25">
      <c r="B8" s="9"/>
      <c r="C8" s="1" t="s">
        <v>3</v>
      </c>
      <c r="E8" s="92"/>
      <c r="G8" s="10"/>
      <c r="H8" s="11"/>
      <c r="I8" s="1" t="s">
        <v>4</v>
      </c>
      <c r="N8" s="12"/>
    </row>
    <row r="9" spans="1:17" ht="21" customHeight="1" x14ac:dyDescent="0.25">
      <c r="B9" s="9"/>
      <c r="G9" s="10"/>
      <c r="H9" s="11"/>
      <c r="I9" t="s">
        <v>5</v>
      </c>
      <c r="N9" s="162">
        <f>G16+G17+G18</f>
        <v>0</v>
      </c>
    </row>
    <row r="10" spans="1:17" ht="21" customHeight="1" x14ac:dyDescent="0.25">
      <c r="B10" s="9"/>
      <c r="G10" s="10"/>
      <c r="H10" s="11"/>
      <c r="I10" s="1" t="s">
        <v>6</v>
      </c>
      <c r="N10" s="12">
        <f>+'OUTPORT MESSING'!I16</f>
        <v>0</v>
      </c>
    </row>
    <row r="11" spans="1:17" ht="21" customHeight="1" x14ac:dyDescent="0.25">
      <c r="B11" s="9"/>
      <c r="G11" s="10"/>
      <c r="H11" s="11"/>
      <c r="I11" s="226" t="s">
        <v>7</v>
      </c>
      <c r="J11" s="227"/>
      <c r="K11" s="227"/>
      <c r="L11" s="227"/>
      <c r="N11" s="12"/>
    </row>
    <row r="12" spans="1:17" ht="21" customHeight="1" x14ac:dyDescent="0.25">
      <c r="B12" s="9"/>
      <c r="C12" s="1" t="s">
        <v>55</v>
      </c>
      <c r="D12" s="1"/>
      <c r="E12" s="1"/>
      <c r="G12" s="88">
        <f>CONSOLIDATED!J322</f>
        <v>0</v>
      </c>
      <c r="H12" s="11"/>
      <c r="I12" s="227"/>
      <c r="J12" s="227"/>
      <c r="K12" s="227"/>
      <c r="L12" s="227"/>
      <c r="N12" s="13"/>
      <c r="Q12" s="14"/>
    </row>
    <row r="13" spans="1:17" ht="21" customHeight="1" x14ac:dyDescent="0.25">
      <c r="B13" s="9"/>
      <c r="C13" s="229"/>
      <c r="D13" s="229"/>
      <c r="F13" s="1"/>
      <c r="G13" s="88"/>
      <c r="H13" s="11"/>
      <c r="I13" s="1" t="s">
        <v>8</v>
      </c>
      <c r="N13" s="12">
        <f>N7-N10</f>
        <v>7221.079188364386</v>
      </c>
      <c r="Q13" s="14"/>
    </row>
    <row r="14" spans="1:17" ht="21" customHeight="1" x14ac:dyDescent="0.25">
      <c r="B14" s="9"/>
      <c r="C14" s="229"/>
      <c r="D14" s="229"/>
      <c r="F14" s="1"/>
      <c r="G14" s="88"/>
      <c r="H14" s="11"/>
      <c r="I14" s="228"/>
      <c r="J14" s="228"/>
      <c r="K14" s="228"/>
      <c r="L14" s="228"/>
      <c r="N14" s="15"/>
      <c r="P14" t="s">
        <v>267</v>
      </c>
      <c r="Q14" s="14"/>
    </row>
    <row r="15" spans="1:17" ht="21" customHeight="1" x14ac:dyDescent="0.25">
      <c r="B15" s="9"/>
      <c r="C15" s="229"/>
      <c r="D15" s="229"/>
      <c r="E15" s="229"/>
      <c r="G15" s="88"/>
      <c r="H15" s="11"/>
      <c r="I15" s="224"/>
      <c r="J15" s="224"/>
      <c r="K15" s="224"/>
      <c r="L15" s="224"/>
      <c r="N15" s="12"/>
    </row>
    <row r="16" spans="1:17" ht="21" customHeight="1" x14ac:dyDescent="0.25">
      <c r="B16" s="87"/>
      <c r="C16" s="237" t="s">
        <v>52</v>
      </c>
      <c r="D16" s="237"/>
      <c r="E16" s="145" t="s">
        <v>394</v>
      </c>
      <c r="F16" s="238" t="s">
        <v>53</v>
      </c>
      <c r="G16" s="163"/>
      <c r="H16" s="11"/>
      <c r="I16" s="1" t="s">
        <v>9</v>
      </c>
      <c r="N16" s="129">
        <f>G20-N7-N9</f>
        <v>6082.0456234862131</v>
      </c>
      <c r="O16" s="16"/>
      <c r="Q16" t="s">
        <v>10</v>
      </c>
    </row>
    <row r="17" spans="2:15" ht="21" customHeight="1" x14ac:dyDescent="0.25">
      <c r="B17" s="9"/>
      <c r="C17" s="237"/>
      <c r="D17" s="237"/>
      <c r="E17" s="145" t="s">
        <v>323</v>
      </c>
      <c r="F17" s="238"/>
      <c r="G17" s="164"/>
      <c r="H17" s="11"/>
      <c r="J17" s="17" t="s">
        <v>11</v>
      </c>
      <c r="K17" s="18">
        <v>46022</v>
      </c>
      <c r="N17" s="13"/>
    </row>
    <row r="18" spans="2:15" ht="21" customHeight="1" x14ac:dyDescent="0.25">
      <c r="B18" s="9"/>
      <c r="C18" s="237"/>
      <c r="D18" s="237"/>
      <c r="E18" s="146" t="s">
        <v>54</v>
      </c>
      <c r="F18" s="238"/>
      <c r="G18" s="163"/>
      <c r="H18" s="11"/>
      <c r="J18" s="1"/>
      <c r="N18" s="12"/>
    </row>
    <row r="19" spans="2:15" ht="21" customHeight="1" x14ac:dyDescent="0.25">
      <c r="B19" s="9"/>
      <c r="C19" s="236"/>
      <c r="D19" s="236"/>
      <c r="E19" s="86"/>
      <c r="G19" s="19"/>
      <c r="H19" s="11"/>
      <c r="N19" s="12"/>
    </row>
    <row r="20" spans="2:15" ht="21" customHeight="1" thickBot="1" x14ac:dyDescent="0.3">
      <c r="B20" s="20"/>
      <c r="C20" s="21"/>
      <c r="D20" s="21"/>
      <c r="E20" s="78" t="s">
        <v>12</v>
      </c>
      <c r="F20" s="21"/>
      <c r="G20" s="89">
        <f>SUM(G7:G19)</f>
        <v>13303.124811850599</v>
      </c>
      <c r="H20" s="23"/>
      <c r="I20" s="21"/>
      <c r="J20" s="21"/>
      <c r="K20" s="22" t="s">
        <v>12</v>
      </c>
      <c r="L20" s="21"/>
      <c r="M20" s="21"/>
      <c r="N20" s="24">
        <f>SUM(N7+N16+N9)</f>
        <v>13303.124811850599</v>
      </c>
    </row>
    <row r="21" spans="2:15" ht="21" customHeight="1" thickTop="1" x14ac:dyDescent="0.25">
      <c r="B21" s="9"/>
      <c r="N21" s="25"/>
    </row>
    <row r="22" spans="2:15" ht="21" customHeight="1" x14ac:dyDescent="0.25">
      <c r="B22" s="9"/>
      <c r="N22" s="25"/>
    </row>
    <row r="23" spans="2:15" ht="21" customHeight="1" thickBot="1" x14ac:dyDescent="0.3">
      <c r="B23" s="9"/>
      <c r="G23" s="1" t="s">
        <v>13</v>
      </c>
      <c r="J23" s="26">
        <f>+N7/H29</f>
        <v>9.7057515972639603</v>
      </c>
      <c r="N23" s="25"/>
    </row>
    <row r="24" spans="2:15" ht="21" customHeight="1" thickTop="1" thickBot="1" x14ac:dyDescent="0.3">
      <c r="B24" s="27"/>
      <c r="C24" s="28"/>
      <c r="D24" s="28"/>
      <c r="E24" s="28"/>
      <c r="F24" s="28"/>
      <c r="G24" s="29"/>
      <c r="H24" s="28"/>
      <c r="I24" s="28"/>
      <c r="J24" s="28"/>
      <c r="K24" s="28"/>
      <c r="L24" s="28"/>
      <c r="M24" s="28"/>
      <c r="N24" s="30"/>
    </row>
    <row r="25" spans="2:15" ht="21" customHeight="1" thickBot="1" x14ac:dyDescent="0.3"/>
    <row r="26" spans="2:15" ht="21" customHeight="1" x14ac:dyDescent="0.25">
      <c r="D26" s="4" t="s">
        <v>14</v>
      </c>
      <c r="E26" s="5"/>
      <c r="F26" s="5"/>
      <c r="G26" s="5"/>
      <c r="H26" s="79">
        <f>'Shipstaff Manday Calculation'!F34</f>
        <v>744</v>
      </c>
    </row>
    <row r="27" spans="2:15" ht="21" customHeight="1" x14ac:dyDescent="0.25">
      <c r="D27" s="230" t="s">
        <v>15</v>
      </c>
      <c r="E27" s="231"/>
      <c r="F27" s="231"/>
      <c r="G27" s="231"/>
      <c r="H27" s="80">
        <f>'OUTPORT MESSING'!H16</f>
        <v>0</v>
      </c>
    </row>
    <row r="28" spans="2:15" ht="21" customHeight="1" x14ac:dyDescent="0.25">
      <c r="D28" s="232"/>
      <c r="E28" s="233"/>
      <c r="F28" s="233"/>
      <c r="G28" s="234"/>
      <c r="H28" s="80"/>
      <c r="N28" s="31"/>
    </row>
    <row r="29" spans="2:15" ht="21" customHeight="1" thickBot="1" x14ac:dyDescent="0.3">
      <c r="D29" s="32" t="s">
        <v>16</v>
      </c>
      <c r="E29" s="33"/>
      <c r="F29" s="33"/>
      <c r="G29" s="33"/>
      <c r="H29" s="81">
        <f>H26+H27+H28</f>
        <v>744</v>
      </c>
    </row>
    <row r="30" spans="2:15" ht="21" customHeight="1" x14ac:dyDescent="0.25">
      <c r="K30" s="21"/>
      <c r="L30" s="34"/>
      <c r="M30" s="21"/>
      <c r="N30" s="22"/>
    </row>
    <row r="31" spans="2:15" ht="14.25" customHeight="1" x14ac:dyDescent="0.25">
      <c r="H31" s="74"/>
      <c r="I31" s="74"/>
      <c r="J31" s="118"/>
      <c r="K31" s="119"/>
      <c r="L31" s="240" t="s">
        <v>421</v>
      </c>
      <c r="M31" s="240"/>
      <c r="N31" s="240"/>
      <c r="O31" s="35"/>
    </row>
    <row r="32" spans="2:15" ht="18" customHeight="1" x14ac:dyDescent="0.25">
      <c r="J32" s="118"/>
      <c r="K32" s="119"/>
      <c r="L32" s="239" t="s">
        <v>420</v>
      </c>
      <c r="M32" s="239"/>
      <c r="N32" s="239"/>
      <c r="O32" s="36"/>
    </row>
    <row r="33" spans="3:14" ht="21" customHeight="1" x14ac:dyDescent="0.25">
      <c r="C33" s="235"/>
      <c r="D33" s="235"/>
      <c r="E33" s="235"/>
      <c r="F33" s="235"/>
      <c r="G33" s="235"/>
      <c r="H33" s="235"/>
      <c r="I33" s="235"/>
      <c r="J33" s="235"/>
      <c r="K33" s="235"/>
      <c r="L33" s="235"/>
      <c r="M33" s="235"/>
      <c r="N33" s="235"/>
    </row>
    <row r="34" spans="3:14" ht="21" customHeight="1" x14ac:dyDescent="0.25">
      <c r="C34" s="235"/>
      <c r="D34" s="235"/>
      <c r="E34" s="235"/>
      <c r="F34" s="235"/>
      <c r="G34" s="235"/>
      <c r="H34" s="235"/>
      <c r="I34" s="235"/>
      <c r="J34" s="235"/>
      <c r="K34" s="235"/>
      <c r="L34" s="235"/>
      <c r="M34" s="235"/>
      <c r="N34" s="235"/>
    </row>
    <row r="35" spans="3:14" ht="21" customHeight="1" x14ac:dyDescent="0.25">
      <c r="C35" s="235"/>
      <c r="D35" s="235"/>
      <c r="E35" s="235"/>
      <c r="F35" s="235"/>
      <c r="G35" s="235"/>
      <c r="H35" s="235"/>
      <c r="I35" s="235"/>
      <c r="J35" s="235"/>
      <c r="K35" s="235"/>
      <c r="L35" s="235"/>
      <c r="M35" s="235"/>
      <c r="N35" s="235"/>
    </row>
    <row r="36" spans="3:14" ht="21" customHeight="1" x14ac:dyDescent="0.25"/>
  </sheetData>
  <mergeCells count="15">
    <mergeCell ref="D27:G27"/>
    <mergeCell ref="D28:G28"/>
    <mergeCell ref="C33:N35"/>
    <mergeCell ref="C19:D19"/>
    <mergeCell ref="C16:D18"/>
    <mergeCell ref="F16:F18"/>
    <mergeCell ref="L32:N32"/>
    <mergeCell ref="L31:N31"/>
    <mergeCell ref="I15:L15"/>
    <mergeCell ref="A2:N2"/>
    <mergeCell ref="I11:L12"/>
    <mergeCell ref="I14:L14"/>
    <mergeCell ref="C15:E15"/>
    <mergeCell ref="C13:D13"/>
    <mergeCell ref="C14:D14"/>
  </mergeCells>
  <pageMargins left="0.36850393700786999" right="0.2" top="1" bottom="0.23622047244094499" header="0.31496062992126" footer="0.31496062992126"/>
  <pageSetup paperSize="9"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K46"/>
  <sheetViews>
    <sheetView view="pageBreakPreview" topLeftCell="A26" zoomScaleNormal="100" zoomScaleSheetLayoutView="100" workbookViewId="0">
      <selection activeCell="G6" sqref="G6"/>
    </sheetView>
  </sheetViews>
  <sheetFormatPr defaultColWidth="9.36328125" defaultRowHeight="12.5" x14ac:dyDescent="0.25"/>
  <cols>
    <col min="1" max="1" width="4.6328125" style="57" customWidth="1"/>
    <col min="2" max="2" width="25" style="35" customWidth="1"/>
    <col min="3" max="3" width="10.6328125" style="35" customWidth="1"/>
    <col min="4" max="5" width="14.54296875" style="35" customWidth="1"/>
    <col min="6" max="6" width="11" style="57" customWidth="1"/>
    <col min="7" max="7" width="22.453125" style="35" customWidth="1"/>
    <col min="8" max="16384" width="9.36328125" style="35"/>
  </cols>
  <sheetData>
    <row r="1" spans="1:8" ht="13" x14ac:dyDescent="0.25">
      <c r="A1" s="242" t="s">
        <v>420</v>
      </c>
      <c r="B1" s="242"/>
      <c r="C1" s="242"/>
      <c r="D1" s="242"/>
      <c r="E1" s="242"/>
      <c r="F1" s="242"/>
    </row>
    <row r="2" spans="1:8" ht="13" x14ac:dyDescent="0.25">
      <c r="A2" s="242" t="s">
        <v>32</v>
      </c>
      <c r="B2" s="242"/>
      <c r="C2" s="242"/>
      <c r="D2" s="182">
        <f>'Provisions Covering Sheet'!J4</f>
        <v>46021</v>
      </c>
      <c r="E2" s="182"/>
    </row>
    <row r="4" spans="1:8" ht="22.5" customHeight="1" x14ac:dyDescent="0.25">
      <c r="A4" s="90" t="s">
        <v>33</v>
      </c>
      <c r="B4" s="91" t="s">
        <v>34</v>
      </c>
      <c r="C4" s="91" t="s">
        <v>35</v>
      </c>
      <c r="D4" s="91" t="s">
        <v>36</v>
      </c>
      <c r="E4" s="90" t="s">
        <v>422</v>
      </c>
      <c r="F4" s="91" t="s">
        <v>37</v>
      </c>
    </row>
    <row r="5" spans="1:8" ht="20.149999999999999" customHeight="1" x14ac:dyDescent="0.25">
      <c r="A5" s="51">
        <v>1</v>
      </c>
      <c r="B5" s="133" t="s">
        <v>57</v>
      </c>
      <c r="C5" s="116" t="s">
        <v>410</v>
      </c>
      <c r="D5" s="116" t="s">
        <v>411</v>
      </c>
      <c r="E5" s="116"/>
      <c r="F5" s="51">
        <v>31</v>
      </c>
      <c r="G5" s="36" t="s">
        <v>423</v>
      </c>
      <c r="H5" s="53"/>
    </row>
    <row r="6" spans="1:8" ht="20.149999999999999" customHeight="1" x14ac:dyDescent="0.25">
      <c r="A6" s="51">
        <v>2</v>
      </c>
      <c r="B6" s="133" t="s">
        <v>292</v>
      </c>
      <c r="C6" s="116" t="s">
        <v>410</v>
      </c>
      <c r="D6" s="116" t="s">
        <v>411</v>
      </c>
      <c r="E6" s="116"/>
      <c r="F6" s="51">
        <v>31</v>
      </c>
      <c r="H6" s="53"/>
    </row>
    <row r="7" spans="1:8" ht="20.149999999999999" customHeight="1" x14ac:dyDescent="0.25">
      <c r="A7" s="51">
        <v>3</v>
      </c>
      <c r="B7" s="133" t="s">
        <v>412</v>
      </c>
      <c r="C7" s="116" t="s">
        <v>410</v>
      </c>
      <c r="D7" s="116" t="s">
        <v>411</v>
      </c>
      <c r="E7" s="116"/>
      <c r="F7" s="51">
        <v>31</v>
      </c>
      <c r="H7" s="53"/>
    </row>
    <row r="8" spans="1:8" ht="20.149999999999999" customHeight="1" x14ac:dyDescent="0.25">
      <c r="A8" s="51">
        <v>4</v>
      </c>
      <c r="B8" s="133" t="s">
        <v>413</v>
      </c>
      <c r="C8" s="116" t="s">
        <v>410</v>
      </c>
      <c r="D8" s="116" t="s">
        <v>411</v>
      </c>
      <c r="E8" s="116"/>
      <c r="F8" s="51">
        <v>31</v>
      </c>
      <c r="H8" s="53"/>
    </row>
    <row r="9" spans="1:8" ht="20.149999999999999" customHeight="1" x14ac:dyDescent="0.25">
      <c r="A9" s="51">
        <v>5</v>
      </c>
      <c r="B9" s="133" t="s">
        <v>331</v>
      </c>
      <c r="C9" s="116" t="s">
        <v>410</v>
      </c>
      <c r="D9" s="116" t="s">
        <v>411</v>
      </c>
      <c r="E9" s="116"/>
      <c r="F9" s="51">
        <v>31</v>
      </c>
      <c r="H9" s="53"/>
    </row>
    <row r="10" spans="1:8" ht="20.149999999999999" customHeight="1" x14ac:dyDescent="0.25">
      <c r="A10" s="51">
        <v>6</v>
      </c>
      <c r="B10" s="133" t="s">
        <v>58</v>
      </c>
      <c r="C10" s="116" t="s">
        <v>410</v>
      </c>
      <c r="D10" s="116" t="s">
        <v>411</v>
      </c>
      <c r="E10" s="116"/>
      <c r="F10" s="51">
        <v>31</v>
      </c>
      <c r="H10" s="53"/>
    </row>
    <row r="11" spans="1:8" ht="20.149999999999999" customHeight="1" x14ac:dyDescent="0.25">
      <c r="A11" s="51">
        <v>7</v>
      </c>
      <c r="B11" s="133" t="s">
        <v>59</v>
      </c>
      <c r="C11" s="116" t="s">
        <v>410</v>
      </c>
      <c r="D11" s="116" t="s">
        <v>411</v>
      </c>
      <c r="E11" s="116"/>
      <c r="F11" s="51">
        <v>31</v>
      </c>
      <c r="H11" s="53"/>
    </row>
    <row r="12" spans="1:8" ht="20.149999999999999" customHeight="1" x14ac:dyDescent="0.25">
      <c r="A12" s="51">
        <v>8</v>
      </c>
      <c r="B12" s="52" t="s">
        <v>60</v>
      </c>
      <c r="C12" s="116" t="s">
        <v>410</v>
      </c>
      <c r="D12" s="116" t="s">
        <v>411</v>
      </c>
      <c r="E12" s="116"/>
      <c r="F12" s="51">
        <v>31</v>
      </c>
      <c r="H12" s="53"/>
    </row>
    <row r="13" spans="1:8" ht="20.149999999999999" customHeight="1" x14ac:dyDescent="0.25">
      <c r="A13" s="51">
        <v>9</v>
      </c>
      <c r="B13" s="52" t="s">
        <v>61</v>
      </c>
      <c r="C13" s="116" t="s">
        <v>410</v>
      </c>
      <c r="D13" s="116" t="s">
        <v>411</v>
      </c>
      <c r="E13" s="116"/>
      <c r="F13" s="51">
        <v>31</v>
      </c>
      <c r="H13" s="53"/>
    </row>
    <row r="14" spans="1:8" ht="20.149999999999999" customHeight="1" x14ac:dyDescent="0.25">
      <c r="A14" s="51">
        <v>10</v>
      </c>
      <c r="B14" s="52" t="s">
        <v>62</v>
      </c>
      <c r="C14" s="116" t="s">
        <v>410</v>
      </c>
      <c r="D14" s="116" t="s">
        <v>411</v>
      </c>
      <c r="E14" s="116"/>
      <c r="F14" s="51">
        <v>31</v>
      </c>
      <c r="H14" s="53"/>
    </row>
    <row r="15" spans="1:8" ht="20.149999999999999" customHeight="1" x14ac:dyDescent="0.25">
      <c r="A15" s="51">
        <v>11</v>
      </c>
      <c r="B15" s="52" t="s">
        <v>63</v>
      </c>
      <c r="C15" s="116" t="s">
        <v>410</v>
      </c>
      <c r="D15" s="116" t="s">
        <v>411</v>
      </c>
      <c r="E15" s="116"/>
      <c r="F15" s="51">
        <v>31</v>
      </c>
      <c r="H15" s="53"/>
    </row>
    <row r="16" spans="1:8" ht="20.149999999999999" customHeight="1" x14ac:dyDescent="0.25">
      <c r="A16" s="51">
        <v>12</v>
      </c>
      <c r="B16" s="52" t="s">
        <v>197</v>
      </c>
      <c r="C16" s="116" t="s">
        <v>410</v>
      </c>
      <c r="D16" s="116" t="s">
        <v>411</v>
      </c>
      <c r="E16" s="116"/>
      <c r="F16" s="51">
        <v>31</v>
      </c>
      <c r="H16" s="53"/>
    </row>
    <row r="17" spans="1:11" ht="20.149999999999999" customHeight="1" x14ac:dyDescent="0.25">
      <c r="A17" s="51">
        <v>13</v>
      </c>
      <c r="B17" s="52" t="s">
        <v>280</v>
      </c>
      <c r="C17" s="116" t="s">
        <v>410</v>
      </c>
      <c r="D17" s="116" t="s">
        <v>411</v>
      </c>
      <c r="E17" s="116"/>
      <c r="F17" s="51">
        <v>31</v>
      </c>
      <c r="H17" s="53"/>
    </row>
    <row r="18" spans="1:11" ht="20.149999999999999" customHeight="1" x14ac:dyDescent="0.25">
      <c r="A18" s="51">
        <v>14</v>
      </c>
      <c r="B18" s="52" t="s">
        <v>64</v>
      </c>
      <c r="C18" s="116" t="s">
        <v>410</v>
      </c>
      <c r="D18" s="116" t="s">
        <v>411</v>
      </c>
      <c r="E18" s="116"/>
      <c r="F18" s="51">
        <v>31</v>
      </c>
      <c r="H18" s="53"/>
    </row>
    <row r="19" spans="1:11" ht="20.149999999999999" customHeight="1" x14ac:dyDescent="0.25">
      <c r="A19" s="51">
        <v>15</v>
      </c>
      <c r="B19" s="52" t="s">
        <v>196</v>
      </c>
      <c r="C19" s="116" t="s">
        <v>410</v>
      </c>
      <c r="D19" s="116" t="s">
        <v>411</v>
      </c>
      <c r="E19" s="116"/>
      <c r="F19" s="51">
        <v>31</v>
      </c>
      <c r="H19" s="53"/>
    </row>
    <row r="20" spans="1:11" ht="20.149999999999999" customHeight="1" x14ac:dyDescent="0.25">
      <c r="A20" s="51">
        <v>16</v>
      </c>
      <c r="B20" s="159" t="s">
        <v>309</v>
      </c>
      <c r="C20" s="116" t="s">
        <v>410</v>
      </c>
      <c r="D20" s="116" t="s">
        <v>411</v>
      </c>
      <c r="E20" s="116"/>
      <c r="F20" s="51">
        <v>31</v>
      </c>
      <c r="H20" s="53"/>
    </row>
    <row r="21" spans="1:11" ht="20.149999999999999" customHeight="1" x14ac:dyDescent="0.25">
      <c r="A21" s="51">
        <v>17</v>
      </c>
      <c r="B21" s="52" t="s">
        <v>285</v>
      </c>
      <c r="C21" s="116" t="s">
        <v>410</v>
      </c>
      <c r="D21" s="116" t="s">
        <v>411</v>
      </c>
      <c r="E21" s="116"/>
      <c r="F21" s="51">
        <v>31</v>
      </c>
      <c r="H21" s="53"/>
    </row>
    <row r="22" spans="1:11" ht="20.149999999999999" customHeight="1" x14ac:dyDescent="0.25">
      <c r="A22" s="51">
        <v>18</v>
      </c>
      <c r="B22" s="52" t="s">
        <v>198</v>
      </c>
      <c r="C22" s="116" t="s">
        <v>410</v>
      </c>
      <c r="D22" s="116" t="s">
        <v>411</v>
      </c>
      <c r="E22" s="116"/>
      <c r="F22" s="51">
        <v>31</v>
      </c>
      <c r="H22" s="53"/>
      <c r="K22" s="36"/>
    </row>
    <row r="23" spans="1:11" ht="20.149999999999999" customHeight="1" x14ac:dyDescent="0.25">
      <c r="A23" s="51">
        <v>19</v>
      </c>
      <c r="B23" s="52" t="s">
        <v>65</v>
      </c>
      <c r="C23" s="116" t="s">
        <v>410</v>
      </c>
      <c r="D23" s="116" t="s">
        <v>411</v>
      </c>
      <c r="E23" s="116"/>
      <c r="F23" s="51">
        <v>31</v>
      </c>
      <c r="H23" s="53"/>
    </row>
    <row r="24" spans="1:11" ht="20.149999999999999" customHeight="1" x14ac:dyDescent="0.25">
      <c r="A24" s="51">
        <v>20</v>
      </c>
      <c r="B24" s="52" t="s">
        <v>66</v>
      </c>
      <c r="C24" s="116" t="s">
        <v>410</v>
      </c>
      <c r="D24" s="116" t="s">
        <v>411</v>
      </c>
      <c r="E24" s="116"/>
      <c r="F24" s="51">
        <v>31</v>
      </c>
      <c r="H24" s="53"/>
    </row>
    <row r="25" spans="1:11" ht="20.149999999999999" customHeight="1" x14ac:dyDescent="0.25">
      <c r="A25" s="51">
        <v>21</v>
      </c>
      <c r="B25" s="52" t="s">
        <v>324</v>
      </c>
      <c r="C25" s="116" t="s">
        <v>410</v>
      </c>
      <c r="D25" s="116" t="s">
        <v>411</v>
      </c>
      <c r="E25" s="116"/>
      <c r="F25" s="51">
        <v>31</v>
      </c>
      <c r="H25" s="53"/>
    </row>
    <row r="26" spans="1:11" ht="20.149999999999999" customHeight="1" x14ac:dyDescent="0.25">
      <c r="A26" s="51">
        <v>22</v>
      </c>
      <c r="B26" s="52" t="s">
        <v>326</v>
      </c>
      <c r="C26" s="116" t="s">
        <v>410</v>
      </c>
      <c r="D26" s="116" t="s">
        <v>411</v>
      </c>
      <c r="E26" s="116"/>
      <c r="F26" s="51">
        <v>31</v>
      </c>
      <c r="H26" s="53"/>
    </row>
    <row r="27" spans="1:11" ht="20.149999999999999" customHeight="1" x14ac:dyDescent="0.25">
      <c r="A27" s="51">
        <v>23</v>
      </c>
      <c r="B27" s="52" t="s">
        <v>67</v>
      </c>
      <c r="C27" s="116" t="s">
        <v>410</v>
      </c>
      <c r="D27" s="116" t="s">
        <v>411</v>
      </c>
      <c r="E27" s="116"/>
      <c r="F27" s="51">
        <v>31</v>
      </c>
      <c r="H27" s="53"/>
      <c r="I27" s="161"/>
    </row>
    <row r="28" spans="1:11" ht="20.149999999999999" customHeight="1" x14ac:dyDescent="0.25">
      <c r="A28" s="51">
        <v>24</v>
      </c>
      <c r="B28" s="52" t="s">
        <v>397</v>
      </c>
      <c r="C28" s="116" t="s">
        <v>410</v>
      </c>
      <c r="D28" s="116" t="s">
        <v>411</v>
      </c>
      <c r="E28" s="116"/>
      <c r="F28" s="51">
        <v>31</v>
      </c>
      <c r="H28" s="53"/>
      <c r="I28" s="161"/>
    </row>
    <row r="29" spans="1:11" ht="20.149999999999999" customHeight="1" x14ac:dyDescent="0.25">
      <c r="A29" s="56"/>
      <c r="B29" s="36"/>
      <c r="C29" s="54"/>
      <c r="D29" s="55"/>
      <c r="E29" s="55"/>
      <c r="F29" s="138"/>
      <c r="H29" s="53"/>
      <c r="I29" s="161"/>
    </row>
    <row r="30" spans="1:11" ht="20.149999999999999" customHeight="1" x14ac:dyDescent="0.25">
      <c r="A30" s="192"/>
      <c r="B30" s="194" t="s">
        <v>38</v>
      </c>
      <c r="C30" s="139"/>
      <c r="D30" s="193"/>
      <c r="E30" s="193"/>
      <c r="F30" s="193"/>
      <c r="I30" s="161"/>
    </row>
    <row r="31" spans="1:11" ht="20.149999999999999" customHeight="1" x14ac:dyDescent="0.25">
      <c r="A31" s="192">
        <v>1</v>
      </c>
      <c r="B31" s="133"/>
      <c r="C31" s="116"/>
      <c r="D31" s="116"/>
      <c r="E31" s="116"/>
      <c r="F31" s="51"/>
      <c r="I31" s="161"/>
    </row>
    <row r="32" spans="1:11" ht="20.149999999999999" customHeight="1" x14ac:dyDescent="0.25">
      <c r="A32" s="192">
        <v>2</v>
      </c>
      <c r="B32" s="133"/>
      <c r="C32" s="116"/>
      <c r="D32" s="116"/>
      <c r="E32" s="116"/>
      <c r="F32" s="51"/>
      <c r="I32" s="161"/>
    </row>
    <row r="34" spans="3:10" ht="20.149999999999999" customHeight="1" x14ac:dyDescent="0.25">
      <c r="C34" s="243" t="s">
        <v>39</v>
      </c>
      <c r="D34" s="243"/>
      <c r="E34" s="223"/>
      <c r="F34" s="73">
        <f>SUM(F5:F33)</f>
        <v>744</v>
      </c>
      <c r="H34" s="36"/>
      <c r="I34" s="58"/>
      <c r="J34" s="58"/>
    </row>
    <row r="35" spans="3:10" x14ac:dyDescent="0.25">
      <c r="C35" s="59"/>
      <c r="D35" s="59"/>
      <c r="E35" s="59"/>
      <c r="F35" s="56"/>
      <c r="H35" s="36"/>
      <c r="I35" s="58"/>
      <c r="J35" s="58"/>
    </row>
    <row r="36" spans="3:10" x14ac:dyDescent="0.25">
      <c r="C36" s="59"/>
      <c r="D36" s="59"/>
      <c r="E36" s="59"/>
      <c r="F36" s="56"/>
      <c r="H36" s="36"/>
      <c r="I36" s="58"/>
      <c r="J36" s="58"/>
    </row>
    <row r="37" spans="3:10" x14ac:dyDescent="0.25">
      <c r="C37" s="59"/>
      <c r="D37" s="59"/>
      <c r="E37" s="59"/>
      <c r="F37" s="56"/>
      <c r="H37" s="36"/>
      <c r="I37" s="58"/>
      <c r="J37" s="58"/>
    </row>
    <row r="38" spans="3:10" x14ac:dyDescent="0.25">
      <c r="C38" s="59"/>
      <c r="D38" s="59"/>
      <c r="E38" s="59"/>
      <c r="F38" s="56"/>
      <c r="H38" s="36"/>
      <c r="I38" s="58"/>
      <c r="J38" s="58"/>
    </row>
    <row r="39" spans="3:10" x14ac:dyDescent="0.25">
      <c r="C39" s="59"/>
      <c r="D39" s="59"/>
      <c r="E39" s="59"/>
      <c r="F39" s="56"/>
      <c r="H39" s="36"/>
      <c r="I39" s="58"/>
      <c r="J39" s="58"/>
    </row>
    <row r="40" spans="3:10" x14ac:dyDescent="0.25">
      <c r="C40" s="59"/>
      <c r="D40" s="59"/>
      <c r="E40" s="59"/>
      <c r="F40" s="56"/>
      <c r="H40" s="36"/>
      <c r="I40" s="58"/>
      <c r="J40" s="58"/>
    </row>
    <row r="41" spans="3:10" x14ac:dyDescent="0.25">
      <c r="C41" s="59"/>
      <c r="D41" s="59"/>
      <c r="E41" s="59"/>
      <c r="F41" s="56"/>
      <c r="H41" s="36"/>
      <c r="I41" s="58"/>
      <c r="J41" s="58"/>
    </row>
    <row r="42" spans="3:10" x14ac:dyDescent="0.25">
      <c r="C42" s="59"/>
      <c r="D42" s="59"/>
      <c r="E42" s="59"/>
      <c r="F42" s="56"/>
      <c r="H42" s="36"/>
      <c r="I42" s="58"/>
      <c r="J42" s="58"/>
    </row>
    <row r="43" spans="3:10" x14ac:dyDescent="0.25">
      <c r="C43" s="84"/>
      <c r="D43" s="84"/>
      <c r="E43" s="84"/>
      <c r="F43" s="85"/>
      <c r="H43" s="36"/>
      <c r="I43" s="58"/>
      <c r="J43" s="58"/>
    </row>
    <row r="44" spans="3:10" ht="19.5" x14ac:dyDescent="0.25">
      <c r="C44" s="244" t="str">
        <f>'Provisions Covering Sheet'!L31</f>
        <v>Master name</v>
      </c>
      <c r="D44" s="244"/>
      <c r="E44" s="244"/>
      <c r="F44" s="244"/>
      <c r="G44" s="83"/>
      <c r="H44" s="241"/>
      <c r="I44" s="241"/>
      <c r="J44" s="241"/>
    </row>
    <row r="45" spans="3:10" ht="13.5" customHeight="1" x14ac:dyDescent="0.25">
      <c r="C45" s="119"/>
      <c r="D45" s="117" t="str">
        <f>'Provisions Covering Sheet'!L32</f>
        <v>Vessel Name</v>
      </c>
      <c r="E45" s="117"/>
      <c r="G45" s="76"/>
      <c r="H45" s="76"/>
    </row>
    <row r="46" spans="3:10" ht="18.75" customHeight="1" x14ac:dyDescent="0.25">
      <c r="C46" s="119"/>
      <c r="D46" s="118"/>
      <c r="E46" s="118"/>
      <c r="F46" s="77"/>
      <c r="G46" s="76"/>
      <c r="H46" s="76"/>
    </row>
  </sheetData>
  <mergeCells count="5">
    <mergeCell ref="H44:J44"/>
    <mergeCell ref="A1:F1"/>
    <mergeCell ref="A2:C2"/>
    <mergeCell ref="C34:D34"/>
    <mergeCell ref="C44:F44"/>
  </mergeCells>
  <printOptions horizontalCentered="1"/>
  <pageMargins left="0.70866141732283472" right="0.70866141732283472" top="0.59055118110236227" bottom="0.35433070866141736" header="0" footer="0"/>
  <pageSetup paperSize="9" scale="8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AC4138"/>
  <sheetViews>
    <sheetView zoomScale="90" zoomScaleNormal="90" zoomScaleSheetLayoutView="100" workbookViewId="0">
      <pane ySplit="7" topLeftCell="A8" activePane="bottomLeft" state="frozen"/>
      <selection pane="bottomLeft" activeCell="U8" sqref="U8"/>
    </sheetView>
  </sheetViews>
  <sheetFormatPr defaultColWidth="9.36328125" defaultRowHeight="12.5" x14ac:dyDescent="0.25"/>
  <cols>
    <col min="1" max="1" width="48.36328125" style="107" customWidth="1"/>
    <col min="2" max="2" width="5.453125" style="108" customWidth="1"/>
    <col min="3" max="3" width="11.453125" style="109" bestFit="1" customWidth="1"/>
    <col min="4" max="4" width="8.90625" style="109" bestFit="1" customWidth="1"/>
    <col min="5" max="5" width="10.36328125" style="109" bestFit="1" customWidth="1"/>
    <col min="6" max="6" width="11.453125" style="94" bestFit="1" customWidth="1"/>
    <col min="7" max="7" width="12.90625" style="94" customWidth="1"/>
    <col min="8" max="8" width="12.36328125" style="94" customWidth="1"/>
    <col min="9" max="9" width="14.90625" style="46" customWidth="1"/>
    <col min="10" max="10" width="11.453125" style="46" bestFit="1" customWidth="1"/>
    <col min="11" max="11" width="12.453125" style="46" customWidth="1"/>
    <col min="12" max="12" width="12" style="46" customWidth="1"/>
    <col min="13" max="13" width="13" style="46" customWidth="1"/>
    <col min="14" max="14" width="11.453125" style="46" hidden="1" customWidth="1"/>
    <col min="15" max="15" width="8.90625" style="46" hidden="1" customWidth="1"/>
    <col min="16" max="16" width="10.36328125" style="46" hidden="1" customWidth="1"/>
    <col min="17" max="17" width="11.453125" style="46" bestFit="1" customWidth="1"/>
    <col min="18" max="18" width="8.90625" style="46" bestFit="1" customWidth="1"/>
    <col min="19" max="19" width="10.36328125" style="46" bestFit="1" customWidth="1"/>
    <col min="20" max="20" width="11.453125" style="94" bestFit="1" customWidth="1"/>
    <col min="21" max="21" width="8.90625" style="46" bestFit="1" customWidth="1"/>
    <col min="22" max="22" width="10.36328125" style="46" bestFit="1" customWidth="1"/>
    <col min="23" max="23" width="11.453125" style="46" bestFit="1" customWidth="1"/>
    <col min="24" max="24" width="10.453125" style="46" customWidth="1"/>
    <col min="25" max="25" width="10.36328125" style="54" bestFit="1" customWidth="1"/>
    <col min="26" max="26" width="6.36328125" style="1" bestFit="1" customWidth="1"/>
    <col min="27" max="27" width="10.36328125" style="1" customWidth="1"/>
    <col min="28" max="28" width="9.36328125" style="131"/>
    <col min="29" max="16384" width="9.36328125" style="1"/>
  </cols>
  <sheetData>
    <row r="1" spans="1:29" x14ac:dyDescent="0.25">
      <c r="J1" s="135">
        <f>E321</f>
        <v>13303.124811850599</v>
      </c>
      <c r="K1" s="134"/>
    </row>
    <row r="3" spans="1:29" x14ac:dyDescent="0.25">
      <c r="S3" s="246" t="s">
        <v>17</v>
      </c>
      <c r="T3" s="246"/>
      <c r="U3" s="246"/>
      <c r="V3" s="246"/>
      <c r="W3" s="246"/>
      <c r="X3" s="246"/>
      <c r="Y3" s="246"/>
    </row>
    <row r="4" spans="1:29" ht="18.75" customHeight="1" x14ac:dyDescent="0.25">
      <c r="A4" s="107" t="s">
        <v>18</v>
      </c>
      <c r="B4" s="107"/>
      <c r="F4" s="247">
        <f>'Provisions Covering Sheet'!J4</f>
        <v>46021</v>
      </c>
      <c r="G4" s="247"/>
      <c r="H4" s="247"/>
      <c r="I4" s="247"/>
      <c r="J4" s="247"/>
      <c r="K4" s="247"/>
      <c r="L4" s="247"/>
      <c r="M4" s="247"/>
      <c r="N4" s="247"/>
      <c r="O4" s="247"/>
      <c r="P4" s="247"/>
      <c r="Q4" s="98"/>
      <c r="V4" s="37">
        <f>S321-Y321</f>
        <v>6082.0456234862131</v>
      </c>
    </row>
    <row r="5" spans="1:29" ht="19.5" customHeight="1" thickBot="1" x14ac:dyDescent="0.4">
      <c r="A5" s="110">
        <f>'Provisions Covering Sheet'!J23</f>
        <v>9.7057515972639603</v>
      </c>
      <c r="C5" s="254" t="s">
        <v>247</v>
      </c>
      <c r="D5" s="254"/>
      <c r="E5" s="254"/>
      <c r="F5" s="254"/>
      <c r="G5" s="196"/>
      <c r="H5" s="82"/>
      <c r="I5" s="46">
        <f>I321</f>
        <v>0</v>
      </c>
      <c r="K5" s="99"/>
      <c r="L5" s="99"/>
      <c r="M5" s="46">
        <f>M321</f>
        <v>0</v>
      </c>
      <c r="V5" s="132">
        <f>+V321</f>
        <v>6082.0456234862186</v>
      </c>
      <c r="Y5" s="144">
        <f>Y321</f>
        <v>7221.079188364386</v>
      </c>
      <c r="Z5" s="38"/>
    </row>
    <row r="6" spans="1:29" s="39" customFormat="1" ht="12.75" customHeight="1" x14ac:dyDescent="0.25">
      <c r="A6" s="111" t="s">
        <v>19</v>
      </c>
      <c r="B6" s="165" t="s">
        <v>20</v>
      </c>
      <c r="C6" s="248" t="s">
        <v>21</v>
      </c>
      <c r="D6" s="248"/>
      <c r="E6" s="248"/>
      <c r="F6" s="249" t="s">
        <v>22</v>
      </c>
      <c r="G6" s="249"/>
      <c r="H6" s="249"/>
      <c r="I6" s="249"/>
      <c r="J6" s="249" t="s">
        <v>23</v>
      </c>
      <c r="K6" s="249"/>
      <c r="L6" s="249"/>
      <c r="M6" s="249"/>
      <c r="N6" s="249" t="s">
        <v>24</v>
      </c>
      <c r="O6" s="249"/>
      <c r="P6" s="249"/>
      <c r="Q6" s="250" t="s">
        <v>56</v>
      </c>
      <c r="R6" s="250"/>
      <c r="S6" s="250"/>
      <c r="T6" s="251" t="s">
        <v>25</v>
      </c>
      <c r="U6" s="251"/>
      <c r="V6" s="251"/>
      <c r="W6" s="252" t="s">
        <v>26</v>
      </c>
      <c r="X6" s="252"/>
      <c r="Y6" s="253"/>
      <c r="Z6" s="1"/>
      <c r="AA6" s="1"/>
      <c r="AB6" s="131"/>
    </row>
    <row r="7" spans="1:29" x14ac:dyDescent="0.25">
      <c r="A7" s="174"/>
      <c r="B7" s="112"/>
      <c r="C7" s="113" t="s">
        <v>27</v>
      </c>
      <c r="D7" s="113" t="s">
        <v>28</v>
      </c>
      <c r="E7" s="113" t="s">
        <v>29</v>
      </c>
      <c r="F7" s="180" t="s">
        <v>27</v>
      </c>
      <c r="G7" s="180" t="s">
        <v>398</v>
      </c>
      <c r="H7" s="180" t="s">
        <v>308</v>
      </c>
      <c r="I7" s="41" t="s">
        <v>43</v>
      </c>
      <c r="J7" s="180" t="s">
        <v>27</v>
      </c>
      <c r="K7" s="180" t="s">
        <v>396</v>
      </c>
      <c r="L7" s="180" t="s">
        <v>308</v>
      </c>
      <c r="M7" s="41" t="s">
        <v>43</v>
      </c>
      <c r="N7" s="41" t="s">
        <v>27</v>
      </c>
      <c r="O7" s="41" t="s">
        <v>28</v>
      </c>
      <c r="P7" s="41" t="s">
        <v>29</v>
      </c>
      <c r="Q7" s="42" t="s">
        <v>27</v>
      </c>
      <c r="R7" s="42" t="s">
        <v>28</v>
      </c>
      <c r="S7" s="42" t="s">
        <v>29</v>
      </c>
      <c r="T7" s="43" t="s">
        <v>27</v>
      </c>
      <c r="U7" s="43" t="s">
        <v>28</v>
      </c>
      <c r="V7" s="43" t="s">
        <v>29</v>
      </c>
      <c r="W7" s="44" t="s">
        <v>27</v>
      </c>
      <c r="X7" s="44" t="s">
        <v>28</v>
      </c>
      <c r="Y7" s="166" t="s">
        <v>29</v>
      </c>
    </row>
    <row r="8" spans="1:29" x14ac:dyDescent="0.25">
      <c r="A8" s="202" t="s">
        <v>269</v>
      </c>
      <c r="B8" s="112" t="s">
        <v>79</v>
      </c>
      <c r="C8" s="113">
        <v>30.58</v>
      </c>
      <c r="D8" s="139">
        <v>7.6923076923076916</v>
      </c>
      <c r="E8" s="113">
        <f>C8*D8</f>
        <v>235.2307692307692</v>
      </c>
      <c r="F8" s="41"/>
      <c r="G8" s="41"/>
      <c r="H8" s="41">
        <f>G8/1.3</f>
        <v>0</v>
      </c>
      <c r="I8" s="96">
        <f t="shared" ref="I8:I71" si="0">F8*H8</f>
        <v>0</v>
      </c>
      <c r="J8" s="41"/>
      <c r="K8" s="41"/>
      <c r="L8" s="41"/>
      <c r="M8" s="96">
        <f>J8*L8</f>
        <v>0</v>
      </c>
      <c r="N8" s="41"/>
      <c r="O8" s="41"/>
      <c r="P8" s="41"/>
      <c r="Q8" s="42">
        <f t="shared" ref="Q8:Q71" si="1">C8+F8+J8+N8</f>
        <v>30.58</v>
      </c>
      <c r="R8" s="42">
        <f t="shared" ref="R8:R71" si="2">IF(Q8=0,"0.00",S8/Q8)</f>
        <v>7.6923076923076916</v>
      </c>
      <c r="S8" s="42">
        <f t="shared" ref="S8:S71" si="3">E8+I8+M8+P8</f>
        <v>235.2307692307692</v>
      </c>
      <c r="T8" s="93">
        <v>12</v>
      </c>
      <c r="U8" s="41">
        <f>R8</f>
        <v>7.6923076923076916</v>
      </c>
      <c r="V8" s="43">
        <f t="shared" ref="V8" si="4">T8*U8</f>
        <v>92.307692307692292</v>
      </c>
      <c r="W8" s="44">
        <f t="shared" ref="W8:W72" si="5">Q8-T8</f>
        <v>18.579999999999998</v>
      </c>
      <c r="X8" s="44">
        <f t="shared" ref="X8:X71" si="6">R8</f>
        <v>7.6923076923076916</v>
      </c>
      <c r="Y8" s="166">
        <f t="shared" ref="Y8" si="7">W8*X8</f>
        <v>142.92307692307691</v>
      </c>
      <c r="AA8" s="131"/>
    </row>
    <row r="9" spans="1:29" customFormat="1" ht="15.5" customHeight="1" x14ac:dyDescent="0.25">
      <c r="A9" s="199" t="s">
        <v>270</v>
      </c>
      <c r="B9" s="140" t="s">
        <v>79</v>
      </c>
      <c r="C9" s="113">
        <v>20</v>
      </c>
      <c r="D9" s="141">
        <v>11.115384615384615</v>
      </c>
      <c r="E9" s="113">
        <f t="shared" ref="E9:E72" si="8">C9*D9</f>
        <v>222.30769230769229</v>
      </c>
      <c r="F9" s="41"/>
      <c r="G9" s="41"/>
      <c r="H9" s="41">
        <f t="shared" ref="H9:H72" si="9">G9/1.3</f>
        <v>0</v>
      </c>
      <c r="I9" s="96">
        <f t="shared" si="0"/>
        <v>0</v>
      </c>
      <c r="J9" s="41"/>
      <c r="K9" s="41"/>
      <c r="L9" s="41"/>
      <c r="M9" s="96">
        <f t="shared" ref="M9:M72" si="10">J9*L9</f>
        <v>0</v>
      </c>
      <c r="N9" s="96"/>
      <c r="O9" s="96"/>
      <c r="P9" s="96"/>
      <c r="Q9" s="42">
        <f t="shared" si="1"/>
        <v>20</v>
      </c>
      <c r="R9" s="42">
        <f t="shared" si="2"/>
        <v>11.115384615384615</v>
      </c>
      <c r="S9" s="42">
        <f t="shared" si="3"/>
        <v>222.30769230769229</v>
      </c>
      <c r="T9" s="93">
        <v>12</v>
      </c>
      <c r="U9" s="41">
        <f t="shared" ref="U9:U71" si="11">R9</f>
        <v>11.115384615384615</v>
      </c>
      <c r="V9" s="43">
        <f t="shared" ref="V9:V74" si="12">T9*U9</f>
        <v>133.38461538461539</v>
      </c>
      <c r="W9" s="44">
        <f t="shared" si="5"/>
        <v>8</v>
      </c>
      <c r="X9" s="44">
        <f t="shared" si="6"/>
        <v>11.115384615384615</v>
      </c>
      <c r="Y9" s="166">
        <f t="shared" ref="Y9:Y73" si="13">W9*X9</f>
        <v>88.92307692307692</v>
      </c>
      <c r="AA9" s="131"/>
      <c r="AB9" s="131"/>
    </row>
    <row r="10" spans="1:29" customFormat="1" ht="15.5" customHeight="1" x14ac:dyDescent="0.25">
      <c r="A10" s="199" t="s">
        <v>69</v>
      </c>
      <c r="B10" s="140" t="s">
        <v>79</v>
      </c>
      <c r="C10" s="113">
        <v>160</v>
      </c>
      <c r="D10" s="141">
        <v>2.4537326293646946</v>
      </c>
      <c r="E10" s="113">
        <f t="shared" si="8"/>
        <v>392.59722069835112</v>
      </c>
      <c r="F10" s="41"/>
      <c r="G10" s="41"/>
      <c r="H10" s="41">
        <f t="shared" si="9"/>
        <v>0</v>
      </c>
      <c r="I10" s="96">
        <f t="shared" si="0"/>
        <v>0</v>
      </c>
      <c r="J10" s="41"/>
      <c r="K10" s="41"/>
      <c r="L10" s="41"/>
      <c r="M10" s="96">
        <f t="shared" si="10"/>
        <v>0</v>
      </c>
      <c r="N10" s="96"/>
      <c r="O10" s="96"/>
      <c r="P10" s="96"/>
      <c r="Q10" s="42">
        <f t="shared" si="1"/>
        <v>160</v>
      </c>
      <c r="R10" s="42">
        <f t="shared" si="2"/>
        <v>2.4537326293646946</v>
      </c>
      <c r="S10" s="42">
        <f t="shared" si="3"/>
        <v>392.59722069835112</v>
      </c>
      <c r="T10" s="93">
        <v>60</v>
      </c>
      <c r="U10" s="41">
        <f t="shared" si="11"/>
        <v>2.4537326293646946</v>
      </c>
      <c r="V10" s="43">
        <f t="shared" si="12"/>
        <v>147.22395776188168</v>
      </c>
      <c r="W10" s="44">
        <f t="shared" si="5"/>
        <v>100</v>
      </c>
      <c r="X10" s="44">
        <f t="shared" si="6"/>
        <v>2.4537326293646946</v>
      </c>
      <c r="Y10" s="166">
        <f t="shared" si="13"/>
        <v>245.37326293646947</v>
      </c>
      <c r="AA10" s="131"/>
      <c r="AB10" s="131"/>
      <c r="AC10" s="191"/>
    </row>
    <row r="11" spans="1:29" customFormat="1" ht="15.5" customHeight="1" x14ac:dyDescent="0.25">
      <c r="A11" s="199" t="s">
        <v>84</v>
      </c>
      <c r="B11" s="140" t="s">
        <v>79</v>
      </c>
      <c r="C11" s="113">
        <v>18</v>
      </c>
      <c r="D11" s="141">
        <v>3.8076923076923079</v>
      </c>
      <c r="E11" s="113">
        <f t="shared" si="8"/>
        <v>68.538461538461547</v>
      </c>
      <c r="F11" s="41"/>
      <c r="G11" s="41"/>
      <c r="H11" s="41">
        <f t="shared" si="9"/>
        <v>0</v>
      </c>
      <c r="I11" s="96">
        <f t="shared" si="0"/>
        <v>0</v>
      </c>
      <c r="J11" s="41"/>
      <c r="K11" s="41"/>
      <c r="L11" s="41"/>
      <c r="M11" s="96">
        <f t="shared" si="10"/>
        <v>0</v>
      </c>
      <c r="N11" s="96"/>
      <c r="O11" s="96"/>
      <c r="P11" s="96"/>
      <c r="Q11" s="42">
        <f t="shared" si="1"/>
        <v>18</v>
      </c>
      <c r="R11" s="42">
        <f t="shared" si="2"/>
        <v>3.8076923076923084</v>
      </c>
      <c r="S11" s="42">
        <f t="shared" si="3"/>
        <v>68.538461538461547</v>
      </c>
      <c r="T11" s="93">
        <v>10</v>
      </c>
      <c r="U11" s="41">
        <f t="shared" si="11"/>
        <v>3.8076923076923084</v>
      </c>
      <c r="V11" s="43">
        <f t="shared" si="12"/>
        <v>38.07692307692308</v>
      </c>
      <c r="W11" s="44">
        <f t="shared" si="5"/>
        <v>8</v>
      </c>
      <c r="X11" s="44">
        <f t="shared" si="6"/>
        <v>3.8076923076923084</v>
      </c>
      <c r="Y11" s="166">
        <f t="shared" si="13"/>
        <v>30.461538461538467</v>
      </c>
      <c r="AA11" s="131"/>
      <c r="AB11" s="131"/>
      <c r="AC11" s="191"/>
    </row>
    <row r="12" spans="1:29" customFormat="1" ht="15.5" customHeight="1" x14ac:dyDescent="0.25">
      <c r="A12" s="199" t="s">
        <v>85</v>
      </c>
      <c r="B12" s="140" t="s">
        <v>79</v>
      </c>
      <c r="C12" s="113">
        <v>40</v>
      </c>
      <c r="D12" s="141">
        <v>2.3203577696538367</v>
      </c>
      <c r="E12" s="113">
        <f t="shared" si="8"/>
        <v>92.81431078615347</v>
      </c>
      <c r="F12" s="41"/>
      <c r="G12" s="41"/>
      <c r="H12" s="41">
        <f t="shared" si="9"/>
        <v>0</v>
      </c>
      <c r="I12" s="96">
        <f t="shared" si="0"/>
        <v>0</v>
      </c>
      <c r="J12" s="41"/>
      <c r="K12" s="41"/>
      <c r="L12" s="41"/>
      <c r="M12" s="96">
        <f t="shared" si="10"/>
        <v>0</v>
      </c>
      <c r="N12" s="96"/>
      <c r="O12" s="96"/>
      <c r="P12" s="96"/>
      <c r="Q12" s="42">
        <f t="shared" si="1"/>
        <v>40</v>
      </c>
      <c r="R12" s="42">
        <f t="shared" si="2"/>
        <v>2.3203577696538367</v>
      </c>
      <c r="S12" s="42">
        <f t="shared" si="3"/>
        <v>92.81431078615347</v>
      </c>
      <c r="T12" s="93">
        <v>20</v>
      </c>
      <c r="U12" s="41">
        <f t="shared" si="11"/>
        <v>2.3203577696538367</v>
      </c>
      <c r="V12" s="43">
        <f t="shared" si="12"/>
        <v>46.407155393076735</v>
      </c>
      <c r="W12" s="44">
        <f t="shared" si="5"/>
        <v>20</v>
      </c>
      <c r="X12" s="44">
        <f t="shared" si="6"/>
        <v>2.3203577696538367</v>
      </c>
      <c r="Y12" s="166">
        <f t="shared" si="13"/>
        <v>46.407155393076735</v>
      </c>
      <c r="AA12" s="131"/>
      <c r="AB12" s="131"/>
      <c r="AC12" s="191"/>
    </row>
    <row r="13" spans="1:29" customFormat="1" ht="15.65" customHeight="1" x14ac:dyDescent="0.25">
      <c r="A13" s="199" t="s">
        <v>86</v>
      </c>
      <c r="B13" s="140" t="s">
        <v>79</v>
      </c>
      <c r="C13" s="113"/>
      <c r="D13" s="141" t="s">
        <v>248</v>
      </c>
      <c r="E13" s="113">
        <f t="shared" si="8"/>
        <v>0</v>
      </c>
      <c r="F13" s="41"/>
      <c r="G13" s="41"/>
      <c r="H13" s="41">
        <f t="shared" si="9"/>
        <v>0</v>
      </c>
      <c r="I13" s="96">
        <f t="shared" si="0"/>
        <v>0</v>
      </c>
      <c r="J13" s="41"/>
      <c r="K13" s="41"/>
      <c r="L13" s="41"/>
      <c r="M13" s="96">
        <f t="shared" si="10"/>
        <v>0</v>
      </c>
      <c r="N13" s="96"/>
      <c r="O13" s="96"/>
      <c r="P13" s="96"/>
      <c r="Q13" s="42">
        <f t="shared" si="1"/>
        <v>0</v>
      </c>
      <c r="R13" s="42" t="str">
        <f t="shared" si="2"/>
        <v>0.00</v>
      </c>
      <c r="S13" s="42">
        <f t="shared" si="3"/>
        <v>0</v>
      </c>
      <c r="T13" s="93"/>
      <c r="U13" s="41" t="str">
        <f t="shared" si="11"/>
        <v>0.00</v>
      </c>
      <c r="V13" s="43">
        <f t="shared" si="12"/>
        <v>0</v>
      </c>
      <c r="W13" s="44">
        <f t="shared" si="5"/>
        <v>0</v>
      </c>
      <c r="X13" s="44" t="str">
        <f t="shared" si="6"/>
        <v>0.00</v>
      </c>
      <c r="Y13" s="166">
        <f t="shared" si="13"/>
        <v>0</v>
      </c>
      <c r="AA13" s="131"/>
      <c r="AB13" s="131"/>
      <c r="AC13" s="191"/>
    </row>
    <row r="14" spans="1:29" customFormat="1" ht="15.65" customHeight="1" x14ac:dyDescent="0.25">
      <c r="A14" s="177" t="s">
        <v>181</v>
      </c>
      <c r="B14" s="142" t="s">
        <v>79</v>
      </c>
      <c r="C14" s="113">
        <v>20</v>
      </c>
      <c r="D14" s="141">
        <v>2.5185927017557113</v>
      </c>
      <c r="E14" s="113">
        <f t="shared" si="8"/>
        <v>50.371854035114225</v>
      </c>
      <c r="F14" s="41"/>
      <c r="G14" s="41"/>
      <c r="H14" s="41">
        <f t="shared" si="9"/>
        <v>0</v>
      </c>
      <c r="I14" s="96">
        <f t="shared" si="0"/>
        <v>0</v>
      </c>
      <c r="J14" s="41"/>
      <c r="K14" s="41"/>
      <c r="L14" s="41"/>
      <c r="M14" s="96">
        <f t="shared" si="10"/>
        <v>0</v>
      </c>
      <c r="N14" s="96"/>
      <c r="O14" s="96"/>
      <c r="P14" s="96"/>
      <c r="Q14" s="42">
        <f t="shared" si="1"/>
        <v>20</v>
      </c>
      <c r="R14" s="42">
        <f t="shared" si="2"/>
        <v>2.5185927017557113</v>
      </c>
      <c r="S14" s="42">
        <f t="shared" si="3"/>
        <v>50.371854035114225</v>
      </c>
      <c r="T14" s="93">
        <v>15</v>
      </c>
      <c r="U14" s="41">
        <f t="shared" si="11"/>
        <v>2.5185927017557113</v>
      </c>
      <c r="V14" s="43">
        <f t="shared" si="12"/>
        <v>37.778890526335672</v>
      </c>
      <c r="W14" s="44">
        <f t="shared" si="5"/>
        <v>5</v>
      </c>
      <c r="X14" s="44">
        <f t="shared" si="6"/>
        <v>2.5185927017557113</v>
      </c>
      <c r="Y14" s="166">
        <f t="shared" si="13"/>
        <v>12.592963508778556</v>
      </c>
      <c r="AA14" s="131"/>
      <c r="AB14" s="131"/>
      <c r="AC14" s="191"/>
    </row>
    <row r="15" spans="1:29" customFormat="1" ht="15.65" customHeight="1" x14ac:dyDescent="0.25">
      <c r="A15" s="168" t="s">
        <v>87</v>
      </c>
      <c r="B15" s="140" t="s">
        <v>79</v>
      </c>
      <c r="C15" s="113">
        <v>12</v>
      </c>
      <c r="D15" s="141">
        <v>3.6187151865654181</v>
      </c>
      <c r="E15" s="113">
        <f t="shared" si="8"/>
        <v>43.424582238785021</v>
      </c>
      <c r="F15" s="41"/>
      <c r="G15" s="41"/>
      <c r="H15" s="41">
        <f t="shared" si="9"/>
        <v>0</v>
      </c>
      <c r="I15" s="96">
        <f t="shared" si="0"/>
        <v>0</v>
      </c>
      <c r="J15" s="41"/>
      <c r="K15" s="41"/>
      <c r="L15" s="41"/>
      <c r="M15" s="96">
        <f t="shared" si="10"/>
        <v>0</v>
      </c>
      <c r="N15" s="96"/>
      <c r="O15" s="96"/>
      <c r="P15" s="96"/>
      <c r="Q15" s="42">
        <f t="shared" si="1"/>
        <v>12</v>
      </c>
      <c r="R15" s="42">
        <f t="shared" si="2"/>
        <v>3.6187151865654186</v>
      </c>
      <c r="S15" s="42">
        <f t="shared" si="3"/>
        <v>43.424582238785021</v>
      </c>
      <c r="T15" s="93">
        <v>7</v>
      </c>
      <c r="U15" s="41">
        <f t="shared" si="11"/>
        <v>3.6187151865654186</v>
      </c>
      <c r="V15" s="43">
        <f t="shared" si="12"/>
        <v>25.331006305957931</v>
      </c>
      <c r="W15" s="44">
        <f t="shared" si="5"/>
        <v>5</v>
      </c>
      <c r="X15" s="44">
        <f t="shared" si="6"/>
        <v>3.6187151865654186</v>
      </c>
      <c r="Y15" s="166">
        <f t="shared" si="13"/>
        <v>18.093575932827093</v>
      </c>
      <c r="AA15" s="131"/>
      <c r="AB15" s="131"/>
      <c r="AC15" s="191"/>
    </row>
    <row r="16" spans="1:29" customFormat="1" ht="15.65" customHeight="1" x14ac:dyDescent="0.25">
      <c r="A16" s="199" t="s">
        <v>88</v>
      </c>
      <c r="B16" s="140" t="s">
        <v>79</v>
      </c>
      <c r="C16" s="113">
        <v>25</v>
      </c>
      <c r="D16" s="141">
        <v>4.1583869536625437</v>
      </c>
      <c r="E16" s="113">
        <f t="shared" si="8"/>
        <v>103.9596738415636</v>
      </c>
      <c r="F16" s="41"/>
      <c r="G16" s="41"/>
      <c r="H16" s="41">
        <f t="shared" si="9"/>
        <v>0</v>
      </c>
      <c r="I16" s="96">
        <f t="shared" si="0"/>
        <v>0</v>
      </c>
      <c r="J16" s="41"/>
      <c r="K16" s="41"/>
      <c r="L16" s="41"/>
      <c r="M16" s="96">
        <f t="shared" si="10"/>
        <v>0</v>
      </c>
      <c r="N16" s="96"/>
      <c r="O16" s="96"/>
      <c r="P16" s="96"/>
      <c r="Q16" s="42">
        <f t="shared" si="1"/>
        <v>25</v>
      </c>
      <c r="R16" s="42">
        <f t="shared" si="2"/>
        <v>4.1583869536625437</v>
      </c>
      <c r="S16" s="42">
        <f t="shared" si="3"/>
        <v>103.9596738415636</v>
      </c>
      <c r="T16" s="93">
        <v>12</v>
      </c>
      <c r="U16" s="41">
        <f t="shared" si="11"/>
        <v>4.1583869536625437</v>
      </c>
      <c r="V16" s="43">
        <f>T16*U16</f>
        <v>49.900643443950528</v>
      </c>
      <c r="W16" s="44">
        <f t="shared" si="5"/>
        <v>13</v>
      </c>
      <c r="X16" s="44">
        <f t="shared" si="6"/>
        <v>4.1583869536625437</v>
      </c>
      <c r="Y16" s="166">
        <f>W16*X16</f>
        <v>54.059030397613071</v>
      </c>
      <c r="AA16" s="131"/>
      <c r="AB16" s="131"/>
      <c r="AC16" s="191"/>
    </row>
    <row r="17" spans="1:29" customFormat="1" ht="15.65" customHeight="1" x14ac:dyDescent="0.25">
      <c r="A17" s="201" t="s">
        <v>182</v>
      </c>
      <c r="B17" s="142" t="s">
        <v>79</v>
      </c>
      <c r="C17" s="113">
        <v>15</v>
      </c>
      <c r="D17" s="141">
        <v>3.5133201176330959</v>
      </c>
      <c r="E17" s="113">
        <f t="shared" si="8"/>
        <v>52.699801764496442</v>
      </c>
      <c r="F17" s="41"/>
      <c r="G17" s="41"/>
      <c r="H17" s="41">
        <f t="shared" si="9"/>
        <v>0</v>
      </c>
      <c r="I17" s="96">
        <f t="shared" si="0"/>
        <v>0</v>
      </c>
      <c r="J17" s="41"/>
      <c r="K17" s="41"/>
      <c r="L17" s="41"/>
      <c r="M17" s="96">
        <f t="shared" si="10"/>
        <v>0</v>
      </c>
      <c r="N17" s="96"/>
      <c r="O17" s="96"/>
      <c r="P17" s="96"/>
      <c r="Q17" s="42">
        <f t="shared" si="1"/>
        <v>15</v>
      </c>
      <c r="R17" s="42">
        <f t="shared" si="2"/>
        <v>3.5133201176330959</v>
      </c>
      <c r="S17" s="42">
        <f t="shared" si="3"/>
        <v>52.699801764496442</v>
      </c>
      <c r="T17" s="93">
        <v>8</v>
      </c>
      <c r="U17" s="41">
        <f t="shared" si="11"/>
        <v>3.5133201176330959</v>
      </c>
      <c r="V17" s="43">
        <f t="shared" si="12"/>
        <v>28.106560941064767</v>
      </c>
      <c r="W17" s="44">
        <f t="shared" si="5"/>
        <v>7</v>
      </c>
      <c r="X17" s="44">
        <f t="shared" si="6"/>
        <v>3.5133201176330959</v>
      </c>
      <c r="Y17" s="166">
        <f t="shared" si="13"/>
        <v>24.593240823431671</v>
      </c>
      <c r="AA17" s="131"/>
      <c r="AB17" s="131"/>
      <c r="AC17" s="191"/>
    </row>
    <row r="18" spans="1:29" customFormat="1" ht="15.65" customHeight="1" x14ac:dyDescent="0.25">
      <c r="A18" s="199" t="s">
        <v>89</v>
      </c>
      <c r="B18" s="140" t="s">
        <v>79</v>
      </c>
      <c r="C18" s="113">
        <v>2</v>
      </c>
      <c r="D18" s="141">
        <v>3.14</v>
      </c>
      <c r="E18" s="113">
        <f t="shared" si="8"/>
        <v>6.28</v>
      </c>
      <c r="F18" s="41"/>
      <c r="G18" s="41"/>
      <c r="H18" s="41">
        <f t="shared" si="9"/>
        <v>0</v>
      </c>
      <c r="I18" s="96">
        <f t="shared" si="0"/>
        <v>0</v>
      </c>
      <c r="J18" s="41"/>
      <c r="K18" s="41"/>
      <c r="L18" s="41"/>
      <c r="M18" s="96">
        <f t="shared" si="10"/>
        <v>0</v>
      </c>
      <c r="N18" s="96"/>
      <c r="O18" s="96"/>
      <c r="P18" s="96"/>
      <c r="Q18" s="42">
        <f t="shared" si="1"/>
        <v>2</v>
      </c>
      <c r="R18" s="42">
        <f t="shared" si="2"/>
        <v>3.14</v>
      </c>
      <c r="S18" s="42">
        <f t="shared" si="3"/>
        <v>6.28</v>
      </c>
      <c r="T18" s="93">
        <v>2</v>
      </c>
      <c r="U18" s="41">
        <f t="shared" si="11"/>
        <v>3.14</v>
      </c>
      <c r="V18" s="43">
        <f t="shared" si="12"/>
        <v>6.28</v>
      </c>
      <c r="W18" s="44">
        <f t="shared" si="5"/>
        <v>0</v>
      </c>
      <c r="X18" s="44">
        <f t="shared" si="6"/>
        <v>3.14</v>
      </c>
      <c r="Y18" s="166">
        <f t="shared" si="13"/>
        <v>0</v>
      </c>
      <c r="AA18" s="131"/>
      <c r="AB18" s="131"/>
      <c r="AC18" s="191"/>
    </row>
    <row r="19" spans="1:29" customFormat="1" ht="15.65" customHeight="1" x14ac:dyDescent="0.25">
      <c r="A19" s="199" t="s">
        <v>90</v>
      </c>
      <c r="B19" s="140" t="s">
        <v>79</v>
      </c>
      <c r="C19" s="113">
        <v>25</v>
      </c>
      <c r="D19" s="141">
        <v>8.0054881208377164</v>
      </c>
      <c r="E19" s="113">
        <f t="shared" si="8"/>
        <v>200.13720302094291</v>
      </c>
      <c r="F19" s="41"/>
      <c r="G19" s="41"/>
      <c r="H19" s="41">
        <f t="shared" si="9"/>
        <v>0</v>
      </c>
      <c r="I19" s="96">
        <f t="shared" si="0"/>
        <v>0</v>
      </c>
      <c r="J19" s="41"/>
      <c r="K19" s="41"/>
      <c r="L19" s="41"/>
      <c r="M19" s="96">
        <f t="shared" si="10"/>
        <v>0</v>
      </c>
      <c r="N19" s="96"/>
      <c r="O19" s="96"/>
      <c r="P19" s="96"/>
      <c r="Q19" s="42">
        <f t="shared" si="1"/>
        <v>25</v>
      </c>
      <c r="R19" s="42">
        <f t="shared" si="2"/>
        <v>8.0054881208377164</v>
      </c>
      <c r="S19" s="42">
        <f t="shared" si="3"/>
        <v>200.13720302094291</v>
      </c>
      <c r="T19" s="93">
        <v>12</v>
      </c>
      <c r="U19" s="41">
        <f t="shared" si="11"/>
        <v>8.0054881208377164</v>
      </c>
      <c r="V19" s="43">
        <f t="shared" si="12"/>
        <v>96.06585745005259</v>
      </c>
      <c r="W19" s="44">
        <f t="shared" si="5"/>
        <v>13</v>
      </c>
      <c r="X19" s="44">
        <f t="shared" si="6"/>
        <v>8.0054881208377164</v>
      </c>
      <c r="Y19" s="166">
        <f t="shared" si="13"/>
        <v>104.07134557089032</v>
      </c>
      <c r="AA19" s="131"/>
      <c r="AB19" s="131"/>
      <c r="AC19" s="191"/>
    </row>
    <row r="20" spans="1:29" customFormat="1" ht="15.65" customHeight="1" x14ac:dyDescent="0.25">
      <c r="A20" s="199" t="s">
        <v>300</v>
      </c>
      <c r="B20" s="140" t="s">
        <v>79</v>
      </c>
      <c r="C20" s="113">
        <v>27</v>
      </c>
      <c r="D20" s="113">
        <v>4.6343991171917809</v>
      </c>
      <c r="E20" s="113">
        <f t="shared" si="8"/>
        <v>125.12877616417808</v>
      </c>
      <c r="F20" s="41"/>
      <c r="G20" s="41"/>
      <c r="H20" s="41">
        <f t="shared" si="9"/>
        <v>0</v>
      </c>
      <c r="I20" s="96">
        <f t="shared" si="0"/>
        <v>0</v>
      </c>
      <c r="J20" s="41"/>
      <c r="K20" s="41"/>
      <c r="L20" s="41"/>
      <c r="M20" s="96">
        <f t="shared" si="10"/>
        <v>0</v>
      </c>
      <c r="N20" s="96"/>
      <c r="O20" s="96"/>
      <c r="P20" s="96"/>
      <c r="Q20" s="42">
        <f t="shared" si="1"/>
        <v>27</v>
      </c>
      <c r="R20" s="42">
        <f t="shared" si="2"/>
        <v>4.6343991171917809</v>
      </c>
      <c r="S20" s="42">
        <f t="shared" si="3"/>
        <v>125.12877616417808</v>
      </c>
      <c r="T20" s="93">
        <v>12</v>
      </c>
      <c r="U20" s="41">
        <f t="shared" si="11"/>
        <v>4.6343991171917809</v>
      </c>
      <c r="V20" s="43">
        <f t="shared" si="12"/>
        <v>55.612789406301374</v>
      </c>
      <c r="W20" s="44">
        <f t="shared" si="5"/>
        <v>15</v>
      </c>
      <c r="X20" s="44">
        <f t="shared" si="6"/>
        <v>4.6343991171917809</v>
      </c>
      <c r="Y20" s="166">
        <f t="shared" si="13"/>
        <v>69.515986757876718</v>
      </c>
      <c r="AA20" s="131"/>
      <c r="AB20" s="131"/>
      <c r="AC20" s="191"/>
    </row>
    <row r="21" spans="1:29" customFormat="1" ht="15.5" customHeight="1" x14ac:dyDescent="0.25">
      <c r="A21" s="199" t="s">
        <v>291</v>
      </c>
      <c r="B21" s="140" t="s">
        <v>79</v>
      </c>
      <c r="C21" s="113">
        <v>18</v>
      </c>
      <c r="D21" s="141">
        <v>13.727818273538062</v>
      </c>
      <c r="E21" s="113">
        <f t="shared" si="8"/>
        <v>247.10072892368512</v>
      </c>
      <c r="F21" s="41"/>
      <c r="G21" s="41"/>
      <c r="H21" s="41">
        <f t="shared" si="9"/>
        <v>0</v>
      </c>
      <c r="I21" s="96">
        <f t="shared" si="0"/>
        <v>0</v>
      </c>
      <c r="J21" s="41"/>
      <c r="K21" s="41"/>
      <c r="L21" s="41"/>
      <c r="M21" s="96">
        <f t="shared" si="10"/>
        <v>0</v>
      </c>
      <c r="N21" s="96"/>
      <c r="O21" s="96"/>
      <c r="P21" s="96"/>
      <c r="Q21" s="42">
        <f t="shared" si="1"/>
        <v>18</v>
      </c>
      <c r="R21" s="42">
        <f t="shared" si="2"/>
        <v>13.727818273538062</v>
      </c>
      <c r="S21" s="42">
        <f t="shared" si="3"/>
        <v>247.10072892368512</v>
      </c>
      <c r="T21" s="93">
        <v>8</v>
      </c>
      <c r="U21" s="41">
        <f t="shared" si="11"/>
        <v>13.727818273538062</v>
      </c>
      <c r="V21" s="43">
        <f t="shared" si="12"/>
        <v>109.8225461883045</v>
      </c>
      <c r="W21" s="44">
        <f t="shared" si="5"/>
        <v>10</v>
      </c>
      <c r="X21" s="44">
        <f t="shared" si="6"/>
        <v>13.727818273538062</v>
      </c>
      <c r="Y21" s="166">
        <f t="shared" si="13"/>
        <v>137.27818273538062</v>
      </c>
      <c r="AA21" s="131"/>
      <c r="AB21" s="131"/>
      <c r="AC21" s="191"/>
    </row>
    <row r="22" spans="1:29" customFormat="1" ht="15.5" customHeight="1" x14ac:dyDescent="0.25">
      <c r="A22" s="199" t="s">
        <v>344</v>
      </c>
      <c r="B22" s="140" t="s">
        <v>79</v>
      </c>
      <c r="C22" s="113">
        <v>0</v>
      </c>
      <c r="D22" s="141" t="s">
        <v>248</v>
      </c>
      <c r="E22" s="113">
        <f t="shared" si="8"/>
        <v>0</v>
      </c>
      <c r="F22" s="41"/>
      <c r="G22" s="41"/>
      <c r="H22" s="41">
        <f t="shared" si="9"/>
        <v>0</v>
      </c>
      <c r="I22" s="96">
        <f t="shared" si="0"/>
        <v>0</v>
      </c>
      <c r="J22" s="41"/>
      <c r="K22" s="41"/>
      <c r="L22" s="41"/>
      <c r="M22" s="96">
        <f t="shared" si="10"/>
        <v>0</v>
      </c>
      <c r="N22" s="96"/>
      <c r="O22" s="96"/>
      <c r="P22" s="96"/>
      <c r="Q22" s="42">
        <f t="shared" si="1"/>
        <v>0</v>
      </c>
      <c r="R22" s="42" t="str">
        <f t="shared" si="2"/>
        <v>0.00</v>
      </c>
      <c r="S22" s="42">
        <f t="shared" si="3"/>
        <v>0</v>
      </c>
      <c r="T22" s="93">
        <v>0</v>
      </c>
      <c r="U22" s="41" t="str">
        <f t="shared" si="11"/>
        <v>0.00</v>
      </c>
      <c r="V22" s="43">
        <f t="shared" si="12"/>
        <v>0</v>
      </c>
      <c r="W22" s="44">
        <f t="shared" si="5"/>
        <v>0</v>
      </c>
      <c r="X22" s="44" t="str">
        <f t="shared" si="6"/>
        <v>0.00</v>
      </c>
      <c r="Y22" s="166">
        <f t="shared" si="13"/>
        <v>0</v>
      </c>
      <c r="AA22" s="131"/>
      <c r="AB22" s="131"/>
      <c r="AC22" s="191"/>
    </row>
    <row r="23" spans="1:29" customFormat="1" ht="15.5" customHeight="1" x14ac:dyDescent="0.25">
      <c r="A23" s="201" t="s">
        <v>395</v>
      </c>
      <c r="B23" s="142" t="s">
        <v>79</v>
      </c>
      <c r="C23" s="113">
        <v>0</v>
      </c>
      <c r="D23" s="141" t="s">
        <v>248</v>
      </c>
      <c r="E23" s="113">
        <f t="shared" si="8"/>
        <v>0</v>
      </c>
      <c r="F23" s="41"/>
      <c r="G23" s="41"/>
      <c r="H23" s="41">
        <f t="shared" si="9"/>
        <v>0</v>
      </c>
      <c r="I23" s="96">
        <f t="shared" si="0"/>
        <v>0</v>
      </c>
      <c r="J23" s="41"/>
      <c r="K23" s="41"/>
      <c r="L23" s="41"/>
      <c r="M23" s="96">
        <f t="shared" si="10"/>
        <v>0</v>
      </c>
      <c r="N23" s="96"/>
      <c r="O23" s="96"/>
      <c r="P23" s="96"/>
      <c r="Q23" s="42">
        <f t="shared" si="1"/>
        <v>0</v>
      </c>
      <c r="R23" s="42" t="str">
        <f t="shared" si="2"/>
        <v>0.00</v>
      </c>
      <c r="S23" s="42">
        <f t="shared" si="3"/>
        <v>0</v>
      </c>
      <c r="T23" s="93">
        <v>0</v>
      </c>
      <c r="U23" s="41" t="str">
        <f t="shared" si="11"/>
        <v>0.00</v>
      </c>
      <c r="V23" s="43">
        <f t="shared" si="12"/>
        <v>0</v>
      </c>
      <c r="W23" s="44">
        <f t="shared" si="5"/>
        <v>0</v>
      </c>
      <c r="X23" s="44" t="str">
        <f t="shared" si="6"/>
        <v>0.00</v>
      </c>
      <c r="Y23" s="166">
        <f t="shared" si="13"/>
        <v>0</v>
      </c>
      <c r="AA23" s="131"/>
      <c r="AB23" s="131"/>
      <c r="AC23" s="191"/>
    </row>
    <row r="24" spans="1:29" customFormat="1" ht="15.5" customHeight="1" x14ac:dyDescent="0.25">
      <c r="A24" s="199" t="s">
        <v>318</v>
      </c>
      <c r="B24" s="140" t="s">
        <v>79</v>
      </c>
      <c r="C24" s="113">
        <v>15</v>
      </c>
      <c r="D24" s="141">
        <v>7.0611451758383232</v>
      </c>
      <c r="E24" s="113">
        <f t="shared" si="8"/>
        <v>105.91717763757485</v>
      </c>
      <c r="F24" s="41"/>
      <c r="G24" s="41"/>
      <c r="H24" s="41">
        <f t="shared" si="9"/>
        <v>0</v>
      </c>
      <c r="I24" s="96">
        <f t="shared" si="0"/>
        <v>0</v>
      </c>
      <c r="J24" s="41"/>
      <c r="K24" s="41"/>
      <c r="L24" s="41"/>
      <c r="M24" s="96">
        <f t="shared" si="10"/>
        <v>0</v>
      </c>
      <c r="N24" s="96"/>
      <c r="O24" s="96"/>
      <c r="P24" s="96"/>
      <c r="Q24" s="42">
        <f t="shared" si="1"/>
        <v>15</v>
      </c>
      <c r="R24" s="42">
        <f t="shared" si="2"/>
        <v>7.0611451758383232</v>
      </c>
      <c r="S24" s="42">
        <f t="shared" si="3"/>
        <v>105.91717763757485</v>
      </c>
      <c r="T24" s="93">
        <v>7</v>
      </c>
      <c r="U24" s="41">
        <f t="shared" si="11"/>
        <v>7.0611451758383232</v>
      </c>
      <c r="V24" s="43">
        <f t="shared" si="12"/>
        <v>49.428016230868266</v>
      </c>
      <c r="W24" s="44">
        <f t="shared" si="5"/>
        <v>8</v>
      </c>
      <c r="X24" s="44">
        <f t="shared" si="6"/>
        <v>7.0611451758383232</v>
      </c>
      <c r="Y24" s="166">
        <f t="shared" si="13"/>
        <v>56.489161406706586</v>
      </c>
      <c r="AA24" s="131"/>
      <c r="AB24" s="131"/>
      <c r="AC24" s="191"/>
    </row>
    <row r="25" spans="1:29" customFormat="1" ht="15.65" customHeight="1" x14ac:dyDescent="0.25">
      <c r="A25" s="199" t="s">
        <v>91</v>
      </c>
      <c r="B25" s="140" t="s">
        <v>79</v>
      </c>
      <c r="C25" s="113">
        <v>20</v>
      </c>
      <c r="D25" s="141">
        <v>9.045428068288917</v>
      </c>
      <c r="E25" s="113">
        <f t="shared" si="8"/>
        <v>180.90856136577833</v>
      </c>
      <c r="F25" s="41"/>
      <c r="G25" s="41"/>
      <c r="H25" s="41">
        <f t="shared" si="9"/>
        <v>0</v>
      </c>
      <c r="I25" s="96">
        <f t="shared" si="0"/>
        <v>0</v>
      </c>
      <c r="J25" s="41"/>
      <c r="K25" s="41"/>
      <c r="L25" s="41"/>
      <c r="M25" s="96">
        <f t="shared" si="10"/>
        <v>0</v>
      </c>
      <c r="N25" s="96"/>
      <c r="O25" s="96"/>
      <c r="P25" s="96"/>
      <c r="Q25" s="42">
        <f t="shared" si="1"/>
        <v>20</v>
      </c>
      <c r="R25" s="42">
        <f t="shared" si="2"/>
        <v>9.045428068288917</v>
      </c>
      <c r="S25" s="42">
        <f t="shared" si="3"/>
        <v>180.90856136577833</v>
      </c>
      <c r="T25" s="93">
        <v>12</v>
      </c>
      <c r="U25" s="41">
        <f t="shared" si="11"/>
        <v>9.045428068288917</v>
      </c>
      <c r="V25" s="43">
        <f t="shared" si="12"/>
        <v>108.545136819467</v>
      </c>
      <c r="W25" s="44">
        <f t="shared" si="5"/>
        <v>8</v>
      </c>
      <c r="X25" s="44">
        <f t="shared" si="6"/>
        <v>9.045428068288917</v>
      </c>
      <c r="Y25" s="166">
        <f t="shared" si="13"/>
        <v>72.363424546311336</v>
      </c>
      <c r="AA25" s="131"/>
      <c r="AB25" s="131"/>
      <c r="AC25" s="191"/>
    </row>
    <row r="26" spans="1:29" customFormat="1" ht="15.65" customHeight="1" x14ac:dyDescent="0.25">
      <c r="A26" s="199" t="s">
        <v>92</v>
      </c>
      <c r="B26" s="140" t="s">
        <v>79</v>
      </c>
      <c r="C26" s="113">
        <v>11</v>
      </c>
      <c r="D26" s="141">
        <v>2.4740918745900955</v>
      </c>
      <c r="E26" s="113">
        <f t="shared" si="8"/>
        <v>27.21501062049105</v>
      </c>
      <c r="F26" s="41"/>
      <c r="G26" s="41"/>
      <c r="H26" s="41">
        <f t="shared" si="9"/>
        <v>0</v>
      </c>
      <c r="I26" s="96">
        <f t="shared" si="0"/>
        <v>0</v>
      </c>
      <c r="J26" s="41"/>
      <c r="K26" s="41"/>
      <c r="L26" s="41"/>
      <c r="M26" s="96">
        <f t="shared" si="10"/>
        <v>0</v>
      </c>
      <c r="N26" s="96"/>
      <c r="O26" s="96"/>
      <c r="P26" s="96"/>
      <c r="Q26" s="42">
        <f t="shared" si="1"/>
        <v>11</v>
      </c>
      <c r="R26" s="42">
        <f t="shared" si="2"/>
        <v>2.4740918745900955</v>
      </c>
      <c r="S26" s="42">
        <f t="shared" si="3"/>
        <v>27.21501062049105</v>
      </c>
      <c r="T26" s="93">
        <v>7</v>
      </c>
      <c r="U26" s="41">
        <f t="shared" si="11"/>
        <v>2.4740918745900955</v>
      </c>
      <c r="V26" s="43">
        <f t="shared" si="12"/>
        <v>17.31864312213067</v>
      </c>
      <c r="W26" s="44">
        <f t="shared" si="5"/>
        <v>4</v>
      </c>
      <c r="X26" s="44">
        <f t="shared" si="6"/>
        <v>2.4740918745900955</v>
      </c>
      <c r="Y26" s="166">
        <f t="shared" si="13"/>
        <v>9.896367498360382</v>
      </c>
      <c r="AA26" s="131"/>
      <c r="AB26" s="131"/>
      <c r="AC26" s="191"/>
    </row>
    <row r="27" spans="1:29" customFormat="1" ht="15.5" customHeight="1" x14ac:dyDescent="0.25">
      <c r="A27" s="199" t="s">
        <v>93</v>
      </c>
      <c r="B27" s="140" t="s">
        <v>79</v>
      </c>
      <c r="C27" s="113">
        <v>20</v>
      </c>
      <c r="D27" s="141">
        <v>10.012860982717902</v>
      </c>
      <c r="E27" s="113">
        <f t="shared" si="8"/>
        <v>200.25721965435804</v>
      </c>
      <c r="F27" s="41"/>
      <c r="G27" s="41"/>
      <c r="H27" s="41">
        <f t="shared" si="9"/>
        <v>0</v>
      </c>
      <c r="I27" s="96">
        <f t="shared" si="0"/>
        <v>0</v>
      </c>
      <c r="J27" s="41"/>
      <c r="K27" s="41"/>
      <c r="L27" s="41"/>
      <c r="M27" s="96">
        <f t="shared" si="10"/>
        <v>0</v>
      </c>
      <c r="N27" s="96"/>
      <c r="O27" s="96"/>
      <c r="P27" s="96"/>
      <c r="Q27" s="42">
        <f t="shared" si="1"/>
        <v>20</v>
      </c>
      <c r="R27" s="42">
        <f t="shared" si="2"/>
        <v>10.012860982717902</v>
      </c>
      <c r="S27" s="42">
        <f t="shared" si="3"/>
        <v>200.25721965435804</v>
      </c>
      <c r="T27" s="93">
        <v>12</v>
      </c>
      <c r="U27" s="41">
        <f t="shared" si="11"/>
        <v>10.012860982717902</v>
      </c>
      <c r="V27" s="43">
        <f t="shared" si="12"/>
        <v>120.15433179261481</v>
      </c>
      <c r="W27" s="44">
        <f t="shared" si="5"/>
        <v>8</v>
      </c>
      <c r="X27" s="44">
        <f t="shared" si="6"/>
        <v>10.012860982717902</v>
      </c>
      <c r="Y27" s="166">
        <f t="shared" si="13"/>
        <v>80.102887861743213</v>
      </c>
      <c r="AA27" s="131"/>
      <c r="AB27" s="131"/>
      <c r="AC27" s="191"/>
    </row>
    <row r="28" spans="1:29" customFormat="1" ht="15.5" customHeight="1" x14ac:dyDescent="0.25">
      <c r="A28" s="199" t="s">
        <v>94</v>
      </c>
      <c r="B28" s="140" t="s">
        <v>70</v>
      </c>
      <c r="C28" s="113">
        <v>11</v>
      </c>
      <c r="D28" s="141">
        <v>4.2190342877071112</v>
      </c>
      <c r="E28" s="113">
        <f t="shared" si="8"/>
        <v>46.409377164778221</v>
      </c>
      <c r="F28" s="41"/>
      <c r="G28" s="41"/>
      <c r="H28" s="41">
        <f t="shared" si="9"/>
        <v>0</v>
      </c>
      <c r="I28" s="96">
        <f t="shared" si="0"/>
        <v>0</v>
      </c>
      <c r="J28" s="41"/>
      <c r="K28" s="41"/>
      <c r="L28" s="41"/>
      <c r="M28" s="96">
        <f t="shared" si="10"/>
        <v>0</v>
      </c>
      <c r="N28" s="96"/>
      <c r="O28" s="96"/>
      <c r="P28" s="96"/>
      <c r="Q28" s="42">
        <f t="shared" si="1"/>
        <v>11</v>
      </c>
      <c r="R28" s="42">
        <f t="shared" si="2"/>
        <v>4.2190342877071112</v>
      </c>
      <c r="S28" s="42">
        <f t="shared" si="3"/>
        <v>46.409377164778221</v>
      </c>
      <c r="T28" s="93">
        <v>10</v>
      </c>
      <c r="U28" s="41">
        <f t="shared" si="11"/>
        <v>4.2190342877071112</v>
      </c>
      <c r="V28" s="43">
        <f t="shared" si="12"/>
        <v>42.19034287707111</v>
      </c>
      <c r="W28" s="44">
        <f t="shared" si="5"/>
        <v>1</v>
      </c>
      <c r="X28" s="44">
        <f t="shared" si="6"/>
        <v>4.2190342877071112</v>
      </c>
      <c r="Y28" s="166">
        <f t="shared" si="13"/>
        <v>4.2190342877071112</v>
      </c>
      <c r="AA28" s="131"/>
      <c r="AB28" s="131"/>
      <c r="AC28" s="191"/>
    </row>
    <row r="29" spans="1:29" customFormat="1" ht="15.5" customHeight="1" x14ac:dyDescent="0.25">
      <c r="A29" s="199" t="s">
        <v>95</v>
      </c>
      <c r="B29" s="140" t="s">
        <v>70</v>
      </c>
      <c r="C29" s="113">
        <v>45</v>
      </c>
      <c r="D29" s="141">
        <v>2.6153846153846154</v>
      </c>
      <c r="E29" s="113">
        <f t="shared" si="8"/>
        <v>117.69230769230769</v>
      </c>
      <c r="F29" s="41"/>
      <c r="G29" s="41"/>
      <c r="H29" s="41">
        <f t="shared" si="9"/>
        <v>0</v>
      </c>
      <c r="I29" s="96">
        <f t="shared" si="0"/>
        <v>0</v>
      </c>
      <c r="J29" s="41"/>
      <c r="K29" s="41"/>
      <c r="L29" s="41"/>
      <c r="M29" s="96">
        <f t="shared" si="10"/>
        <v>0</v>
      </c>
      <c r="N29" s="96"/>
      <c r="O29" s="96"/>
      <c r="P29" s="96"/>
      <c r="Q29" s="42">
        <f t="shared" si="1"/>
        <v>45</v>
      </c>
      <c r="R29" s="42">
        <f t="shared" si="2"/>
        <v>2.6153846153846154</v>
      </c>
      <c r="S29" s="42">
        <f t="shared" si="3"/>
        <v>117.69230769230769</v>
      </c>
      <c r="T29" s="93">
        <v>10</v>
      </c>
      <c r="U29" s="41">
        <f t="shared" si="11"/>
        <v>2.6153846153846154</v>
      </c>
      <c r="V29" s="43">
        <f t="shared" si="12"/>
        <v>26.153846153846153</v>
      </c>
      <c r="W29" s="44">
        <f t="shared" si="5"/>
        <v>35</v>
      </c>
      <c r="X29" s="44">
        <f t="shared" si="6"/>
        <v>2.6153846153846154</v>
      </c>
      <c r="Y29" s="166">
        <f t="shared" si="13"/>
        <v>91.538461538461533</v>
      </c>
      <c r="AA29" s="131"/>
      <c r="AB29" s="131"/>
      <c r="AC29" s="191"/>
    </row>
    <row r="30" spans="1:29" customFormat="1" ht="16.5" customHeight="1" x14ac:dyDescent="0.25">
      <c r="A30" s="200" t="s">
        <v>404</v>
      </c>
      <c r="B30" s="140" t="s">
        <v>70</v>
      </c>
      <c r="C30" s="113">
        <v>5</v>
      </c>
      <c r="D30" s="141">
        <v>4.0769230769230766</v>
      </c>
      <c r="E30" s="113">
        <f t="shared" si="8"/>
        <v>20.384615384615383</v>
      </c>
      <c r="F30" s="41"/>
      <c r="G30" s="41"/>
      <c r="H30" s="41">
        <f t="shared" si="9"/>
        <v>0</v>
      </c>
      <c r="I30" s="96">
        <f t="shared" si="0"/>
        <v>0</v>
      </c>
      <c r="J30" s="41"/>
      <c r="K30" s="41"/>
      <c r="L30" s="41"/>
      <c r="M30" s="96">
        <f t="shared" si="10"/>
        <v>0</v>
      </c>
      <c r="N30" s="96"/>
      <c r="O30" s="96"/>
      <c r="P30" s="96"/>
      <c r="Q30" s="42">
        <f t="shared" si="1"/>
        <v>5</v>
      </c>
      <c r="R30" s="42">
        <f t="shared" si="2"/>
        <v>4.0769230769230766</v>
      </c>
      <c r="S30" s="42">
        <f t="shared" si="3"/>
        <v>20.384615384615383</v>
      </c>
      <c r="T30" s="93">
        <v>1</v>
      </c>
      <c r="U30" s="41">
        <f t="shared" si="11"/>
        <v>4.0769230769230766</v>
      </c>
      <c r="V30" s="43">
        <f t="shared" si="12"/>
        <v>4.0769230769230766</v>
      </c>
      <c r="W30" s="44">
        <f t="shared" si="5"/>
        <v>4</v>
      </c>
      <c r="X30" s="44">
        <f t="shared" si="6"/>
        <v>4.0769230769230766</v>
      </c>
      <c r="Y30" s="166">
        <f t="shared" si="13"/>
        <v>16.307692307692307</v>
      </c>
      <c r="AA30" s="131"/>
      <c r="AB30" s="131"/>
      <c r="AC30" s="191"/>
    </row>
    <row r="31" spans="1:29" customFormat="1" ht="15.5" customHeight="1" x14ac:dyDescent="0.25">
      <c r="A31" s="176" t="s">
        <v>96</v>
      </c>
      <c r="B31" s="140" t="s">
        <v>70</v>
      </c>
      <c r="C31" s="113">
        <v>20</v>
      </c>
      <c r="D31" s="141">
        <v>2.0329027539677433</v>
      </c>
      <c r="E31" s="113">
        <f t="shared" si="8"/>
        <v>40.658055079354867</v>
      </c>
      <c r="F31" s="41"/>
      <c r="G31" s="41"/>
      <c r="H31" s="41">
        <f t="shared" si="9"/>
        <v>0</v>
      </c>
      <c r="I31" s="96">
        <f t="shared" si="0"/>
        <v>0</v>
      </c>
      <c r="J31" s="41"/>
      <c r="K31" s="41"/>
      <c r="L31" s="41"/>
      <c r="M31" s="96">
        <f t="shared" si="10"/>
        <v>0</v>
      </c>
      <c r="N31" s="96"/>
      <c r="O31" s="96"/>
      <c r="P31" s="96"/>
      <c r="Q31" s="42">
        <f t="shared" si="1"/>
        <v>20</v>
      </c>
      <c r="R31" s="42">
        <f t="shared" si="2"/>
        <v>2.0329027539677433</v>
      </c>
      <c r="S31" s="42">
        <f t="shared" si="3"/>
        <v>40.658055079354867</v>
      </c>
      <c r="T31" s="93">
        <v>10</v>
      </c>
      <c r="U31" s="41">
        <f t="shared" si="11"/>
        <v>2.0329027539677433</v>
      </c>
      <c r="V31" s="43">
        <f t="shared" si="12"/>
        <v>20.329027539677433</v>
      </c>
      <c r="W31" s="44">
        <f t="shared" si="5"/>
        <v>10</v>
      </c>
      <c r="X31" s="44">
        <f t="shared" si="6"/>
        <v>2.0329027539677433</v>
      </c>
      <c r="Y31" s="166">
        <f t="shared" si="13"/>
        <v>20.329027539677433</v>
      </c>
      <c r="AA31" s="131"/>
      <c r="AB31" s="131"/>
      <c r="AC31" s="191"/>
    </row>
    <row r="32" spans="1:29" customFormat="1" ht="15.5" customHeight="1" x14ac:dyDescent="0.25">
      <c r="A32" s="168" t="s">
        <v>303</v>
      </c>
      <c r="B32" s="140" t="s">
        <v>82</v>
      </c>
      <c r="C32" s="113">
        <v>10</v>
      </c>
      <c r="D32" s="141">
        <v>0.96350687752266262</v>
      </c>
      <c r="E32" s="113">
        <f t="shared" si="8"/>
        <v>9.6350687752266264</v>
      </c>
      <c r="F32" s="41"/>
      <c r="G32" s="41"/>
      <c r="H32" s="41">
        <f t="shared" si="9"/>
        <v>0</v>
      </c>
      <c r="I32" s="96">
        <f t="shared" si="0"/>
        <v>0</v>
      </c>
      <c r="J32" s="41"/>
      <c r="K32" s="41"/>
      <c r="L32" s="41"/>
      <c r="M32" s="96">
        <f t="shared" si="10"/>
        <v>0</v>
      </c>
      <c r="N32" s="96"/>
      <c r="O32" s="96"/>
      <c r="P32" s="96"/>
      <c r="Q32" s="42">
        <f t="shared" si="1"/>
        <v>10</v>
      </c>
      <c r="R32" s="42">
        <f t="shared" si="2"/>
        <v>0.96350687752266262</v>
      </c>
      <c r="S32" s="42">
        <f t="shared" si="3"/>
        <v>9.6350687752266264</v>
      </c>
      <c r="T32" s="93">
        <v>5</v>
      </c>
      <c r="U32" s="41">
        <f t="shared" si="11"/>
        <v>0.96350687752266262</v>
      </c>
      <c r="V32" s="43">
        <f t="shared" si="12"/>
        <v>4.8175343876133132</v>
      </c>
      <c r="W32" s="44">
        <f t="shared" si="5"/>
        <v>5</v>
      </c>
      <c r="X32" s="44">
        <f t="shared" si="6"/>
        <v>0.96350687752266262</v>
      </c>
      <c r="Y32" s="166">
        <f t="shared" si="13"/>
        <v>4.8175343876133132</v>
      </c>
      <c r="AA32" s="131"/>
      <c r="AB32" s="131"/>
      <c r="AC32" s="191"/>
    </row>
    <row r="33" spans="1:29" customFormat="1" ht="15.65" customHeight="1" x14ac:dyDescent="0.25">
      <c r="A33" s="175" t="s">
        <v>304</v>
      </c>
      <c r="B33" s="142" t="s">
        <v>70</v>
      </c>
      <c r="C33" s="113">
        <v>0</v>
      </c>
      <c r="D33" s="141" t="s">
        <v>248</v>
      </c>
      <c r="E33" s="113">
        <f t="shared" si="8"/>
        <v>0</v>
      </c>
      <c r="F33" s="41"/>
      <c r="G33" s="41"/>
      <c r="H33" s="41">
        <f t="shared" si="9"/>
        <v>0</v>
      </c>
      <c r="I33" s="96">
        <f t="shared" si="0"/>
        <v>0</v>
      </c>
      <c r="J33" s="41"/>
      <c r="K33" s="41"/>
      <c r="L33" s="41"/>
      <c r="M33" s="96">
        <f t="shared" si="10"/>
        <v>0</v>
      </c>
      <c r="N33" s="96"/>
      <c r="O33" s="96"/>
      <c r="P33" s="96"/>
      <c r="Q33" s="42">
        <f t="shared" si="1"/>
        <v>0</v>
      </c>
      <c r="R33" s="42" t="str">
        <f t="shared" si="2"/>
        <v>0.00</v>
      </c>
      <c r="S33" s="42">
        <f t="shared" si="3"/>
        <v>0</v>
      </c>
      <c r="T33" s="93">
        <v>0</v>
      </c>
      <c r="U33" s="41" t="str">
        <f t="shared" si="11"/>
        <v>0.00</v>
      </c>
      <c r="V33" s="43">
        <f t="shared" si="12"/>
        <v>0</v>
      </c>
      <c r="W33" s="44">
        <f t="shared" si="5"/>
        <v>0</v>
      </c>
      <c r="X33" s="44" t="str">
        <f t="shared" si="6"/>
        <v>0.00</v>
      </c>
      <c r="Y33" s="166">
        <f t="shared" si="13"/>
        <v>0</v>
      </c>
      <c r="AA33" s="131"/>
      <c r="AB33" s="131"/>
      <c r="AC33" s="191"/>
    </row>
    <row r="34" spans="1:29" customFormat="1" ht="15.65" customHeight="1" x14ac:dyDescent="0.25">
      <c r="A34" s="168" t="s">
        <v>97</v>
      </c>
      <c r="B34" s="140" t="s">
        <v>70</v>
      </c>
      <c r="C34" s="113">
        <v>20</v>
      </c>
      <c r="D34" s="141">
        <v>3.5379809995978548</v>
      </c>
      <c r="E34" s="113">
        <f t="shared" si="8"/>
        <v>70.759619991957095</v>
      </c>
      <c r="F34" s="41"/>
      <c r="G34" s="41"/>
      <c r="H34" s="41">
        <f t="shared" si="9"/>
        <v>0</v>
      </c>
      <c r="I34" s="96">
        <f t="shared" si="0"/>
        <v>0</v>
      </c>
      <c r="J34" s="41"/>
      <c r="K34" s="41"/>
      <c r="L34" s="41"/>
      <c r="M34" s="96">
        <f t="shared" si="10"/>
        <v>0</v>
      </c>
      <c r="N34" s="96"/>
      <c r="O34" s="96"/>
      <c r="P34" s="96"/>
      <c r="Q34" s="42">
        <f t="shared" si="1"/>
        <v>20</v>
      </c>
      <c r="R34" s="42">
        <f t="shared" si="2"/>
        <v>3.5379809995978548</v>
      </c>
      <c r="S34" s="42">
        <f t="shared" si="3"/>
        <v>70.759619991957095</v>
      </c>
      <c r="T34" s="93">
        <v>15</v>
      </c>
      <c r="U34" s="41">
        <f t="shared" si="11"/>
        <v>3.5379809995978548</v>
      </c>
      <c r="V34" s="43">
        <f t="shared" si="12"/>
        <v>53.069714993967821</v>
      </c>
      <c r="W34" s="44">
        <f t="shared" si="5"/>
        <v>5</v>
      </c>
      <c r="X34" s="44">
        <f t="shared" si="6"/>
        <v>3.5379809995978548</v>
      </c>
      <c r="Y34" s="166">
        <f t="shared" si="13"/>
        <v>17.689904997989274</v>
      </c>
      <c r="AA34" s="131"/>
      <c r="AB34" s="131"/>
      <c r="AC34" s="191"/>
    </row>
    <row r="35" spans="1:29" customFormat="1" ht="15.5" customHeight="1" x14ac:dyDescent="0.25">
      <c r="A35" s="168" t="s">
        <v>98</v>
      </c>
      <c r="B35" s="140" t="s">
        <v>70</v>
      </c>
      <c r="C35" s="113">
        <v>0</v>
      </c>
      <c r="D35" s="141" t="s">
        <v>248</v>
      </c>
      <c r="E35" s="113">
        <f t="shared" si="8"/>
        <v>0</v>
      </c>
      <c r="F35" s="41"/>
      <c r="G35" s="41"/>
      <c r="H35" s="41">
        <f t="shared" si="9"/>
        <v>0</v>
      </c>
      <c r="I35" s="96">
        <f t="shared" si="0"/>
        <v>0</v>
      </c>
      <c r="J35" s="41"/>
      <c r="K35" s="41"/>
      <c r="L35" s="41"/>
      <c r="M35" s="96">
        <f t="shared" si="10"/>
        <v>0</v>
      </c>
      <c r="N35" s="96"/>
      <c r="O35" s="96"/>
      <c r="P35" s="96"/>
      <c r="Q35" s="42">
        <f t="shared" si="1"/>
        <v>0</v>
      </c>
      <c r="R35" s="42" t="str">
        <f t="shared" si="2"/>
        <v>0.00</v>
      </c>
      <c r="S35" s="42">
        <f t="shared" si="3"/>
        <v>0</v>
      </c>
      <c r="T35" s="93">
        <v>0</v>
      </c>
      <c r="U35" s="41" t="str">
        <f t="shared" si="11"/>
        <v>0.00</v>
      </c>
      <c r="V35" s="43">
        <f t="shared" si="12"/>
        <v>0</v>
      </c>
      <c r="W35" s="44">
        <f>Q35-T35</f>
        <v>0</v>
      </c>
      <c r="X35" s="44" t="str">
        <f t="shared" si="6"/>
        <v>0.00</v>
      </c>
      <c r="Y35" s="166">
        <f t="shared" si="13"/>
        <v>0</v>
      </c>
      <c r="AA35" s="131"/>
      <c r="AB35" s="131"/>
      <c r="AC35" s="191"/>
    </row>
    <row r="36" spans="1:29" customFormat="1" ht="15.5" customHeight="1" x14ac:dyDescent="0.25">
      <c r="A36" s="168" t="s">
        <v>296</v>
      </c>
      <c r="B36" s="140" t="s">
        <v>70</v>
      </c>
      <c r="C36" s="113">
        <v>10</v>
      </c>
      <c r="D36" s="141">
        <v>1.3568172994215981</v>
      </c>
      <c r="E36" s="113">
        <f t="shared" si="8"/>
        <v>13.568172994215981</v>
      </c>
      <c r="F36" s="41"/>
      <c r="G36" s="41"/>
      <c r="H36" s="41">
        <f t="shared" si="9"/>
        <v>0</v>
      </c>
      <c r="I36" s="96">
        <f t="shared" si="0"/>
        <v>0</v>
      </c>
      <c r="J36" s="41"/>
      <c r="K36" s="41"/>
      <c r="L36" s="41"/>
      <c r="M36" s="96">
        <f t="shared" si="10"/>
        <v>0</v>
      </c>
      <c r="N36" s="96"/>
      <c r="O36" s="96"/>
      <c r="P36" s="96"/>
      <c r="Q36" s="42">
        <f t="shared" si="1"/>
        <v>10</v>
      </c>
      <c r="R36" s="42">
        <f t="shared" si="2"/>
        <v>1.3568172994215981</v>
      </c>
      <c r="S36" s="42">
        <f t="shared" si="3"/>
        <v>13.568172994215981</v>
      </c>
      <c r="T36" s="93">
        <v>5</v>
      </c>
      <c r="U36" s="41">
        <f t="shared" si="11"/>
        <v>1.3568172994215981</v>
      </c>
      <c r="V36" s="43">
        <f t="shared" si="12"/>
        <v>6.7840864971079906</v>
      </c>
      <c r="W36" s="44">
        <f>Q36-T36</f>
        <v>5</v>
      </c>
      <c r="X36" s="44">
        <f t="shared" si="6"/>
        <v>1.3568172994215981</v>
      </c>
      <c r="Y36" s="166">
        <f t="shared" si="13"/>
        <v>6.7840864971079906</v>
      </c>
      <c r="AA36" s="131"/>
      <c r="AB36" s="131"/>
      <c r="AC36" s="191"/>
    </row>
    <row r="37" spans="1:29" customFormat="1" ht="15.5" customHeight="1" x14ac:dyDescent="0.25">
      <c r="A37" s="168" t="s">
        <v>99</v>
      </c>
      <c r="B37" s="140" t="s">
        <v>70</v>
      </c>
      <c r="C37" s="113">
        <v>30</v>
      </c>
      <c r="D37" s="141">
        <v>1.2142033401573207</v>
      </c>
      <c r="E37" s="113">
        <f t="shared" si="8"/>
        <v>36.426100204719617</v>
      </c>
      <c r="F37" s="41"/>
      <c r="G37" s="41"/>
      <c r="H37" s="41">
        <f t="shared" si="9"/>
        <v>0</v>
      </c>
      <c r="I37" s="96">
        <f t="shared" si="0"/>
        <v>0</v>
      </c>
      <c r="J37" s="41"/>
      <c r="K37" s="41"/>
      <c r="L37" s="41"/>
      <c r="M37" s="96">
        <f t="shared" si="10"/>
        <v>0</v>
      </c>
      <c r="N37" s="96"/>
      <c r="O37" s="96"/>
      <c r="P37" s="96"/>
      <c r="Q37" s="42">
        <f t="shared" si="1"/>
        <v>30</v>
      </c>
      <c r="R37" s="42">
        <f t="shared" si="2"/>
        <v>1.2142033401573207</v>
      </c>
      <c r="S37" s="42">
        <f t="shared" si="3"/>
        <v>36.426100204719617</v>
      </c>
      <c r="T37" s="93">
        <v>18</v>
      </c>
      <c r="U37" s="41">
        <f t="shared" si="11"/>
        <v>1.2142033401573207</v>
      </c>
      <c r="V37" s="43">
        <f t="shared" si="12"/>
        <v>21.855660122831772</v>
      </c>
      <c r="W37" s="44">
        <f t="shared" si="5"/>
        <v>12</v>
      </c>
      <c r="X37" s="44">
        <f t="shared" si="6"/>
        <v>1.2142033401573207</v>
      </c>
      <c r="Y37" s="166">
        <f t="shared" si="13"/>
        <v>14.570440081887849</v>
      </c>
      <c r="AA37" s="131"/>
      <c r="AB37" s="131"/>
      <c r="AC37" s="191"/>
    </row>
    <row r="38" spans="1:29" customFormat="1" ht="15.5" customHeight="1" x14ac:dyDescent="0.25">
      <c r="A38" s="168" t="s">
        <v>100</v>
      </c>
      <c r="B38" s="140" t="s">
        <v>70</v>
      </c>
      <c r="C38" s="113">
        <v>5</v>
      </c>
      <c r="D38" s="141">
        <v>1.299507874015748</v>
      </c>
      <c r="E38" s="113">
        <f t="shared" si="8"/>
        <v>6.4975393700787398</v>
      </c>
      <c r="F38" s="41"/>
      <c r="G38" s="41"/>
      <c r="H38" s="41">
        <f t="shared" si="9"/>
        <v>0</v>
      </c>
      <c r="I38" s="96">
        <f t="shared" si="0"/>
        <v>0</v>
      </c>
      <c r="J38" s="41"/>
      <c r="K38" s="41"/>
      <c r="L38" s="41"/>
      <c r="M38" s="96">
        <f t="shared" si="10"/>
        <v>0</v>
      </c>
      <c r="N38" s="96"/>
      <c r="O38" s="96"/>
      <c r="P38" s="96"/>
      <c r="Q38" s="42">
        <f t="shared" si="1"/>
        <v>5</v>
      </c>
      <c r="R38" s="42">
        <f t="shared" si="2"/>
        <v>1.299507874015748</v>
      </c>
      <c r="S38" s="42">
        <f t="shared" si="3"/>
        <v>6.4975393700787398</v>
      </c>
      <c r="T38" s="93">
        <v>5</v>
      </c>
      <c r="U38" s="41">
        <f t="shared" si="11"/>
        <v>1.299507874015748</v>
      </c>
      <c r="V38" s="43">
        <f t="shared" si="12"/>
        <v>6.4975393700787398</v>
      </c>
      <c r="W38" s="44">
        <f t="shared" si="5"/>
        <v>0</v>
      </c>
      <c r="X38" s="44">
        <f t="shared" si="6"/>
        <v>1.299507874015748</v>
      </c>
      <c r="Y38" s="166">
        <f t="shared" si="13"/>
        <v>0</v>
      </c>
      <c r="AA38" s="131"/>
      <c r="AB38" s="131"/>
      <c r="AC38" s="191"/>
    </row>
    <row r="39" spans="1:29" customFormat="1" ht="15.5" customHeight="1" x14ac:dyDescent="0.25">
      <c r="A39" s="168" t="s">
        <v>101</v>
      </c>
      <c r="B39" s="140" t="s">
        <v>70</v>
      </c>
      <c r="C39" s="113">
        <v>30</v>
      </c>
      <c r="D39" s="141">
        <v>0.87687676665168934</v>
      </c>
      <c r="E39" s="113">
        <f t="shared" si="8"/>
        <v>26.306302999550681</v>
      </c>
      <c r="F39" s="41"/>
      <c r="G39" s="41"/>
      <c r="H39" s="41">
        <f t="shared" si="9"/>
        <v>0</v>
      </c>
      <c r="I39" s="96">
        <f t="shared" si="0"/>
        <v>0</v>
      </c>
      <c r="J39" s="41"/>
      <c r="K39" s="41"/>
      <c r="L39" s="41"/>
      <c r="M39" s="96">
        <f t="shared" si="10"/>
        <v>0</v>
      </c>
      <c r="N39" s="96"/>
      <c r="O39" s="96"/>
      <c r="P39" s="96"/>
      <c r="Q39" s="42">
        <f t="shared" si="1"/>
        <v>30</v>
      </c>
      <c r="R39" s="42">
        <f t="shared" si="2"/>
        <v>0.87687676665168934</v>
      </c>
      <c r="S39" s="42">
        <f t="shared" si="3"/>
        <v>26.306302999550681</v>
      </c>
      <c r="T39" s="93">
        <v>15</v>
      </c>
      <c r="U39" s="41">
        <f t="shared" si="11"/>
        <v>0.87687676665168934</v>
      </c>
      <c r="V39" s="43">
        <f t="shared" si="12"/>
        <v>13.15315149977534</v>
      </c>
      <c r="W39" s="44">
        <f t="shared" si="5"/>
        <v>15</v>
      </c>
      <c r="X39" s="44">
        <f t="shared" si="6"/>
        <v>0.87687676665168934</v>
      </c>
      <c r="Y39" s="166">
        <f t="shared" si="13"/>
        <v>13.15315149977534</v>
      </c>
      <c r="AA39" s="131"/>
      <c r="AB39" s="131"/>
      <c r="AC39" s="191"/>
    </row>
    <row r="40" spans="1:29" customFormat="1" ht="15.65" customHeight="1" x14ac:dyDescent="0.25">
      <c r="A40" s="168" t="s">
        <v>102</v>
      </c>
      <c r="B40" s="140" t="s">
        <v>70</v>
      </c>
      <c r="C40" s="113">
        <v>35</v>
      </c>
      <c r="D40" s="141">
        <v>0.92065666772148347</v>
      </c>
      <c r="E40" s="113">
        <f t="shared" si="8"/>
        <v>32.222983370251924</v>
      </c>
      <c r="F40" s="41"/>
      <c r="G40" s="41"/>
      <c r="H40" s="41">
        <f t="shared" si="9"/>
        <v>0</v>
      </c>
      <c r="I40" s="96">
        <f t="shared" si="0"/>
        <v>0</v>
      </c>
      <c r="J40" s="41"/>
      <c r="K40" s="41"/>
      <c r="L40" s="41"/>
      <c r="M40" s="96">
        <f t="shared" si="10"/>
        <v>0</v>
      </c>
      <c r="N40" s="96"/>
      <c r="O40" s="96"/>
      <c r="P40" s="96"/>
      <c r="Q40" s="42">
        <f t="shared" si="1"/>
        <v>35</v>
      </c>
      <c r="R40" s="42">
        <f t="shared" si="2"/>
        <v>0.92065666772148358</v>
      </c>
      <c r="S40" s="42">
        <f t="shared" si="3"/>
        <v>32.222983370251924</v>
      </c>
      <c r="T40" s="93">
        <v>15</v>
      </c>
      <c r="U40" s="41">
        <f t="shared" si="11"/>
        <v>0.92065666772148358</v>
      </c>
      <c r="V40" s="43">
        <f t="shared" si="12"/>
        <v>13.809850015822253</v>
      </c>
      <c r="W40" s="44">
        <f t="shared" si="5"/>
        <v>20</v>
      </c>
      <c r="X40" s="44">
        <f t="shared" si="6"/>
        <v>0.92065666772148358</v>
      </c>
      <c r="Y40" s="166">
        <f t="shared" si="13"/>
        <v>18.413133354429672</v>
      </c>
      <c r="AA40" s="131"/>
      <c r="AB40" s="131"/>
      <c r="AC40" s="191"/>
    </row>
    <row r="41" spans="1:29" customFormat="1" ht="15.5" customHeight="1" x14ac:dyDescent="0.25">
      <c r="A41" s="168" t="s">
        <v>103</v>
      </c>
      <c r="B41" s="140" t="s">
        <v>70</v>
      </c>
      <c r="C41" s="113">
        <v>12</v>
      </c>
      <c r="D41" s="141">
        <v>1.3477375565610861</v>
      </c>
      <c r="E41" s="113">
        <f t="shared" si="8"/>
        <v>16.172850678733035</v>
      </c>
      <c r="F41" s="41"/>
      <c r="G41" s="41"/>
      <c r="H41" s="41">
        <f t="shared" si="9"/>
        <v>0</v>
      </c>
      <c r="I41" s="96">
        <f t="shared" si="0"/>
        <v>0</v>
      </c>
      <c r="J41" s="41"/>
      <c r="K41" s="41"/>
      <c r="L41" s="41"/>
      <c r="M41" s="96">
        <f t="shared" si="10"/>
        <v>0</v>
      </c>
      <c r="N41" s="96"/>
      <c r="O41" s="96"/>
      <c r="P41" s="96"/>
      <c r="Q41" s="42">
        <f t="shared" si="1"/>
        <v>12</v>
      </c>
      <c r="R41" s="42">
        <f t="shared" si="2"/>
        <v>1.3477375565610863</v>
      </c>
      <c r="S41" s="42">
        <f t="shared" si="3"/>
        <v>16.172850678733035</v>
      </c>
      <c r="T41" s="93">
        <v>6</v>
      </c>
      <c r="U41" s="41">
        <f t="shared" si="11"/>
        <v>1.3477375565610863</v>
      </c>
      <c r="V41" s="43">
        <f t="shared" si="12"/>
        <v>8.0864253393665173</v>
      </c>
      <c r="W41" s="44">
        <f t="shared" si="5"/>
        <v>6</v>
      </c>
      <c r="X41" s="44">
        <f t="shared" si="6"/>
        <v>1.3477375565610863</v>
      </c>
      <c r="Y41" s="166">
        <f t="shared" si="13"/>
        <v>8.0864253393665173</v>
      </c>
      <c r="AA41" s="131"/>
      <c r="AB41" s="131"/>
      <c r="AC41" s="191"/>
    </row>
    <row r="42" spans="1:29" customFormat="1" ht="15.5" customHeight="1" x14ac:dyDescent="0.25">
      <c r="A42" s="168" t="s">
        <v>104</v>
      </c>
      <c r="B42" s="140" t="s">
        <v>70</v>
      </c>
      <c r="C42" s="113">
        <v>20</v>
      </c>
      <c r="D42" s="141">
        <v>0.91731099436243535</v>
      </c>
      <c r="E42" s="113">
        <f t="shared" si="8"/>
        <v>18.346219887248708</v>
      </c>
      <c r="F42" s="41"/>
      <c r="G42" s="41"/>
      <c r="H42" s="41">
        <f t="shared" si="9"/>
        <v>0</v>
      </c>
      <c r="I42" s="96">
        <f t="shared" si="0"/>
        <v>0</v>
      </c>
      <c r="J42" s="41"/>
      <c r="K42" s="41"/>
      <c r="L42" s="41"/>
      <c r="M42" s="96">
        <f t="shared" si="10"/>
        <v>0</v>
      </c>
      <c r="N42" s="96"/>
      <c r="O42" s="96"/>
      <c r="P42" s="96"/>
      <c r="Q42" s="42">
        <f t="shared" si="1"/>
        <v>20</v>
      </c>
      <c r="R42" s="42">
        <f t="shared" si="2"/>
        <v>0.91731099436243535</v>
      </c>
      <c r="S42" s="42">
        <f t="shared" si="3"/>
        <v>18.346219887248708</v>
      </c>
      <c r="T42" s="93">
        <v>12</v>
      </c>
      <c r="U42" s="41">
        <f t="shared" si="11"/>
        <v>0.91731099436243535</v>
      </c>
      <c r="V42" s="43">
        <f t="shared" si="12"/>
        <v>11.007731932349223</v>
      </c>
      <c r="W42" s="44">
        <f t="shared" si="5"/>
        <v>8</v>
      </c>
      <c r="X42" s="44">
        <f t="shared" si="6"/>
        <v>0.91731099436243535</v>
      </c>
      <c r="Y42" s="166">
        <f t="shared" si="13"/>
        <v>7.3384879548994828</v>
      </c>
      <c r="AA42" s="131"/>
      <c r="AB42" s="131"/>
      <c r="AC42" s="191"/>
    </row>
    <row r="43" spans="1:29" customFormat="1" ht="15.5" customHeight="1" x14ac:dyDescent="0.25">
      <c r="A43" s="168" t="s">
        <v>105</v>
      </c>
      <c r="B43" s="140" t="s">
        <v>70</v>
      </c>
      <c r="C43" s="113">
        <v>20</v>
      </c>
      <c r="D43" s="141">
        <v>0.81843035129584085</v>
      </c>
      <c r="E43" s="113">
        <f t="shared" si="8"/>
        <v>16.368607025916816</v>
      </c>
      <c r="F43" s="41"/>
      <c r="G43" s="41"/>
      <c r="H43" s="41">
        <f t="shared" si="9"/>
        <v>0</v>
      </c>
      <c r="I43" s="96">
        <f t="shared" si="0"/>
        <v>0</v>
      </c>
      <c r="J43" s="41"/>
      <c r="K43" s="41"/>
      <c r="L43" s="41"/>
      <c r="M43" s="96">
        <f t="shared" si="10"/>
        <v>0</v>
      </c>
      <c r="N43" s="96"/>
      <c r="O43" s="96"/>
      <c r="P43" s="96"/>
      <c r="Q43" s="42">
        <f t="shared" si="1"/>
        <v>20</v>
      </c>
      <c r="R43" s="42">
        <f t="shared" si="2"/>
        <v>0.81843035129584085</v>
      </c>
      <c r="S43" s="42">
        <f t="shared" si="3"/>
        <v>16.368607025916816</v>
      </c>
      <c r="T43" s="93">
        <v>12</v>
      </c>
      <c r="U43" s="41">
        <f t="shared" si="11"/>
        <v>0.81843035129584085</v>
      </c>
      <c r="V43" s="43">
        <f t="shared" si="12"/>
        <v>9.8211642155500911</v>
      </c>
      <c r="W43" s="44">
        <f t="shared" si="5"/>
        <v>8</v>
      </c>
      <c r="X43" s="44">
        <f t="shared" si="6"/>
        <v>0.81843035129584085</v>
      </c>
      <c r="Y43" s="166">
        <f t="shared" si="13"/>
        <v>6.5474428103667268</v>
      </c>
      <c r="AA43" s="131"/>
      <c r="AB43" s="131"/>
      <c r="AC43" s="191"/>
    </row>
    <row r="44" spans="1:29" customFormat="1" ht="15.65" customHeight="1" x14ac:dyDescent="0.25">
      <c r="A44" s="168" t="s">
        <v>183</v>
      </c>
      <c r="B44" s="142" t="s">
        <v>70</v>
      </c>
      <c r="C44" s="113">
        <v>30</v>
      </c>
      <c r="D44" s="141">
        <v>1.2950081788228927</v>
      </c>
      <c r="E44" s="113">
        <f t="shared" si="8"/>
        <v>38.850245364686778</v>
      </c>
      <c r="F44" s="41"/>
      <c r="G44" s="41"/>
      <c r="H44" s="41">
        <f t="shared" si="9"/>
        <v>0</v>
      </c>
      <c r="I44" s="96">
        <f t="shared" si="0"/>
        <v>0</v>
      </c>
      <c r="J44" s="41"/>
      <c r="K44" s="41"/>
      <c r="L44" s="41"/>
      <c r="M44" s="96">
        <f t="shared" si="10"/>
        <v>0</v>
      </c>
      <c r="N44" s="96"/>
      <c r="O44" s="96"/>
      <c r="P44" s="96"/>
      <c r="Q44" s="42">
        <f t="shared" si="1"/>
        <v>30</v>
      </c>
      <c r="R44" s="42">
        <f t="shared" si="2"/>
        <v>1.2950081788228927</v>
      </c>
      <c r="S44" s="42">
        <f t="shared" si="3"/>
        <v>38.850245364686778</v>
      </c>
      <c r="T44" s="93">
        <v>12</v>
      </c>
      <c r="U44" s="41">
        <f t="shared" si="11"/>
        <v>1.2950081788228927</v>
      </c>
      <c r="V44" s="43">
        <f t="shared" si="12"/>
        <v>15.540098145874712</v>
      </c>
      <c r="W44" s="44">
        <f t="shared" si="5"/>
        <v>18</v>
      </c>
      <c r="X44" s="44">
        <f t="shared" si="6"/>
        <v>1.2950081788228927</v>
      </c>
      <c r="Y44" s="166">
        <f t="shared" si="13"/>
        <v>23.31014721881207</v>
      </c>
      <c r="AA44" s="131"/>
      <c r="AB44" s="131"/>
      <c r="AC44" s="191"/>
    </row>
    <row r="45" spans="1:29" customFormat="1" ht="15.65" customHeight="1" x14ac:dyDescent="0.25">
      <c r="A45" s="168" t="s">
        <v>314</v>
      </c>
      <c r="B45" s="142" t="s">
        <v>70</v>
      </c>
      <c r="C45" s="113">
        <v>26</v>
      </c>
      <c r="D45" s="141">
        <v>1.4892381535519126</v>
      </c>
      <c r="E45" s="113">
        <f t="shared" si="8"/>
        <v>38.720191992349726</v>
      </c>
      <c r="F45" s="41"/>
      <c r="G45" s="41"/>
      <c r="H45" s="41">
        <f t="shared" si="9"/>
        <v>0</v>
      </c>
      <c r="I45" s="96">
        <f t="shared" si="0"/>
        <v>0</v>
      </c>
      <c r="J45" s="41"/>
      <c r="K45" s="41"/>
      <c r="L45" s="41"/>
      <c r="M45" s="96">
        <f t="shared" si="10"/>
        <v>0</v>
      </c>
      <c r="N45" s="96"/>
      <c r="O45" s="96"/>
      <c r="P45" s="96"/>
      <c r="Q45" s="42">
        <f t="shared" si="1"/>
        <v>26</v>
      </c>
      <c r="R45" s="42">
        <f t="shared" si="2"/>
        <v>1.4892381535519126</v>
      </c>
      <c r="S45" s="42">
        <f t="shared" si="3"/>
        <v>38.720191992349726</v>
      </c>
      <c r="T45" s="93">
        <v>12</v>
      </c>
      <c r="U45" s="41">
        <f t="shared" si="11"/>
        <v>1.4892381535519126</v>
      </c>
      <c r="V45" s="43">
        <f t="shared" si="12"/>
        <v>17.87085784262295</v>
      </c>
      <c r="W45" s="44">
        <f t="shared" si="5"/>
        <v>14</v>
      </c>
      <c r="X45" s="44">
        <f t="shared" si="6"/>
        <v>1.4892381535519126</v>
      </c>
      <c r="Y45" s="166">
        <f t="shared" si="13"/>
        <v>20.849334149726776</v>
      </c>
      <c r="AA45" s="131"/>
      <c r="AB45" s="131"/>
      <c r="AC45" s="191"/>
    </row>
    <row r="46" spans="1:29" customFormat="1" ht="15.65" customHeight="1" x14ac:dyDescent="0.25">
      <c r="A46" s="168" t="s">
        <v>340</v>
      </c>
      <c r="B46" s="142" t="s">
        <v>70</v>
      </c>
      <c r="C46" s="113">
        <v>25</v>
      </c>
      <c r="D46" s="141">
        <v>1.0834395692617504</v>
      </c>
      <c r="E46" s="113">
        <f t="shared" si="8"/>
        <v>27.08598923154376</v>
      </c>
      <c r="F46" s="41"/>
      <c r="G46" s="41"/>
      <c r="H46" s="41">
        <f t="shared" si="9"/>
        <v>0</v>
      </c>
      <c r="I46" s="96">
        <f t="shared" si="0"/>
        <v>0</v>
      </c>
      <c r="J46" s="41"/>
      <c r="K46" s="41"/>
      <c r="L46" s="41"/>
      <c r="M46" s="96">
        <f t="shared" si="10"/>
        <v>0</v>
      </c>
      <c r="N46" s="96"/>
      <c r="O46" s="96"/>
      <c r="P46" s="96"/>
      <c r="Q46" s="42">
        <f t="shared" si="1"/>
        <v>25</v>
      </c>
      <c r="R46" s="42">
        <f t="shared" si="2"/>
        <v>1.0834395692617504</v>
      </c>
      <c r="S46" s="42">
        <f t="shared" si="3"/>
        <v>27.08598923154376</v>
      </c>
      <c r="T46" s="93">
        <v>12</v>
      </c>
      <c r="U46" s="41">
        <f t="shared" si="11"/>
        <v>1.0834395692617504</v>
      </c>
      <c r="V46" s="43">
        <f t="shared" si="12"/>
        <v>13.001274831141005</v>
      </c>
      <c r="W46" s="44">
        <f t="shared" si="5"/>
        <v>13</v>
      </c>
      <c r="X46" s="44">
        <f t="shared" si="6"/>
        <v>1.0834395692617504</v>
      </c>
      <c r="Y46" s="166">
        <f t="shared" si="13"/>
        <v>14.084714400402756</v>
      </c>
      <c r="AA46" s="131"/>
      <c r="AB46" s="131"/>
      <c r="AC46" s="191"/>
    </row>
    <row r="47" spans="1:29" customFormat="1" ht="15.5" customHeight="1" x14ac:dyDescent="0.25">
      <c r="A47" s="168" t="s">
        <v>334</v>
      </c>
      <c r="B47" s="140" t="s">
        <v>79</v>
      </c>
      <c r="C47" s="113">
        <v>3</v>
      </c>
      <c r="D47" s="141">
        <v>26.395425893780484</v>
      </c>
      <c r="E47" s="113">
        <f t="shared" si="8"/>
        <v>79.186277681341451</v>
      </c>
      <c r="F47" s="41"/>
      <c r="G47" s="41"/>
      <c r="H47" s="41">
        <f t="shared" si="9"/>
        <v>0</v>
      </c>
      <c r="I47" s="96">
        <f t="shared" si="0"/>
        <v>0</v>
      </c>
      <c r="J47" s="41"/>
      <c r="K47" s="41"/>
      <c r="L47" s="41"/>
      <c r="M47" s="96">
        <f t="shared" si="10"/>
        <v>0</v>
      </c>
      <c r="N47" s="96"/>
      <c r="O47" s="96"/>
      <c r="P47" s="96"/>
      <c r="Q47" s="42">
        <f t="shared" si="1"/>
        <v>3</v>
      </c>
      <c r="R47" s="42">
        <f t="shared" si="2"/>
        <v>26.395425893780484</v>
      </c>
      <c r="S47" s="42">
        <f t="shared" si="3"/>
        <v>79.186277681341451</v>
      </c>
      <c r="T47" s="93">
        <v>2</v>
      </c>
      <c r="U47" s="41">
        <f t="shared" si="11"/>
        <v>26.395425893780484</v>
      </c>
      <c r="V47" s="43">
        <f t="shared" si="12"/>
        <v>52.790851787560968</v>
      </c>
      <c r="W47" s="44">
        <f t="shared" si="5"/>
        <v>1</v>
      </c>
      <c r="X47" s="44">
        <f t="shared" si="6"/>
        <v>26.395425893780484</v>
      </c>
      <c r="Y47" s="166">
        <f t="shared" si="13"/>
        <v>26.395425893780484</v>
      </c>
      <c r="AA47" s="131"/>
      <c r="AB47" s="131"/>
      <c r="AC47" s="191"/>
    </row>
    <row r="48" spans="1:29" customFormat="1" ht="15.5" customHeight="1" x14ac:dyDescent="0.25">
      <c r="A48" s="168" t="s">
        <v>335</v>
      </c>
      <c r="B48" s="140" t="s">
        <v>70</v>
      </c>
      <c r="C48" s="113">
        <v>2</v>
      </c>
      <c r="D48" s="141">
        <v>12.808461538461538</v>
      </c>
      <c r="E48" s="113">
        <f t="shared" si="8"/>
        <v>25.616923076923076</v>
      </c>
      <c r="F48" s="41"/>
      <c r="G48" s="41"/>
      <c r="H48" s="41">
        <f t="shared" si="9"/>
        <v>0</v>
      </c>
      <c r="I48" s="96">
        <f t="shared" si="0"/>
        <v>0</v>
      </c>
      <c r="J48" s="41"/>
      <c r="K48" s="41"/>
      <c r="L48" s="41"/>
      <c r="M48" s="96">
        <f t="shared" si="10"/>
        <v>0</v>
      </c>
      <c r="N48" s="96"/>
      <c r="O48" s="96"/>
      <c r="P48" s="96"/>
      <c r="Q48" s="42">
        <f t="shared" si="1"/>
        <v>2</v>
      </c>
      <c r="R48" s="42">
        <f t="shared" si="2"/>
        <v>12.808461538461538</v>
      </c>
      <c r="S48" s="42">
        <f t="shared" si="3"/>
        <v>25.616923076923076</v>
      </c>
      <c r="T48" s="93">
        <v>1</v>
      </c>
      <c r="U48" s="41">
        <f t="shared" si="11"/>
        <v>12.808461538461538</v>
      </c>
      <c r="V48" s="43">
        <f t="shared" si="12"/>
        <v>12.808461538461538</v>
      </c>
      <c r="W48" s="44">
        <f t="shared" si="5"/>
        <v>1</v>
      </c>
      <c r="X48" s="44">
        <f t="shared" si="6"/>
        <v>12.808461538461538</v>
      </c>
      <c r="Y48" s="166">
        <f t="shared" si="13"/>
        <v>12.808461538461538</v>
      </c>
      <c r="AA48" s="131"/>
      <c r="AB48" s="131"/>
      <c r="AC48" s="191"/>
    </row>
    <row r="49" spans="1:29" customFormat="1" ht="15.5" customHeight="1" x14ac:dyDescent="0.25">
      <c r="A49" s="168" t="s">
        <v>106</v>
      </c>
      <c r="B49" s="140" t="s">
        <v>70</v>
      </c>
      <c r="C49" s="113">
        <v>1</v>
      </c>
      <c r="D49" s="141">
        <v>3.8331346418367165</v>
      </c>
      <c r="E49" s="113">
        <f t="shared" si="8"/>
        <v>3.8331346418367165</v>
      </c>
      <c r="F49" s="41"/>
      <c r="G49" s="41"/>
      <c r="H49" s="41">
        <f t="shared" si="9"/>
        <v>0</v>
      </c>
      <c r="I49" s="96">
        <f t="shared" si="0"/>
        <v>0</v>
      </c>
      <c r="J49" s="41"/>
      <c r="K49" s="41"/>
      <c r="L49" s="41"/>
      <c r="M49" s="96">
        <f t="shared" si="10"/>
        <v>0</v>
      </c>
      <c r="N49" s="96"/>
      <c r="O49" s="96"/>
      <c r="P49" s="96"/>
      <c r="Q49" s="42">
        <f t="shared" si="1"/>
        <v>1</v>
      </c>
      <c r="R49" s="42">
        <f t="shared" si="2"/>
        <v>3.8331346418367165</v>
      </c>
      <c r="S49" s="42">
        <f t="shared" si="3"/>
        <v>3.8331346418367165</v>
      </c>
      <c r="T49" s="93">
        <v>1</v>
      </c>
      <c r="U49" s="41">
        <f t="shared" si="11"/>
        <v>3.8331346418367165</v>
      </c>
      <c r="V49" s="43">
        <f t="shared" si="12"/>
        <v>3.8331346418367165</v>
      </c>
      <c r="W49" s="44">
        <f t="shared" si="5"/>
        <v>0</v>
      </c>
      <c r="X49" s="44">
        <f t="shared" si="6"/>
        <v>3.8331346418367165</v>
      </c>
      <c r="Y49" s="166">
        <f t="shared" si="13"/>
        <v>0</v>
      </c>
      <c r="AA49" s="131"/>
      <c r="AB49" s="131"/>
      <c r="AC49" s="191"/>
    </row>
    <row r="50" spans="1:29" customFormat="1" ht="15.65" customHeight="1" x14ac:dyDescent="0.25">
      <c r="A50" s="168" t="s">
        <v>107</v>
      </c>
      <c r="B50" s="140" t="s">
        <v>79</v>
      </c>
      <c r="C50" s="113">
        <v>2</v>
      </c>
      <c r="D50" s="141">
        <v>13.056878409481982</v>
      </c>
      <c r="E50" s="113">
        <f t="shared" si="8"/>
        <v>26.113756818963964</v>
      </c>
      <c r="F50" s="41"/>
      <c r="G50" s="41"/>
      <c r="H50" s="41">
        <f t="shared" si="9"/>
        <v>0</v>
      </c>
      <c r="I50" s="96">
        <f t="shared" si="0"/>
        <v>0</v>
      </c>
      <c r="J50" s="41"/>
      <c r="K50" s="41"/>
      <c r="L50" s="41"/>
      <c r="M50" s="96">
        <f t="shared" si="10"/>
        <v>0</v>
      </c>
      <c r="N50" s="101"/>
      <c r="O50" s="101"/>
      <c r="P50" s="101"/>
      <c r="Q50" s="42">
        <f t="shared" si="1"/>
        <v>2</v>
      </c>
      <c r="R50" s="42">
        <f t="shared" si="2"/>
        <v>13.056878409481982</v>
      </c>
      <c r="S50" s="42">
        <f t="shared" si="3"/>
        <v>26.113756818963964</v>
      </c>
      <c r="T50" s="93">
        <v>1</v>
      </c>
      <c r="U50" s="41">
        <f t="shared" si="11"/>
        <v>13.056878409481982</v>
      </c>
      <c r="V50" s="43">
        <f t="shared" si="12"/>
        <v>13.056878409481982</v>
      </c>
      <c r="W50" s="44">
        <f t="shared" si="5"/>
        <v>1</v>
      </c>
      <c r="X50" s="44">
        <f t="shared" si="6"/>
        <v>13.056878409481982</v>
      </c>
      <c r="Y50" s="166">
        <f t="shared" si="13"/>
        <v>13.056878409481982</v>
      </c>
      <c r="AA50" s="131"/>
      <c r="AB50" s="131"/>
      <c r="AC50" s="191"/>
    </row>
    <row r="51" spans="1:29" customFormat="1" ht="15.5" customHeight="1" x14ac:dyDescent="0.25">
      <c r="A51" s="168" t="s">
        <v>108</v>
      </c>
      <c r="B51" s="140" t="s">
        <v>79</v>
      </c>
      <c r="C51" s="113">
        <v>1</v>
      </c>
      <c r="D51" s="141">
        <v>4.1538461538461542</v>
      </c>
      <c r="E51" s="113">
        <f t="shared" si="8"/>
        <v>4.1538461538461542</v>
      </c>
      <c r="F51" s="41"/>
      <c r="G51" s="41"/>
      <c r="H51" s="41">
        <f t="shared" si="9"/>
        <v>0</v>
      </c>
      <c r="I51" s="96">
        <f t="shared" si="0"/>
        <v>0</v>
      </c>
      <c r="J51" s="41"/>
      <c r="K51" s="41"/>
      <c r="L51" s="41"/>
      <c r="M51" s="96">
        <f t="shared" si="10"/>
        <v>0</v>
      </c>
      <c r="N51" s="96"/>
      <c r="O51" s="96"/>
      <c r="P51" s="96"/>
      <c r="Q51" s="42">
        <f t="shared" si="1"/>
        <v>1</v>
      </c>
      <c r="R51" s="42">
        <f t="shared" si="2"/>
        <v>4.1538461538461542</v>
      </c>
      <c r="S51" s="42">
        <f t="shared" si="3"/>
        <v>4.1538461538461542</v>
      </c>
      <c r="T51" s="93">
        <v>1</v>
      </c>
      <c r="U51" s="41">
        <f t="shared" si="11"/>
        <v>4.1538461538461542</v>
      </c>
      <c r="V51" s="43">
        <f t="shared" si="12"/>
        <v>4.1538461538461542</v>
      </c>
      <c r="W51" s="44">
        <f t="shared" si="5"/>
        <v>0</v>
      </c>
      <c r="X51" s="44">
        <f t="shared" si="6"/>
        <v>4.1538461538461542</v>
      </c>
      <c r="Y51" s="166">
        <f t="shared" si="13"/>
        <v>0</v>
      </c>
      <c r="AA51" s="131"/>
      <c r="AB51" s="131"/>
      <c r="AC51" s="191"/>
    </row>
    <row r="52" spans="1:29" customFormat="1" ht="15.5" customHeight="1" x14ac:dyDescent="0.25">
      <c r="A52" s="168" t="s">
        <v>109</v>
      </c>
      <c r="B52" s="140" t="s">
        <v>79</v>
      </c>
      <c r="C52" s="113">
        <v>4</v>
      </c>
      <c r="D52" s="141">
        <v>6.2570874379251196</v>
      </c>
      <c r="E52" s="113">
        <f t="shared" si="8"/>
        <v>25.028349751700478</v>
      </c>
      <c r="F52" s="41"/>
      <c r="G52" s="41"/>
      <c r="H52" s="41">
        <f t="shared" si="9"/>
        <v>0</v>
      </c>
      <c r="I52" s="96">
        <f t="shared" si="0"/>
        <v>0</v>
      </c>
      <c r="J52" s="41"/>
      <c r="K52" s="41"/>
      <c r="L52" s="41"/>
      <c r="M52" s="96">
        <f t="shared" si="10"/>
        <v>0</v>
      </c>
      <c r="N52" s="101"/>
      <c r="O52" s="101"/>
      <c r="P52" s="101"/>
      <c r="Q52" s="42">
        <f t="shared" si="1"/>
        <v>4</v>
      </c>
      <c r="R52" s="42">
        <f t="shared" si="2"/>
        <v>6.2570874379251196</v>
      </c>
      <c r="S52" s="42">
        <f t="shared" si="3"/>
        <v>25.028349751700478</v>
      </c>
      <c r="T52" s="93">
        <v>2</v>
      </c>
      <c r="U52" s="41">
        <f t="shared" si="11"/>
        <v>6.2570874379251196</v>
      </c>
      <c r="V52" s="43">
        <f t="shared" si="12"/>
        <v>12.514174875850239</v>
      </c>
      <c r="W52" s="44">
        <f t="shared" si="5"/>
        <v>2</v>
      </c>
      <c r="X52" s="44">
        <f t="shared" si="6"/>
        <v>6.2570874379251196</v>
      </c>
      <c r="Y52" s="166">
        <f t="shared" si="13"/>
        <v>12.514174875850239</v>
      </c>
      <c r="AA52" s="131"/>
      <c r="AB52" s="131"/>
      <c r="AC52" s="191"/>
    </row>
    <row r="53" spans="1:29" customFormat="1" ht="15.5" customHeight="1" x14ac:dyDescent="0.25">
      <c r="A53" s="168" t="s">
        <v>110</v>
      </c>
      <c r="B53" s="140" t="s">
        <v>79</v>
      </c>
      <c r="C53" s="113">
        <v>5</v>
      </c>
      <c r="D53" s="141">
        <v>4.1451154855476373</v>
      </c>
      <c r="E53" s="113">
        <f t="shared" si="8"/>
        <v>20.725577427738187</v>
      </c>
      <c r="F53" s="41"/>
      <c r="G53" s="41"/>
      <c r="H53" s="41">
        <f t="shared" si="9"/>
        <v>0</v>
      </c>
      <c r="I53" s="96">
        <f t="shared" si="0"/>
        <v>0</v>
      </c>
      <c r="J53" s="41"/>
      <c r="K53" s="41"/>
      <c r="L53" s="41"/>
      <c r="M53" s="96">
        <f t="shared" si="10"/>
        <v>0</v>
      </c>
      <c r="N53" s="96"/>
      <c r="O53" s="96"/>
      <c r="P53" s="96"/>
      <c r="Q53" s="42">
        <f t="shared" si="1"/>
        <v>5</v>
      </c>
      <c r="R53" s="42">
        <f t="shared" si="2"/>
        <v>4.1451154855476373</v>
      </c>
      <c r="S53" s="42">
        <f t="shared" si="3"/>
        <v>20.725577427738187</v>
      </c>
      <c r="T53" s="93">
        <v>3</v>
      </c>
      <c r="U53" s="41">
        <f t="shared" si="11"/>
        <v>4.1451154855476373</v>
      </c>
      <c r="V53" s="43">
        <f t="shared" si="12"/>
        <v>12.435346456642911</v>
      </c>
      <c r="W53" s="44">
        <f t="shared" si="5"/>
        <v>2</v>
      </c>
      <c r="X53" s="44">
        <f t="shared" si="6"/>
        <v>4.1451154855476373</v>
      </c>
      <c r="Y53" s="166">
        <f t="shared" si="13"/>
        <v>8.2902309710952746</v>
      </c>
      <c r="AA53" s="131"/>
      <c r="AB53" s="131"/>
      <c r="AC53" s="191"/>
    </row>
    <row r="54" spans="1:29" customFormat="1" ht="15.5" customHeight="1" x14ac:dyDescent="0.25">
      <c r="A54" s="168" t="s">
        <v>111</v>
      </c>
      <c r="B54" s="140" t="s">
        <v>79</v>
      </c>
      <c r="C54" s="113">
        <v>6</v>
      </c>
      <c r="D54" s="141">
        <v>2.6801817901353933</v>
      </c>
      <c r="E54" s="113">
        <f t="shared" si="8"/>
        <v>16.08109074081236</v>
      </c>
      <c r="F54" s="41"/>
      <c r="G54" s="41"/>
      <c r="H54" s="41">
        <f t="shared" si="9"/>
        <v>0</v>
      </c>
      <c r="I54" s="96">
        <f t="shared" si="0"/>
        <v>0</v>
      </c>
      <c r="J54" s="41"/>
      <c r="K54" s="41"/>
      <c r="L54" s="41"/>
      <c r="M54" s="96">
        <f t="shared" si="10"/>
        <v>0</v>
      </c>
      <c r="N54" s="96"/>
      <c r="O54" s="96"/>
      <c r="P54" s="96"/>
      <c r="Q54" s="42">
        <f t="shared" si="1"/>
        <v>6</v>
      </c>
      <c r="R54" s="42">
        <f t="shared" si="2"/>
        <v>2.6801817901353933</v>
      </c>
      <c r="S54" s="42">
        <f t="shared" si="3"/>
        <v>16.08109074081236</v>
      </c>
      <c r="T54" s="93">
        <v>3</v>
      </c>
      <c r="U54" s="41">
        <f t="shared" si="11"/>
        <v>2.6801817901353933</v>
      </c>
      <c r="V54" s="43">
        <f t="shared" si="12"/>
        <v>8.0405453704061802</v>
      </c>
      <c r="W54" s="44">
        <f t="shared" si="5"/>
        <v>3</v>
      </c>
      <c r="X54" s="44">
        <f t="shared" si="6"/>
        <v>2.6801817901353933</v>
      </c>
      <c r="Y54" s="166">
        <f t="shared" si="13"/>
        <v>8.0405453704061802</v>
      </c>
      <c r="AA54" s="131"/>
      <c r="AB54" s="131"/>
      <c r="AC54" s="191"/>
    </row>
    <row r="55" spans="1:29" customFormat="1" ht="15.65" customHeight="1" x14ac:dyDescent="0.25">
      <c r="A55" s="168" t="s">
        <v>112</v>
      </c>
      <c r="B55" s="140" t="s">
        <v>79</v>
      </c>
      <c r="C55" s="113">
        <v>3</v>
      </c>
      <c r="D55" s="141">
        <v>2.5811538461538461</v>
      </c>
      <c r="E55" s="113">
        <f t="shared" si="8"/>
        <v>7.7434615384615384</v>
      </c>
      <c r="F55" s="41"/>
      <c r="G55" s="41"/>
      <c r="H55" s="41">
        <f t="shared" si="9"/>
        <v>0</v>
      </c>
      <c r="I55" s="96">
        <f t="shared" si="0"/>
        <v>0</v>
      </c>
      <c r="J55" s="41"/>
      <c r="K55" s="41"/>
      <c r="L55" s="41"/>
      <c r="M55" s="96">
        <f t="shared" si="10"/>
        <v>0</v>
      </c>
      <c r="N55" s="96"/>
      <c r="O55" s="96"/>
      <c r="P55" s="96"/>
      <c r="Q55" s="42">
        <f t="shared" si="1"/>
        <v>3</v>
      </c>
      <c r="R55" s="42">
        <f t="shared" si="2"/>
        <v>2.5811538461538461</v>
      </c>
      <c r="S55" s="42">
        <f t="shared" si="3"/>
        <v>7.7434615384615384</v>
      </c>
      <c r="T55" s="93">
        <v>1</v>
      </c>
      <c r="U55" s="41">
        <f t="shared" si="11"/>
        <v>2.5811538461538461</v>
      </c>
      <c r="V55" s="43">
        <f t="shared" si="12"/>
        <v>2.5811538461538461</v>
      </c>
      <c r="W55" s="44">
        <f t="shared" si="5"/>
        <v>2</v>
      </c>
      <c r="X55" s="44">
        <f t="shared" si="6"/>
        <v>2.5811538461538461</v>
      </c>
      <c r="Y55" s="166">
        <f t="shared" si="13"/>
        <v>5.1623076923076923</v>
      </c>
      <c r="AA55" s="131"/>
      <c r="AB55" s="131"/>
      <c r="AC55" s="191"/>
    </row>
    <row r="56" spans="1:29" customFormat="1" ht="15.5" customHeight="1" x14ac:dyDescent="0.25">
      <c r="A56" s="168" t="s">
        <v>113</v>
      </c>
      <c r="B56" s="140" t="s">
        <v>79</v>
      </c>
      <c r="C56" s="113">
        <v>10</v>
      </c>
      <c r="D56" s="141">
        <v>3.554472601713996</v>
      </c>
      <c r="E56" s="113">
        <f t="shared" si="8"/>
        <v>35.544726017139958</v>
      </c>
      <c r="F56" s="41"/>
      <c r="G56" s="41"/>
      <c r="H56" s="41">
        <f t="shared" si="9"/>
        <v>0</v>
      </c>
      <c r="I56" s="96">
        <f t="shared" si="0"/>
        <v>0</v>
      </c>
      <c r="J56" s="41"/>
      <c r="K56" s="41"/>
      <c r="L56" s="41"/>
      <c r="M56" s="96">
        <f t="shared" si="10"/>
        <v>0</v>
      </c>
      <c r="N56" s="96"/>
      <c r="O56" s="101"/>
      <c r="P56" s="101"/>
      <c r="Q56" s="42">
        <f t="shared" si="1"/>
        <v>10</v>
      </c>
      <c r="R56" s="42">
        <f t="shared" si="2"/>
        <v>3.5544726017139956</v>
      </c>
      <c r="S56" s="42">
        <f t="shared" si="3"/>
        <v>35.544726017139958</v>
      </c>
      <c r="T56" s="93">
        <v>4</v>
      </c>
      <c r="U56" s="41">
        <f t="shared" si="11"/>
        <v>3.5544726017139956</v>
      </c>
      <c r="V56" s="43">
        <f t="shared" si="12"/>
        <v>14.217890406855982</v>
      </c>
      <c r="W56" s="44">
        <f t="shared" si="5"/>
        <v>6</v>
      </c>
      <c r="X56" s="44">
        <f t="shared" si="6"/>
        <v>3.5544726017139956</v>
      </c>
      <c r="Y56" s="166">
        <f t="shared" si="13"/>
        <v>21.326835610283972</v>
      </c>
      <c r="AA56" s="131"/>
      <c r="AB56" s="131"/>
      <c r="AC56" s="191"/>
    </row>
    <row r="57" spans="1:29" customFormat="1" ht="15.5" customHeight="1" x14ac:dyDescent="0.25">
      <c r="A57" s="168" t="s">
        <v>114</v>
      </c>
      <c r="B57" s="140" t="s">
        <v>79</v>
      </c>
      <c r="C57" s="113">
        <v>4</v>
      </c>
      <c r="D57" s="141">
        <v>5.8680888672484057</v>
      </c>
      <c r="E57" s="113">
        <f t="shared" si="8"/>
        <v>23.472355468993623</v>
      </c>
      <c r="F57" s="41"/>
      <c r="G57" s="41"/>
      <c r="H57" s="41">
        <f t="shared" si="9"/>
        <v>0</v>
      </c>
      <c r="I57" s="96">
        <f t="shared" si="0"/>
        <v>0</v>
      </c>
      <c r="J57" s="41"/>
      <c r="K57" s="41"/>
      <c r="L57" s="41"/>
      <c r="M57" s="96">
        <f t="shared" si="10"/>
        <v>0</v>
      </c>
      <c r="N57" s="96"/>
      <c r="O57" s="96"/>
      <c r="P57" s="96"/>
      <c r="Q57" s="42">
        <f t="shared" si="1"/>
        <v>4</v>
      </c>
      <c r="R57" s="42">
        <f t="shared" si="2"/>
        <v>5.8680888672484057</v>
      </c>
      <c r="S57" s="42">
        <f t="shared" si="3"/>
        <v>23.472355468993623</v>
      </c>
      <c r="T57" s="93">
        <v>2</v>
      </c>
      <c r="U57" s="41">
        <f t="shared" si="11"/>
        <v>5.8680888672484057</v>
      </c>
      <c r="V57" s="43">
        <f t="shared" si="12"/>
        <v>11.736177734496811</v>
      </c>
      <c r="W57" s="44">
        <f t="shared" si="5"/>
        <v>2</v>
      </c>
      <c r="X57" s="44">
        <f t="shared" si="6"/>
        <v>5.8680888672484057</v>
      </c>
      <c r="Y57" s="166">
        <f t="shared" si="13"/>
        <v>11.736177734496811</v>
      </c>
      <c r="AA57" s="131"/>
      <c r="AB57" s="131"/>
      <c r="AC57" s="191"/>
    </row>
    <row r="58" spans="1:29" customFormat="1" ht="15.65" customHeight="1" x14ac:dyDescent="0.25">
      <c r="A58" s="168" t="s">
        <v>115</v>
      </c>
      <c r="B58" s="140" t="s">
        <v>79</v>
      </c>
      <c r="C58" s="113">
        <v>8</v>
      </c>
      <c r="D58" s="141">
        <v>5.9907270167276527</v>
      </c>
      <c r="E58" s="113">
        <f t="shared" si="8"/>
        <v>47.925816133821222</v>
      </c>
      <c r="F58" s="41"/>
      <c r="G58" s="41"/>
      <c r="H58" s="41">
        <f t="shared" si="9"/>
        <v>0</v>
      </c>
      <c r="I58" s="96">
        <f t="shared" si="0"/>
        <v>0</v>
      </c>
      <c r="J58" s="41"/>
      <c r="K58" s="41"/>
      <c r="L58" s="41"/>
      <c r="M58" s="96">
        <f t="shared" si="10"/>
        <v>0</v>
      </c>
      <c r="N58" s="96"/>
      <c r="O58" s="96"/>
      <c r="P58" s="96"/>
      <c r="Q58" s="42">
        <f t="shared" si="1"/>
        <v>8</v>
      </c>
      <c r="R58" s="42">
        <f t="shared" si="2"/>
        <v>5.9907270167276527</v>
      </c>
      <c r="S58" s="42">
        <f t="shared" si="3"/>
        <v>47.925816133821222</v>
      </c>
      <c r="T58" s="93">
        <v>3</v>
      </c>
      <c r="U58" s="41">
        <f t="shared" si="11"/>
        <v>5.9907270167276527</v>
      </c>
      <c r="V58" s="43">
        <f t="shared" si="12"/>
        <v>17.972181050182957</v>
      </c>
      <c r="W58" s="44">
        <f t="shared" si="5"/>
        <v>5</v>
      </c>
      <c r="X58" s="44">
        <f t="shared" si="6"/>
        <v>5.9907270167276527</v>
      </c>
      <c r="Y58" s="166">
        <f t="shared" si="13"/>
        <v>29.953635083638265</v>
      </c>
      <c r="AA58" s="131"/>
      <c r="AB58" s="131"/>
      <c r="AC58" s="191"/>
    </row>
    <row r="59" spans="1:29" customFormat="1" ht="15.5" customHeight="1" x14ac:dyDescent="0.25">
      <c r="A59" s="177" t="s">
        <v>317</v>
      </c>
      <c r="B59" s="142" t="s">
        <v>70</v>
      </c>
      <c r="C59" s="113">
        <v>5</v>
      </c>
      <c r="D59" s="141">
        <v>1.0517711171662125</v>
      </c>
      <c r="E59" s="113">
        <f t="shared" si="8"/>
        <v>5.2588555858310624</v>
      </c>
      <c r="F59" s="41"/>
      <c r="G59" s="41"/>
      <c r="H59" s="41">
        <f t="shared" si="9"/>
        <v>0</v>
      </c>
      <c r="I59" s="96">
        <f t="shared" si="0"/>
        <v>0</v>
      </c>
      <c r="J59" s="41"/>
      <c r="K59" s="41"/>
      <c r="L59" s="41"/>
      <c r="M59" s="96">
        <f t="shared" si="10"/>
        <v>0</v>
      </c>
      <c r="N59" s="96"/>
      <c r="O59" s="96"/>
      <c r="P59" s="96"/>
      <c r="Q59" s="42">
        <f t="shared" si="1"/>
        <v>5</v>
      </c>
      <c r="R59" s="42">
        <f t="shared" si="2"/>
        <v>1.0517711171662125</v>
      </c>
      <c r="S59" s="42">
        <f t="shared" si="3"/>
        <v>5.2588555858310624</v>
      </c>
      <c r="T59" s="93">
        <v>2</v>
      </c>
      <c r="U59" s="41">
        <f t="shared" si="11"/>
        <v>1.0517711171662125</v>
      </c>
      <c r="V59" s="43">
        <f t="shared" si="12"/>
        <v>2.103542234332425</v>
      </c>
      <c r="W59" s="44">
        <f t="shared" si="5"/>
        <v>3</v>
      </c>
      <c r="X59" s="44">
        <f t="shared" si="6"/>
        <v>1.0517711171662125</v>
      </c>
      <c r="Y59" s="166">
        <f t="shared" si="13"/>
        <v>3.1553133514986378</v>
      </c>
      <c r="AA59" s="131"/>
      <c r="AB59" s="131"/>
      <c r="AC59" s="191"/>
    </row>
    <row r="60" spans="1:29" customFormat="1" ht="15.5" customHeight="1" x14ac:dyDescent="0.25">
      <c r="A60" s="168" t="s">
        <v>116</v>
      </c>
      <c r="B60" s="140" t="s">
        <v>70</v>
      </c>
      <c r="C60" s="113">
        <v>20</v>
      </c>
      <c r="D60" s="141">
        <v>1.525108695652174</v>
      </c>
      <c r="E60" s="113">
        <f t="shared" si="8"/>
        <v>30.502173913043478</v>
      </c>
      <c r="F60" s="41"/>
      <c r="G60" s="41"/>
      <c r="H60" s="41">
        <f t="shared" si="9"/>
        <v>0</v>
      </c>
      <c r="I60" s="96">
        <f t="shared" si="0"/>
        <v>0</v>
      </c>
      <c r="J60" s="41"/>
      <c r="K60" s="41"/>
      <c r="L60" s="41"/>
      <c r="M60" s="96">
        <f t="shared" si="10"/>
        <v>0</v>
      </c>
      <c r="N60" s="96"/>
      <c r="O60" s="96"/>
      <c r="P60" s="96"/>
      <c r="Q60" s="42">
        <f t="shared" si="1"/>
        <v>20</v>
      </c>
      <c r="R60" s="42">
        <f t="shared" si="2"/>
        <v>1.525108695652174</v>
      </c>
      <c r="S60" s="42">
        <f t="shared" si="3"/>
        <v>30.502173913043478</v>
      </c>
      <c r="T60" s="93">
        <v>10</v>
      </c>
      <c r="U60" s="41">
        <f t="shared" si="11"/>
        <v>1.525108695652174</v>
      </c>
      <c r="V60" s="43">
        <f t="shared" si="12"/>
        <v>15.251086956521739</v>
      </c>
      <c r="W60" s="44">
        <f t="shared" si="5"/>
        <v>10</v>
      </c>
      <c r="X60" s="44">
        <f t="shared" si="6"/>
        <v>1.525108695652174</v>
      </c>
      <c r="Y60" s="166">
        <f t="shared" si="13"/>
        <v>15.251086956521739</v>
      </c>
      <c r="AA60" s="131"/>
      <c r="AB60" s="131"/>
      <c r="AC60" s="191"/>
    </row>
    <row r="61" spans="1:29" customFormat="1" ht="15.5" customHeight="1" x14ac:dyDescent="0.25">
      <c r="A61" s="168" t="s">
        <v>117</v>
      </c>
      <c r="B61" s="140" t="s">
        <v>195</v>
      </c>
      <c r="C61" s="113">
        <v>1</v>
      </c>
      <c r="D61" s="141">
        <v>8.0384615384615383</v>
      </c>
      <c r="E61" s="113">
        <f t="shared" si="8"/>
        <v>8.0384615384615383</v>
      </c>
      <c r="F61" s="41"/>
      <c r="G61" s="41"/>
      <c r="H61" s="41">
        <f t="shared" si="9"/>
        <v>0</v>
      </c>
      <c r="I61" s="96">
        <f t="shared" si="0"/>
        <v>0</v>
      </c>
      <c r="J61" s="41"/>
      <c r="K61" s="41"/>
      <c r="L61" s="41"/>
      <c r="M61" s="96">
        <f t="shared" si="10"/>
        <v>0</v>
      </c>
      <c r="N61" s="96"/>
      <c r="O61" s="96"/>
      <c r="P61" s="96"/>
      <c r="Q61" s="42">
        <f t="shared" si="1"/>
        <v>1</v>
      </c>
      <c r="R61" s="42">
        <f t="shared" si="2"/>
        <v>8.0384615384615383</v>
      </c>
      <c r="S61" s="42">
        <f t="shared" si="3"/>
        <v>8.0384615384615383</v>
      </c>
      <c r="T61" s="93">
        <v>1</v>
      </c>
      <c r="U61" s="41">
        <f t="shared" si="11"/>
        <v>8.0384615384615383</v>
      </c>
      <c r="V61" s="43">
        <f t="shared" si="12"/>
        <v>8.0384615384615383</v>
      </c>
      <c r="W61" s="44">
        <f t="shared" si="5"/>
        <v>0</v>
      </c>
      <c r="X61" s="44">
        <f t="shared" si="6"/>
        <v>8.0384615384615383</v>
      </c>
      <c r="Y61" s="166">
        <f t="shared" si="13"/>
        <v>0</v>
      </c>
      <c r="AA61" s="131"/>
      <c r="AB61" s="131"/>
      <c r="AC61" s="191"/>
    </row>
    <row r="62" spans="1:29" customFormat="1" ht="15.5" customHeight="1" x14ac:dyDescent="0.25">
      <c r="A62" s="168" t="s">
        <v>118</v>
      </c>
      <c r="B62" s="140" t="s">
        <v>70</v>
      </c>
      <c r="C62" s="113">
        <v>2</v>
      </c>
      <c r="D62" s="141">
        <v>4.3461538461538467</v>
      </c>
      <c r="E62" s="113">
        <f t="shared" si="8"/>
        <v>8.6923076923076934</v>
      </c>
      <c r="F62" s="41"/>
      <c r="G62" s="41"/>
      <c r="H62" s="41">
        <f t="shared" si="9"/>
        <v>0</v>
      </c>
      <c r="I62" s="96">
        <f t="shared" si="0"/>
        <v>0</v>
      </c>
      <c r="J62" s="41"/>
      <c r="K62" s="41"/>
      <c r="L62" s="41"/>
      <c r="M62" s="96">
        <f t="shared" si="10"/>
        <v>0</v>
      </c>
      <c r="N62" s="96"/>
      <c r="O62" s="96"/>
      <c r="P62" s="96"/>
      <c r="Q62" s="42">
        <f t="shared" si="1"/>
        <v>2</v>
      </c>
      <c r="R62" s="42">
        <f t="shared" si="2"/>
        <v>4.3461538461538467</v>
      </c>
      <c r="S62" s="42">
        <f t="shared" si="3"/>
        <v>8.6923076923076934</v>
      </c>
      <c r="T62" s="93">
        <v>2</v>
      </c>
      <c r="U62" s="41">
        <f t="shared" si="11"/>
        <v>4.3461538461538467</v>
      </c>
      <c r="V62" s="43">
        <f t="shared" si="12"/>
        <v>8.6923076923076934</v>
      </c>
      <c r="W62" s="44">
        <f t="shared" si="5"/>
        <v>0</v>
      </c>
      <c r="X62" s="44">
        <f t="shared" si="6"/>
        <v>4.3461538461538467</v>
      </c>
      <c r="Y62" s="166">
        <f t="shared" si="13"/>
        <v>0</v>
      </c>
      <c r="AA62" s="131"/>
      <c r="AB62" s="131"/>
      <c r="AC62" s="191"/>
    </row>
    <row r="63" spans="1:29" customFormat="1" ht="15.65" customHeight="1" x14ac:dyDescent="0.25">
      <c r="A63" s="168" t="s">
        <v>310</v>
      </c>
      <c r="B63" s="140" t="s">
        <v>79</v>
      </c>
      <c r="C63" s="113">
        <v>3</v>
      </c>
      <c r="D63" s="141">
        <v>1.8218355436740237</v>
      </c>
      <c r="E63" s="113">
        <f t="shared" si="8"/>
        <v>5.4655066310220715</v>
      </c>
      <c r="F63" s="41"/>
      <c r="G63" s="41"/>
      <c r="H63" s="41">
        <f t="shared" si="9"/>
        <v>0</v>
      </c>
      <c r="I63" s="96">
        <f t="shared" si="0"/>
        <v>0</v>
      </c>
      <c r="J63" s="41"/>
      <c r="K63" s="41"/>
      <c r="L63" s="41"/>
      <c r="M63" s="96">
        <f t="shared" si="10"/>
        <v>0</v>
      </c>
      <c r="N63" s="96"/>
      <c r="O63" s="96"/>
      <c r="P63" s="96"/>
      <c r="Q63" s="42">
        <f t="shared" si="1"/>
        <v>3</v>
      </c>
      <c r="R63" s="42">
        <f t="shared" si="2"/>
        <v>1.8218355436740239</v>
      </c>
      <c r="S63" s="42">
        <f t="shared" si="3"/>
        <v>5.4655066310220715</v>
      </c>
      <c r="T63" s="93">
        <v>2</v>
      </c>
      <c r="U63" s="41">
        <f t="shared" si="11"/>
        <v>1.8218355436740239</v>
      </c>
      <c r="V63" s="43">
        <f t="shared" si="12"/>
        <v>3.6436710873480478</v>
      </c>
      <c r="W63" s="44">
        <f t="shared" si="5"/>
        <v>1</v>
      </c>
      <c r="X63" s="44">
        <f t="shared" si="6"/>
        <v>1.8218355436740239</v>
      </c>
      <c r="Y63" s="166">
        <f t="shared" si="13"/>
        <v>1.8218355436740239</v>
      </c>
      <c r="AA63" s="131"/>
      <c r="AB63" s="131"/>
      <c r="AC63" s="191"/>
    </row>
    <row r="64" spans="1:29" customFormat="1" ht="15.65" customHeight="1" x14ac:dyDescent="0.25">
      <c r="A64" s="168" t="s">
        <v>119</v>
      </c>
      <c r="B64" s="140" t="s">
        <v>70</v>
      </c>
      <c r="C64" s="113">
        <v>2</v>
      </c>
      <c r="D64" s="141">
        <v>5.4758692307692307</v>
      </c>
      <c r="E64" s="113">
        <f t="shared" si="8"/>
        <v>10.951738461538461</v>
      </c>
      <c r="F64" s="41"/>
      <c r="G64" s="41"/>
      <c r="H64" s="41">
        <f t="shared" si="9"/>
        <v>0</v>
      </c>
      <c r="I64" s="96">
        <f t="shared" si="0"/>
        <v>0</v>
      </c>
      <c r="J64" s="41"/>
      <c r="K64" s="41"/>
      <c r="L64" s="41"/>
      <c r="M64" s="96">
        <f t="shared" si="10"/>
        <v>0</v>
      </c>
      <c r="N64" s="96"/>
      <c r="O64" s="96"/>
      <c r="P64" s="96"/>
      <c r="Q64" s="42">
        <f t="shared" si="1"/>
        <v>2</v>
      </c>
      <c r="R64" s="42">
        <f t="shared" si="2"/>
        <v>5.4758692307692307</v>
      </c>
      <c r="S64" s="42">
        <f t="shared" si="3"/>
        <v>10.951738461538461</v>
      </c>
      <c r="T64" s="93">
        <v>1</v>
      </c>
      <c r="U64" s="41">
        <f t="shared" si="11"/>
        <v>5.4758692307692307</v>
      </c>
      <c r="V64" s="43">
        <f t="shared" si="12"/>
        <v>5.4758692307692307</v>
      </c>
      <c r="W64" s="44">
        <f t="shared" si="5"/>
        <v>1</v>
      </c>
      <c r="X64" s="44">
        <f t="shared" si="6"/>
        <v>5.4758692307692307</v>
      </c>
      <c r="Y64" s="166">
        <f t="shared" si="13"/>
        <v>5.4758692307692307</v>
      </c>
      <c r="AA64" s="131"/>
      <c r="AB64" s="131"/>
      <c r="AC64" s="191"/>
    </row>
    <row r="65" spans="1:29" customFormat="1" ht="15.5" customHeight="1" x14ac:dyDescent="0.25">
      <c r="A65" s="168" t="s">
        <v>120</v>
      </c>
      <c r="B65" s="140" t="s">
        <v>79</v>
      </c>
      <c r="C65" s="113">
        <v>1</v>
      </c>
      <c r="D65" s="141">
        <v>1.9453846153846155</v>
      </c>
      <c r="E65" s="113">
        <f t="shared" si="8"/>
        <v>1.9453846153846155</v>
      </c>
      <c r="F65" s="41"/>
      <c r="G65" s="41"/>
      <c r="H65" s="41">
        <f t="shared" si="9"/>
        <v>0</v>
      </c>
      <c r="I65" s="96">
        <f t="shared" si="0"/>
        <v>0</v>
      </c>
      <c r="J65" s="41"/>
      <c r="K65" s="41"/>
      <c r="L65" s="41"/>
      <c r="M65" s="96">
        <f t="shared" si="10"/>
        <v>0</v>
      </c>
      <c r="N65" s="96"/>
      <c r="O65" s="96"/>
      <c r="P65" s="96"/>
      <c r="Q65" s="42">
        <f t="shared" si="1"/>
        <v>1</v>
      </c>
      <c r="R65" s="42">
        <f t="shared" si="2"/>
        <v>1.9453846153846155</v>
      </c>
      <c r="S65" s="42">
        <f t="shared" si="3"/>
        <v>1.9453846153846155</v>
      </c>
      <c r="T65" s="93">
        <v>1</v>
      </c>
      <c r="U65" s="41">
        <f t="shared" si="11"/>
        <v>1.9453846153846155</v>
      </c>
      <c r="V65" s="43">
        <f t="shared" si="12"/>
        <v>1.9453846153846155</v>
      </c>
      <c r="W65" s="44">
        <f t="shared" si="5"/>
        <v>0</v>
      </c>
      <c r="X65" s="44">
        <f t="shared" si="6"/>
        <v>1.9453846153846155</v>
      </c>
      <c r="Y65" s="166">
        <f t="shared" si="13"/>
        <v>0</v>
      </c>
      <c r="AA65" s="131"/>
      <c r="AB65" s="131"/>
      <c r="AC65" s="191"/>
    </row>
    <row r="66" spans="1:29" customFormat="1" ht="15.5" customHeight="1" x14ac:dyDescent="0.25">
      <c r="A66" s="168" t="s">
        <v>121</v>
      </c>
      <c r="B66" s="140" t="s">
        <v>79</v>
      </c>
      <c r="C66" s="113">
        <v>2</v>
      </c>
      <c r="D66" s="141">
        <v>3.3149440559440557</v>
      </c>
      <c r="E66" s="113">
        <f t="shared" si="8"/>
        <v>6.6298881118881114</v>
      </c>
      <c r="F66" s="41"/>
      <c r="G66" s="41"/>
      <c r="H66" s="41">
        <f t="shared" si="9"/>
        <v>0</v>
      </c>
      <c r="I66" s="96">
        <f t="shared" si="0"/>
        <v>0</v>
      </c>
      <c r="J66" s="41"/>
      <c r="K66" s="41"/>
      <c r="L66" s="41"/>
      <c r="M66" s="96">
        <f t="shared" si="10"/>
        <v>0</v>
      </c>
      <c r="N66" s="96"/>
      <c r="O66" s="96"/>
      <c r="P66" s="96"/>
      <c r="Q66" s="42">
        <f t="shared" si="1"/>
        <v>2</v>
      </c>
      <c r="R66" s="42">
        <f t="shared" si="2"/>
        <v>3.3149440559440557</v>
      </c>
      <c r="S66" s="42">
        <f t="shared" si="3"/>
        <v>6.6298881118881114</v>
      </c>
      <c r="T66" s="93">
        <v>1</v>
      </c>
      <c r="U66" s="41">
        <f t="shared" si="11"/>
        <v>3.3149440559440557</v>
      </c>
      <c r="V66" s="43">
        <f t="shared" si="12"/>
        <v>3.3149440559440557</v>
      </c>
      <c r="W66" s="44">
        <f t="shared" si="5"/>
        <v>1</v>
      </c>
      <c r="X66" s="44">
        <f t="shared" si="6"/>
        <v>3.3149440559440557</v>
      </c>
      <c r="Y66" s="166">
        <f t="shared" si="13"/>
        <v>3.3149440559440557</v>
      </c>
      <c r="AA66" s="131"/>
      <c r="AB66" s="131"/>
      <c r="AC66" s="191"/>
    </row>
    <row r="67" spans="1:29" customFormat="1" ht="15.5" customHeight="1" x14ac:dyDescent="0.25">
      <c r="A67" s="168" t="s">
        <v>122</v>
      </c>
      <c r="B67" s="140" t="s">
        <v>79</v>
      </c>
      <c r="C67" s="113">
        <v>1</v>
      </c>
      <c r="D67" s="141">
        <v>8.3215384615384611</v>
      </c>
      <c r="E67" s="113">
        <f t="shared" si="8"/>
        <v>8.3215384615384611</v>
      </c>
      <c r="F67" s="41"/>
      <c r="G67" s="41"/>
      <c r="H67" s="41">
        <f t="shared" si="9"/>
        <v>0</v>
      </c>
      <c r="I67" s="96">
        <f t="shared" si="0"/>
        <v>0</v>
      </c>
      <c r="J67" s="41"/>
      <c r="K67" s="41"/>
      <c r="L67" s="41"/>
      <c r="M67" s="96">
        <f t="shared" si="10"/>
        <v>0</v>
      </c>
      <c r="N67" s="96"/>
      <c r="O67" s="96"/>
      <c r="P67" s="96"/>
      <c r="Q67" s="42">
        <f t="shared" si="1"/>
        <v>1</v>
      </c>
      <c r="R67" s="42">
        <f t="shared" si="2"/>
        <v>8.3215384615384611</v>
      </c>
      <c r="S67" s="42">
        <f t="shared" si="3"/>
        <v>8.3215384615384611</v>
      </c>
      <c r="T67" s="93">
        <v>1</v>
      </c>
      <c r="U67" s="41">
        <f t="shared" si="11"/>
        <v>8.3215384615384611</v>
      </c>
      <c r="V67" s="43">
        <f t="shared" si="12"/>
        <v>8.3215384615384611</v>
      </c>
      <c r="W67" s="44">
        <f t="shared" si="5"/>
        <v>0</v>
      </c>
      <c r="X67" s="44">
        <f t="shared" si="6"/>
        <v>8.3215384615384611</v>
      </c>
      <c r="Y67" s="166">
        <f t="shared" si="13"/>
        <v>0</v>
      </c>
      <c r="AA67" s="131"/>
      <c r="AB67" s="131"/>
      <c r="AC67" s="191"/>
    </row>
    <row r="68" spans="1:29" customFormat="1" ht="15.5" customHeight="1" x14ac:dyDescent="0.25">
      <c r="A68" s="168" t="s">
        <v>123</v>
      </c>
      <c r="B68" s="140" t="s">
        <v>70</v>
      </c>
      <c r="C68" s="113">
        <v>8</v>
      </c>
      <c r="D68" s="141">
        <v>1.8409607614607613</v>
      </c>
      <c r="E68" s="113">
        <f t="shared" si="8"/>
        <v>14.72768609168609</v>
      </c>
      <c r="F68" s="41"/>
      <c r="G68" s="41"/>
      <c r="H68" s="41">
        <f t="shared" si="9"/>
        <v>0</v>
      </c>
      <c r="I68" s="96">
        <f t="shared" si="0"/>
        <v>0</v>
      </c>
      <c r="J68" s="41"/>
      <c r="K68" s="41"/>
      <c r="L68" s="41"/>
      <c r="M68" s="96">
        <f t="shared" si="10"/>
        <v>0</v>
      </c>
      <c r="N68" s="96"/>
      <c r="O68" s="96"/>
      <c r="P68" s="96"/>
      <c r="Q68" s="42">
        <f t="shared" si="1"/>
        <v>8</v>
      </c>
      <c r="R68" s="42">
        <f t="shared" si="2"/>
        <v>1.8409607614607613</v>
      </c>
      <c r="S68" s="42">
        <f t="shared" si="3"/>
        <v>14.72768609168609</v>
      </c>
      <c r="T68" s="93">
        <v>4</v>
      </c>
      <c r="U68" s="41">
        <f t="shared" si="11"/>
        <v>1.8409607614607613</v>
      </c>
      <c r="V68" s="43">
        <f t="shared" si="12"/>
        <v>7.3638430458430451</v>
      </c>
      <c r="W68" s="44">
        <f t="shared" si="5"/>
        <v>4</v>
      </c>
      <c r="X68" s="44">
        <f t="shared" si="6"/>
        <v>1.8409607614607613</v>
      </c>
      <c r="Y68" s="166">
        <f t="shared" si="13"/>
        <v>7.3638430458430451</v>
      </c>
      <c r="AA68" s="131"/>
      <c r="AB68" s="131"/>
      <c r="AC68" s="191"/>
    </row>
    <row r="69" spans="1:29" customFormat="1" ht="15.5" customHeight="1" x14ac:dyDescent="0.25">
      <c r="A69" s="175" t="s">
        <v>184</v>
      </c>
      <c r="B69" s="142" t="s">
        <v>195</v>
      </c>
      <c r="C69" s="113">
        <v>3</v>
      </c>
      <c r="D69" s="141">
        <v>5.6923076923076925</v>
      </c>
      <c r="E69" s="113">
        <f t="shared" si="8"/>
        <v>17.076923076923077</v>
      </c>
      <c r="F69" s="41"/>
      <c r="G69" s="41"/>
      <c r="H69" s="41">
        <f t="shared" si="9"/>
        <v>0</v>
      </c>
      <c r="I69" s="96">
        <f t="shared" si="0"/>
        <v>0</v>
      </c>
      <c r="J69" s="41"/>
      <c r="K69" s="41"/>
      <c r="L69" s="41"/>
      <c r="M69" s="96">
        <f t="shared" si="10"/>
        <v>0</v>
      </c>
      <c r="N69" s="96"/>
      <c r="O69" s="96"/>
      <c r="P69" s="96"/>
      <c r="Q69" s="42">
        <f t="shared" si="1"/>
        <v>3</v>
      </c>
      <c r="R69" s="42">
        <f t="shared" si="2"/>
        <v>5.6923076923076925</v>
      </c>
      <c r="S69" s="42">
        <f t="shared" si="3"/>
        <v>17.076923076923077</v>
      </c>
      <c r="T69" s="93">
        <v>2</v>
      </c>
      <c r="U69" s="41">
        <f t="shared" si="11"/>
        <v>5.6923076923076925</v>
      </c>
      <c r="V69" s="43">
        <f t="shared" si="12"/>
        <v>11.384615384615385</v>
      </c>
      <c r="W69" s="44">
        <f t="shared" si="5"/>
        <v>1</v>
      </c>
      <c r="X69" s="44">
        <f t="shared" si="6"/>
        <v>5.6923076923076925</v>
      </c>
      <c r="Y69" s="166">
        <f t="shared" si="13"/>
        <v>5.6923076923076925</v>
      </c>
      <c r="AA69" s="131"/>
      <c r="AB69" s="131"/>
      <c r="AC69" s="191"/>
    </row>
    <row r="70" spans="1:29" customFormat="1" ht="15.65" customHeight="1" x14ac:dyDescent="0.25">
      <c r="A70" s="168" t="s">
        <v>124</v>
      </c>
      <c r="B70" s="140" t="s">
        <v>79</v>
      </c>
      <c r="C70" s="113">
        <v>20</v>
      </c>
      <c r="D70" s="141">
        <v>1.3019862800375166</v>
      </c>
      <c r="E70" s="113">
        <f t="shared" si="8"/>
        <v>26.03972560075033</v>
      </c>
      <c r="F70" s="41"/>
      <c r="G70" s="41"/>
      <c r="H70" s="41">
        <f t="shared" si="9"/>
        <v>0</v>
      </c>
      <c r="I70" s="96">
        <f t="shared" si="0"/>
        <v>0</v>
      </c>
      <c r="J70" s="41"/>
      <c r="K70" s="41"/>
      <c r="L70" s="41"/>
      <c r="M70" s="96">
        <f t="shared" si="10"/>
        <v>0</v>
      </c>
      <c r="N70" s="96"/>
      <c r="O70" s="96"/>
      <c r="P70" s="96"/>
      <c r="Q70" s="42">
        <f t="shared" si="1"/>
        <v>20</v>
      </c>
      <c r="R70" s="42">
        <f t="shared" si="2"/>
        <v>1.3019862800375166</v>
      </c>
      <c r="S70" s="42">
        <f t="shared" si="3"/>
        <v>26.03972560075033</v>
      </c>
      <c r="T70" s="93">
        <v>10</v>
      </c>
      <c r="U70" s="41">
        <f t="shared" si="11"/>
        <v>1.3019862800375166</v>
      </c>
      <c r="V70" s="43">
        <f t="shared" si="12"/>
        <v>13.019862800375165</v>
      </c>
      <c r="W70" s="44">
        <f t="shared" si="5"/>
        <v>10</v>
      </c>
      <c r="X70" s="44">
        <f t="shared" si="6"/>
        <v>1.3019862800375166</v>
      </c>
      <c r="Y70" s="166">
        <f t="shared" si="13"/>
        <v>13.019862800375165</v>
      </c>
      <c r="AA70" s="131"/>
      <c r="AB70" s="131"/>
      <c r="AC70" s="191"/>
    </row>
    <row r="71" spans="1:29" customFormat="1" ht="15.5" customHeight="1" x14ac:dyDescent="0.25">
      <c r="A71" s="175" t="s">
        <v>370</v>
      </c>
      <c r="B71" s="142" t="s">
        <v>70</v>
      </c>
      <c r="C71" s="113">
        <v>12</v>
      </c>
      <c r="D71" s="141">
        <v>6.2005682405188818</v>
      </c>
      <c r="E71" s="113">
        <f t="shared" si="8"/>
        <v>74.406818886226574</v>
      </c>
      <c r="F71" s="41"/>
      <c r="G71" s="41"/>
      <c r="H71" s="41">
        <f t="shared" si="9"/>
        <v>0</v>
      </c>
      <c r="I71" s="96">
        <f t="shared" si="0"/>
        <v>0</v>
      </c>
      <c r="J71" s="41"/>
      <c r="K71" s="41"/>
      <c r="L71" s="41"/>
      <c r="M71" s="96">
        <f t="shared" si="10"/>
        <v>0</v>
      </c>
      <c r="N71" s="96"/>
      <c r="O71" s="96"/>
      <c r="P71" s="96"/>
      <c r="Q71" s="42">
        <f t="shared" si="1"/>
        <v>12</v>
      </c>
      <c r="R71" s="42">
        <f t="shared" si="2"/>
        <v>6.2005682405188809</v>
      </c>
      <c r="S71" s="42">
        <f t="shared" si="3"/>
        <v>74.406818886226574</v>
      </c>
      <c r="T71" s="93">
        <v>8</v>
      </c>
      <c r="U71" s="41">
        <f t="shared" si="11"/>
        <v>6.2005682405188809</v>
      </c>
      <c r="V71" s="43">
        <f t="shared" si="12"/>
        <v>49.604545924151047</v>
      </c>
      <c r="W71" s="44">
        <f t="shared" si="5"/>
        <v>4</v>
      </c>
      <c r="X71" s="44">
        <f t="shared" si="6"/>
        <v>6.2005682405188809</v>
      </c>
      <c r="Y71" s="166">
        <f t="shared" si="13"/>
        <v>24.802272962075524</v>
      </c>
      <c r="AA71" s="131"/>
      <c r="AB71" s="131"/>
      <c r="AC71" s="191"/>
    </row>
    <row r="72" spans="1:29" customFormat="1" ht="15.5" customHeight="1" x14ac:dyDescent="0.25">
      <c r="A72" s="175" t="s">
        <v>216</v>
      </c>
      <c r="B72" s="142" t="s">
        <v>70</v>
      </c>
      <c r="C72" s="113">
        <v>35</v>
      </c>
      <c r="D72" s="141">
        <v>5.891814152763498</v>
      </c>
      <c r="E72" s="113">
        <f t="shared" si="8"/>
        <v>206.21349534672242</v>
      </c>
      <c r="F72" s="41"/>
      <c r="G72" s="41"/>
      <c r="H72" s="41">
        <f t="shared" si="9"/>
        <v>0</v>
      </c>
      <c r="I72" s="96">
        <f t="shared" ref="I72:I135" si="14">F72*H72</f>
        <v>0</v>
      </c>
      <c r="J72" s="41"/>
      <c r="K72" s="41"/>
      <c r="L72" s="41"/>
      <c r="M72" s="96">
        <f t="shared" si="10"/>
        <v>0</v>
      </c>
      <c r="N72" s="96"/>
      <c r="O72" s="96"/>
      <c r="P72" s="96"/>
      <c r="Q72" s="42">
        <f t="shared" ref="Q72:Q135" si="15">C72+F72+J72+N72</f>
        <v>35</v>
      </c>
      <c r="R72" s="42">
        <f t="shared" ref="R72:R135" si="16">IF(Q72=0,"0.00",S72/Q72)</f>
        <v>5.891814152763498</v>
      </c>
      <c r="S72" s="42">
        <f t="shared" ref="S72:S135" si="17">E72+I72+M72+P72</f>
        <v>206.21349534672242</v>
      </c>
      <c r="T72" s="93">
        <v>20</v>
      </c>
      <c r="U72" s="41">
        <f t="shared" ref="U72:U135" si="18">R72</f>
        <v>5.891814152763498</v>
      </c>
      <c r="V72" s="43">
        <f t="shared" si="12"/>
        <v>117.83628305526996</v>
      </c>
      <c r="W72" s="44">
        <f t="shared" si="5"/>
        <v>15</v>
      </c>
      <c r="X72" s="44">
        <f t="shared" ref="X72:X135" si="19">R72</f>
        <v>5.891814152763498</v>
      </c>
      <c r="Y72" s="166">
        <f t="shared" si="13"/>
        <v>88.377212291452466</v>
      </c>
      <c r="AA72" s="131"/>
      <c r="AB72" s="131"/>
      <c r="AC72" s="191"/>
    </row>
    <row r="73" spans="1:29" customFormat="1" ht="15.5" customHeight="1" x14ac:dyDescent="0.25">
      <c r="A73" s="175" t="s">
        <v>367</v>
      </c>
      <c r="B73" s="142" t="s">
        <v>79</v>
      </c>
      <c r="C73" s="113">
        <v>220</v>
      </c>
      <c r="D73" s="141">
        <v>1.8208491224918584</v>
      </c>
      <c r="E73" s="113">
        <f t="shared" ref="E73:E136" si="20">C73*D73</f>
        <v>400.58680694820885</v>
      </c>
      <c r="F73" s="41"/>
      <c r="G73" s="41"/>
      <c r="H73" s="41">
        <f t="shared" ref="H73:H136" si="21">G73/1.3</f>
        <v>0</v>
      </c>
      <c r="I73" s="96">
        <f t="shared" si="14"/>
        <v>0</v>
      </c>
      <c r="J73" s="41"/>
      <c r="K73" s="41"/>
      <c r="L73" s="41"/>
      <c r="M73" s="96">
        <f t="shared" ref="M73:M136" si="22">J73*L73</f>
        <v>0</v>
      </c>
      <c r="N73" s="96"/>
      <c r="O73" s="96"/>
      <c r="P73" s="96"/>
      <c r="Q73" s="42">
        <f t="shared" si="15"/>
        <v>220</v>
      </c>
      <c r="R73" s="42">
        <f t="shared" si="16"/>
        <v>1.8208491224918584</v>
      </c>
      <c r="S73" s="42">
        <f t="shared" si="17"/>
        <v>400.58680694820885</v>
      </c>
      <c r="T73" s="93">
        <v>110</v>
      </c>
      <c r="U73" s="41">
        <f t="shared" si="18"/>
        <v>1.8208491224918584</v>
      </c>
      <c r="V73" s="43">
        <f t="shared" si="12"/>
        <v>200.29340347410442</v>
      </c>
      <c r="W73" s="44">
        <f t="shared" ref="W73:W136" si="23">Q73-T73</f>
        <v>110</v>
      </c>
      <c r="X73" s="44">
        <f t="shared" si="19"/>
        <v>1.8208491224918584</v>
      </c>
      <c r="Y73" s="166">
        <f t="shared" si="13"/>
        <v>200.29340347410442</v>
      </c>
      <c r="AA73" s="131"/>
      <c r="AB73" s="131"/>
      <c r="AC73" s="191"/>
    </row>
    <row r="74" spans="1:29" customFormat="1" ht="15.5" customHeight="1" x14ac:dyDescent="0.25">
      <c r="A74" s="168" t="s">
        <v>306</v>
      </c>
      <c r="B74" s="140" t="s">
        <v>79</v>
      </c>
      <c r="C74" s="113">
        <v>180</v>
      </c>
      <c r="D74" s="141">
        <v>1.1665511729323685</v>
      </c>
      <c r="E74" s="113">
        <f t="shared" si="20"/>
        <v>209.97921112782635</v>
      </c>
      <c r="F74" s="41"/>
      <c r="G74" s="41"/>
      <c r="H74" s="41">
        <f t="shared" si="21"/>
        <v>0</v>
      </c>
      <c r="I74" s="96">
        <f t="shared" si="14"/>
        <v>0</v>
      </c>
      <c r="J74" s="41"/>
      <c r="K74" s="41"/>
      <c r="L74" s="41"/>
      <c r="M74" s="96">
        <f t="shared" si="22"/>
        <v>0</v>
      </c>
      <c r="N74" s="96"/>
      <c r="O74" s="96"/>
      <c r="P74" s="96"/>
      <c r="Q74" s="42">
        <f t="shared" si="15"/>
        <v>180</v>
      </c>
      <c r="R74" s="42">
        <f t="shared" si="16"/>
        <v>1.1665511729323685</v>
      </c>
      <c r="S74" s="42">
        <f t="shared" si="17"/>
        <v>209.97921112782635</v>
      </c>
      <c r="T74" s="93">
        <v>70</v>
      </c>
      <c r="U74" s="41">
        <f t="shared" si="18"/>
        <v>1.1665511729323685</v>
      </c>
      <c r="V74" s="43">
        <f t="shared" si="12"/>
        <v>81.658582105265793</v>
      </c>
      <c r="W74" s="44">
        <f t="shared" si="23"/>
        <v>110</v>
      </c>
      <c r="X74" s="44">
        <f t="shared" si="19"/>
        <v>1.1665511729323685</v>
      </c>
      <c r="Y74" s="166">
        <f t="shared" ref="Y74:Y137" si="24">W74*X74</f>
        <v>128.32062902256055</v>
      </c>
      <c r="AA74" s="131"/>
      <c r="AB74" s="131"/>
      <c r="AC74" s="191"/>
    </row>
    <row r="75" spans="1:29" customFormat="1" ht="15.5" customHeight="1" x14ac:dyDescent="0.25">
      <c r="A75" s="168" t="s">
        <v>125</v>
      </c>
      <c r="B75" s="140" t="s">
        <v>79</v>
      </c>
      <c r="C75" s="113">
        <v>20</v>
      </c>
      <c r="D75" s="141">
        <v>2.2339981369904929</v>
      </c>
      <c r="E75" s="113">
        <f t="shared" si="20"/>
        <v>44.679962739809859</v>
      </c>
      <c r="F75" s="41"/>
      <c r="G75" s="41"/>
      <c r="H75" s="41">
        <f t="shared" si="21"/>
        <v>0</v>
      </c>
      <c r="I75" s="96">
        <f t="shared" si="14"/>
        <v>0</v>
      </c>
      <c r="J75" s="41"/>
      <c r="K75" s="41"/>
      <c r="L75" s="41"/>
      <c r="M75" s="96">
        <f t="shared" si="22"/>
        <v>0</v>
      </c>
      <c r="N75" s="96"/>
      <c r="O75" s="96"/>
      <c r="P75" s="96"/>
      <c r="Q75" s="42">
        <f t="shared" si="15"/>
        <v>20</v>
      </c>
      <c r="R75" s="42">
        <f t="shared" si="16"/>
        <v>2.2339981369904929</v>
      </c>
      <c r="S75" s="42">
        <f t="shared" si="17"/>
        <v>44.679962739809859</v>
      </c>
      <c r="T75" s="93">
        <v>9</v>
      </c>
      <c r="U75" s="41">
        <f t="shared" si="18"/>
        <v>2.2339981369904929</v>
      </c>
      <c r="V75" s="43">
        <f t="shared" ref="V75:V138" si="25">T75*U75</f>
        <v>20.105983232914436</v>
      </c>
      <c r="W75" s="44">
        <f t="shared" si="23"/>
        <v>11</v>
      </c>
      <c r="X75" s="44">
        <f t="shared" si="19"/>
        <v>2.2339981369904929</v>
      </c>
      <c r="Y75" s="166">
        <f t="shared" si="24"/>
        <v>24.573979506895423</v>
      </c>
      <c r="AA75" s="131"/>
      <c r="AB75" s="131"/>
      <c r="AC75" s="191"/>
    </row>
    <row r="76" spans="1:29" customFormat="1" ht="15.65" customHeight="1" x14ac:dyDescent="0.25">
      <c r="A76" s="168" t="s">
        <v>349</v>
      </c>
      <c r="B76" s="140" t="s">
        <v>307</v>
      </c>
      <c r="C76" s="113">
        <v>0</v>
      </c>
      <c r="D76" s="141">
        <v>41.89645776566757</v>
      </c>
      <c r="E76" s="113">
        <f t="shared" si="20"/>
        <v>0</v>
      </c>
      <c r="F76" s="41"/>
      <c r="G76" s="41"/>
      <c r="H76" s="41">
        <f t="shared" si="21"/>
        <v>0</v>
      </c>
      <c r="I76" s="96">
        <f t="shared" si="14"/>
        <v>0</v>
      </c>
      <c r="J76" s="41"/>
      <c r="K76" s="41"/>
      <c r="L76" s="41"/>
      <c r="M76" s="96">
        <f t="shared" si="22"/>
        <v>0</v>
      </c>
      <c r="N76" s="96"/>
      <c r="O76" s="96"/>
      <c r="P76" s="96"/>
      <c r="Q76" s="42">
        <f t="shared" si="15"/>
        <v>0</v>
      </c>
      <c r="R76" s="42" t="str">
        <f t="shared" si="16"/>
        <v>0.00</v>
      </c>
      <c r="S76" s="42">
        <f t="shared" si="17"/>
        <v>0</v>
      </c>
      <c r="T76" s="93">
        <v>0</v>
      </c>
      <c r="U76" s="41" t="str">
        <f t="shared" si="18"/>
        <v>0.00</v>
      </c>
      <c r="V76" s="43">
        <f t="shared" si="25"/>
        <v>0</v>
      </c>
      <c r="W76" s="44">
        <f t="shared" si="23"/>
        <v>0</v>
      </c>
      <c r="X76" s="44" t="str">
        <f t="shared" si="19"/>
        <v>0.00</v>
      </c>
      <c r="Y76" s="166">
        <f t="shared" si="24"/>
        <v>0</v>
      </c>
      <c r="AA76" s="131"/>
      <c r="AB76" s="131"/>
      <c r="AC76" s="191"/>
    </row>
    <row r="77" spans="1:29" customFormat="1" ht="15.5" customHeight="1" x14ac:dyDescent="0.25">
      <c r="A77" s="168" t="s">
        <v>126</v>
      </c>
      <c r="B77" s="140" t="s">
        <v>79</v>
      </c>
      <c r="C77" s="113">
        <v>20</v>
      </c>
      <c r="D77" s="141">
        <v>0.60491376483312609</v>
      </c>
      <c r="E77" s="113">
        <f t="shared" si="20"/>
        <v>12.098275296662521</v>
      </c>
      <c r="F77" s="41"/>
      <c r="G77" s="41"/>
      <c r="H77" s="41">
        <f t="shared" si="21"/>
        <v>0</v>
      </c>
      <c r="I77" s="96">
        <f t="shared" si="14"/>
        <v>0</v>
      </c>
      <c r="J77" s="41"/>
      <c r="K77" s="41"/>
      <c r="L77" s="41"/>
      <c r="M77" s="96">
        <f t="shared" si="22"/>
        <v>0</v>
      </c>
      <c r="N77" s="96"/>
      <c r="O77" s="96"/>
      <c r="P77" s="96"/>
      <c r="Q77" s="42">
        <f t="shared" si="15"/>
        <v>20</v>
      </c>
      <c r="R77" s="42">
        <f t="shared" si="16"/>
        <v>0.60491376483312609</v>
      </c>
      <c r="S77" s="42">
        <f t="shared" si="17"/>
        <v>12.098275296662521</v>
      </c>
      <c r="T77" s="93">
        <v>5</v>
      </c>
      <c r="U77" s="41">
        <f t="shared" si="18"/>
        <v>0.60491376483312609</v>
      </c>
      <c r="V77" s="43">
        <f t="shared" si="25"/>
        <v>3.0245688241656303</v>
      </c>
      <c r="W77" s="44">
        <f t="shared" si="23"/>
        <v>15</v>
      </c>
      <c r="X77" s="44">
        <f t="shared" si="19"/>
        <v>0.60491376483312609</v>
      </c>
      <c r="Y77" s="166">
        <f t="shared" si="24"/>
        <v>9.073706472496891</v>
      </c>
      <c r="AA77" s="131"/>
      <c r="AB77" s="131"/>
      <c r="AC77" s="191"/>
    </row>
    <row r="78" spans="1:29" customFormat="1" ht="15.65" customHeight="1" x14ac:dyDescent="0.25">
      <c r="A78" s="168" t="s">
        <v>385</v>
      </c>
      <c r="B78" s="140" t="s">
        <v>77</v>
      </c>
      <c r="C78" s="113">
        <v>80</v>
      </c>
      <c r="D78" s="141">
        <v>1.8475878889124511</v>
      </c>
      <c r="E78" s="113">
        <f t="shared" si="20"/>
        <v>147.80703111299607</v>
      </c>
      <c r="F78" s="41"/>
      <c r="G78" s="41"/>
      <c r="H78" s="41">
        <f t="shared" si="21"/>
        <v>0</v>
      </c>
      <c r="I78" s="96">
        <f t="shared" si="14"/>
        <v>0</v>
      </c>
      <c r="J78" s="41"/>
      <c r="K78" s="41"/>
      <c r="L78" s="41"/>
      <c r="M78" s="96">
        <f t="shared" si="22"/>
        <v>0</v>
      </c>
      <c r="N78" s="96"/>
      <c r="O78" s="96"/>
      <c r="P78" s="96"/>
      <c r="Q78" s="42">
        <f t="shared" si="15"/>
        <v>80</v>
      </c>
      <c r="R78" s="42">
        <f t="shared" si="16"/>
        <v>1.8475878889124508</v>
      </c>
      <c r="S78" s="42">
        <f t="shared" si="17"/>
        <v>147.80703111299607</v>
      </c>
      <c r="T78" s="93">
        <v>35</v>
      </c>
      <c r="U78" s="41">
        <f t="shared" si="18"/>
        <v>1.8475878889124508</v>
      </c>
      <c r="V78" s="43">
        <f t="shared" si="25"/>
        <v>64.665576111935778</v>
      </c>
      <c r="W78" s="44">
        <f t="shared" si="23"/>
        <v>45</v>
      </c>
      <c r="X78" s="44">
        <f t="shared" si="19"/>
        <v>1.8475878889124508</v>
      </c>
      <c r="Y78" s="166">
        <f t="shared" si="24"/>
        <v>83.141455001060294</v>
      </c>
      <c r="AA78" s="131"/>
      <c r="AB78" s="131"/>
      <c r="AC78" s="191"/>
    </row>
    <row r="79" spans="1:29" customFormat="1" ht="15.65" customHeight="1" x14ac:dyDescent="0.25">
      <c r="A79" s="168" t="s">
        <v>127</v>
      </c>
      <c r="B79" s="140" t="s">
        <v>73</v>
      </c>
      <c r="C79" s="113">
        <v>20</v>
      </c>
      <c r="D79" s="141">
        <v>2.2684772478267297</v>
      </c>
      <c r="E79" s="113">
        <f t="shared" si="20"/>
        <v>45.369544956534597</v>
      </c>
      <c r="F79" s="41"/>
      <c r="G79" s="41"/>
      <c r="H79" s="41">
        <f t="shared" si="21"/>
        <v>0</v>
      </c>
      <c r="I79" s="96">
        <f t="shared" si="14"/>
        <v>0</v>
      </c>
      <c r="J79" s="41"/>
      <c r="K79" s="41"/>
      <c r="L79" s="41"/>
      <c r="M79" s="96">
        <f t="shared" si="22"/>
        <v>0</v>
      </c>
      <c r="N79" s="96"/>
      <c r="O79" s="96"/>
      <c r="P79" s="96"/>
      <c r="Q79" s="42">
        <f t="shared" si="15"/>
        <v>20</v>
      </c>
      <c r="R79" s="42">
        <f t="shared" si="16"/>
        <v>2.2684772478267297</v>
      </c>
      <c r="S79" s="42">
        <f t="shared" si="17"/>
        <v>45.369544956534597</v>
      </c>
      <c r="T79" s="93">
        <v>8</v>
      </c>
      <c r="U79" s="41">
        <f t="shared" si="18"/>
        <v>2.2684772478267297</v>
      </c>
      <c r="V79" s="43">
        <f t="shared" si="25"/>
        <v>18.147817982613837</v>
      </c>
      <c r="W79" s="44">
        <f t="shared" si="23"/>
        <v>12</v>
      </c>
      <c r="X79" s="44">
        <f t="shared" si="19"/>
        <v>2.2684772478267297</v>
      </c>
      <c r="Y79" s="166">
        <f t="shared" si="24"/>
        <v>27.221726973920756</v>
      </c>
      <c r="AA79" s="131"/>
      <c r="AB79" s="131"/>
      <c r="AC79" s="191"/>
    </row>
    <row r="80" spans="1:29" customFormat="1" ht="15.5" customHeight="1" x14ac:dyDescent="0.25">
      <c r="A80" s="168" t="s">
        <v>128</v>
      </c>
      <c r="B80" s="140" t="s">
        <v>77</v>
      </c>
      <c r="C80" s="113">
        <v>10</v>
      </c>
      <c r="D80" s="141">
        <v>9.7601854735270841</v>
      </c>
      <c r="E80" s="113">
        <f t="shared" si="20"/>
        <v>97.601854735270848</v>
      </c>
      <c r="F80" s="41"/>
      <c r="G80" s="41"/>
      <c r="H80" s="41">
        <f t="shared" si="21"/>
        <v>0</v>
      </c>
      <c r="I80" s="96">
        <f t="shared" si="14"/>
        <v>0</v>
      </c>
      <c r="J80" s="41"/>
      <c r="K80" s="41"/>
      <c r="L80" s="41"/>
      <c r="M80" s="96">
        <f t="shared" si="22"/>
        <v>0</v>
      </c>
      <c r="N80" s="96"/>
      <c r="O80" s="96"/>
      <c r="P80" s="96"/>
      <c r="Q80" s="42">
        <f t="shared" si="15"/>
        <v>10</v>
      </c>
      <c r="R80" s="42">
        <f t="shared" si="16"/>
        <v>9.7601854735270841</v>
      </c>
      <c r="S80" s="42">
        <f t="shared" si="17"/>
        <v>97.601854735270848</v>
      </c>
      <c r="T80" s="93">
        <v>5</v>
      </c>
      <c r="U80" s="41">
        <f t="shared" si="18"/>
        <v>9.7601854735270841</v>
      </c>
      <c r="V80" s="43">
        <f t="shared" si="25"/>
        <v>48.800927367635424</v>
      </c>
      <c r="W80" s="44">
        <f t="shared" si="23"/>
        <v>5</v>
      </c>
      <c r="X80" s="44">
        <f t="shared" si="19"/>
        <v>9.7601854735270841</v>
      </c>
      <c r="Y80" s="166">
        <f t="shared" si="24"/>
        <v>48.800927367635424</v>
      </c>
      <c r="AA80" s="131"/>
      <c r="AB80" s="131"/>
      <c r="AC80" s="191"/>
    </row>
    <row r="81" spans="1:29" customFormat="1" ht="15.5" customHeight="1" x14ac:dyDescent="0.25">
      <c r="A81" s="168" t="s">
        <v>129</v>
      </c>
      <c r="B81" s="140" t="s">
        <v>79</v>
      </c>
      <c r="C81" s="113">
        <v>18</v>
      </c>
      <c r="D81" s="141">
        <v>2.4654896933054204</v>
      </c>
      <c r="E81" s="113">
        <f t="shared" si="20"/>
        <v>44.378814479497571</v>
      </c>
      <c r="F81" s="41"/>
      <c r="G81" s="41"/>
      <c r="H81" s="41">
        <f t="shared" si="21"/>
        <v>0</v>
      </c>
      <c r="I81" s="96">
        <f t="shared" si="14"/>
        <v>0</v>
      </c>
      <c r="J81" s="41"/>
      <c r="K81" s="41"/>
      <c r="L81" s="41"/>
      <c r="M81" s="96">
        <f t="shared" si="22"/>
        <v>0</v>
      </c>
      <c r="N81" s="96"/>
      <c r="O81" s="96"/>
      <c r="P81" s="96"/>
      <c r="Q81" s="42">
        <f t="shared" si="15"/>
        <v>18</v>
      </c>
      <c r="R81" s="42">
        <f t="shared" si="16"/>
        <v>2.4654896933054204</v>
      </c>
      <c r="S81" s="42">
        <f t="shared" si="17"/>
        <v>44.378814479497571</v>
      </c>
      <c r="T81" s="93">
        <v>5</v>
      </c>
      <c r="U81" s="41">
        <f t="shared" si="18"/>
        <v>2.4654896933054204</v>
      </c>
      <c r="V81" s="43">
        <f t="shared" si="25"/>
        <v>12.327448466527102</v>
      </c>
      <c r="W81" s="44">
        <f t="shared" si="23"/>
        <v>13</v>
      </c>
      <c r="X81" s="44">
        <f t="shared" si="19"/>
        <v>2.4654896933054204</v>
      </c>
      <c r="Y81" s="166">
        <f t="shared" si="24"/>
        <v>32.051366012970469</v>
      </c>
      <c r="AA81" s="131"/>
      <c r="AB81" s="131"/>
      <c r="AC81" s="191"/>
    </row>
    <row r="82" spans="1:29" customFormat="1" ht="15.5" customHeight="1" x14ac:dyDescent="0.25">
      <c r="A82" s="168" t="s">
        <v>130</v>
      </c>
      <c r="B82" s="140" t="s">
        <v>79</v>
      </c>
      <c r="C82" s="113">
        <v>20</v>
      </c>
      <c r="D82" s="141">
        <v>1.7463162841514162</v>
      </c>
      <c r="E82" s="113">
        <f t="shared" si="20"/>
        <v>34.926325683028324</v>
      </c>
      <c r="F82" s="41"/>
      <c r="G82" s="41"/>
      <c r="H82" s="41">
        <f t="shared" si="21"/>
        <v>0</v>
      </c>
      <c r="I82" s="96">
        <f t="shared" si="14"/>
        <v>0</v>
      </c>
      <c r="J82" s="41"/>
      <c r="K82" s="41"/>
      <c r="L82" s="41"/>
      <c r="M82" s="96">
        <f t="shared" si="22"/>
        <v>0</v>
      </c>
      <c r="N82" s="96"/>
      <c r="O82" s="96"/>
      <c r="P82" s="96"/>
      <c r="Q82" s="42">
        <f t="shared" si="15"/>
        <v>20</v>
      </c>
      <c r="R82" s="42">
        <f t="shared" si="16"/>
        <v>1.7463162841514162</v>
      </c>
      <c r="S82" s="42">
        <f t="shared" si="17"/>
        <v>34.926325683028324</v>
      </c>
      <c r="T82" s="93">
        <v>10</v>
      </c>
      <c r="U82" s="41">
        <f t="shared" si="18"/>
        <v>1.7463162841514162</v>
      </c>
      <c r="V82" s="43">
        <f t="shared" si="25"/>
        <v>17.463162841514162</v>
      </c>
      <c r="W82" s="44">
        <f t="shared" si="23"/>
        <v>10</v>
      </c>
      <c r="X82" s="44">
        <f t="shared" si="19"/>
        <v>1.7463162841514162</v>
      </c>
      <c r="Y82" s="166">
        <f t="shared" si="24"/>
        <v>17.463162841514162</v>
      </c>
      <c r="AA82" s="131"/>
      <c r="AB82" s="131"/>
      <c r="AC82" s="191"/>
    </row>
    <row r="83" spans="1:29" customFormat="1" ht="15.5" customHeight="1" x14ac:dyDescent="0.25">
      <c r="A83" s="168" t="s">
        <v>381</v>
      </c>
      <c r="B83" s="140" t="s">
        <v>79</v>
      </c>
      <c r="C83" s="113">
        <v>18</v>
      </c>
      <c r="D83" s="141">
        <v>1.8807991443822243</v>
      </c>
      <c r="E83" s="113">
        <f t="shared" si="20"/>
        <v>33.854384598880038</v>
      </c>
      <c r="F83" s="41"/>
      <c r="G83" s="41"/>
      <c r="H83" s="41">
        <f t="shared" si="21"/>
        <v>0</v>
      </c>
      <c r="I83" s="96">
        <f t="shared" si="14"/>
        <v>0</v>
      </c>
      <c r="J83" s="41"/>
      <c r="K83" s="41"/>
      <c r="L83" s="41"/>
      <c r="M83" s="96">
        <f t="shared" si="22"/>
        <v>0</v>
      </c>
      <c r="N83" s="96"/>
      <c r="O83" s="96"/>
      <c r="P83" s="96"/>
      <c r="Q83" s="42">
        <f t="shared" si="15"/>
        <v>18</v>
      </c>
      <c r="R83" s="42">
        <f t="shared" si="16"/>
        <v>1.8807991443822243</v>
      </c>
      <c r="S83" s="42">
        <f t="shared" si="17"/>
        <v>33.854384598880038</v>
      </c>
      <c r="T83" s="93">
        <v>8</v>
      </c>
      <c r="U83" s="41">
        <f t="shared" si="18"/>
        <v>1.8807991443822243</v>
      </c>
      <c r="V83" s="43">
        <f t="shared" si="25"/>
        <v>15.046393155057794</v>
      </c>
      <c r="W83" s="44">
        <f t="shared" si="23"/>
        <v>10</v>
      </c>
      <c r="X83" s="44">
        <f t="shared" si="19"/>
        <v>1.8807991443822243</v>
      </c>
      <c r="Y83" s="166">
        <f t="shared" si="24"/>
        <v>18.807991443822242</v>
      </c>
      <c r="AA83" s="131"/>
      <c r="AB83" s="131"/>
      <c r="AC83" s="191"/>
    </row>
    <row r="84" spans="1:29" customFormat="1" ht="15.5" customHeight="1" x14ac:dyDescent="0.25">
      <c r="A84" s="168" t="s">
        <v>131</v>
      </c>
      <c r="B84" s="140" t="s">
        <v>79</v>
      </c>
      <c r="C84" s="113">
        <v>8</v>
      </c>
      <c r="D84" s="141">
        <v>2.0553561475826783</v>
      </c>
      <c r="E84" s="113">
        <f t="shared" si="20"/>
        <v>16.442849180661426</v>
      </c>
      <c r="F84" s="41"/>
      <c r="G84" s="41"/>
      <c r="H84" s="41">
        <f t="shared" si="21"/>
        <v>0</v>
      </c>
      <c r="I84" s="96">
        <f t="shared" si="14"/>
        <v>0</v>
      </c>
      <c r="J84" s="41"/>
      <c r="K84" s="41"/>
      <c r="L84" s="41"/>
      <c r="M84" s="96">
        <f t="shared" si="22"/>
        <v>0</v>
      </c>
      <c r="N84" s="96"/>
      <c r="O84" s="96"/>
      <c r="P84" s="96"/>
      <c r="Q84" s="42">
        <f t="shared" si="15"/>
        <v>8</v>
      </c>
      <c r="R84" s="42">
        <f t="shared" si="16"/>
        <v>2.0553561475826783</v>
      </c>
      <c r="S84" s="42">
        <f t="shared" si="17"/>
        <v>16.442849180661426</v>
      </c>
      <c r="T84" s="93">
        <v>5</v>
      </c>
      <c r="U84" s="41">
        <f t="shared" si="18"/>
        <v>2.0553561475826783</v>
      </c>
      <c r="V84" s="43">
        <f t="shared" si="25"/>
        <v>10.276780737913391</v>
      </c>
      <c r="W84" s="44">
        <f t="shared" si="23"/>
        <v>3</v>
      </c>
      <c r="X84" s="44">
        <f t="shared" si="19"/>
        <v>2.0553561475826783</v>
      </c>
      <c r="Y84" s="166">
        <f t="shared" si="24"/>
        <v>6.1660684427480348</v>
      </c>
      <c r="AA84" s="131"/>
      <c r="AB84" s="131"/>
      <c r="AC84" s="191"/>
    </row>
    <row r="85" spans="1:29" customFormat="1" ht="15.65" customHeight="1" x14ac:dyDescent="0.25">
      <c r="A85" s="168" t="s">
        <v>372</v>
      </c>
      <c r="B85" s="140" t="s">
        <v>79</v>
      </c>
      <c r="C85" s="113">
        <v>15</v>
      </c>
      <c r="D85" s="141">
        <v>1.8978964214570644</v>
      </c>
      <c r="E85" s="113">
        <f t="shared" si="20"/>
        <v>28.468446321855964</v>
      </c>
      <c r="F85" s="41"/>
      <c r="G85" s="41"/>
      <c r="H85" s="41">
        <f t="shared" si="21"/>
        <v>0</v>
      </c>
      <c r="I85" s="96">
        <f t="shared" si="14"/>
        <v>0</v>
      </c>
      <c r="J85" s="41"/>
      <c r="K85" s="41"/>
      <c r="L85" s="41"/>
      <c r="M85" s="96">
        <f t="shared" si="22"/>
        <v>0</v>
      </c>
      <c r="N85" s="96"/>
      <c r="O85" s="96"/>
      <c r="P85" s="96"/>
      <c r="Q85" s="42">
        <f t="shared" si="15"/>
        <v>15</v>
      </c>
      <c r="R85" s="42">
        <f t="shared" si="16"/>
        <v>1.8978964214570644</v>
      </c>
      <c r="S85" s="42">
        <f t="shared" si="17"/>
        <v>28.468446321855964</v>
      </c>
      <c r="T85" s="93">
        <v>6</v>
      </c>
      <c r="U85" s="41">
        <f t="shared" si="18"/>
        <v>1.8978964214570644</v>
      </c>
      <c r="V85" s="43">
        <f t="shared" si="25"/>
        <v>11.387378528742387</v>
      </c>
      <c r="W85" s="44">
        <f t="shared" si="23"/>
        <v>9</v>
      </c>
      <c r="X85" s="44">
        <f t="shared" si="19"/>
        <v>1.8978964214570644</v>
      </c>
      <c r="Y85" s="166">
        <f t="shared" si="24"/>
        <v>17.081067793113579</v>
      </c>
      <c r="AA85" s="131"/>
      <c r="AB85" s="131"/>
      <c r="AC85" s="191"/>
    </row>
    <row r="86" spans="1:29" customFormat="1" ht="15.65" customHeight="1" x14ac:dyDescent="0.25">
      <c r="A86" s="168" t="s">
        <v>132</v>
      </c>
      <c r="B86" s="140" t="s">
        <v>79</v>
      </c>
      <c r="C86" s="113">
        <v>9</v>
      </c>
      <c r="D86" s="141">
        <v>1.8489947872640178</v>
      </c>
      <c r="E86" s="113">
        <f t="shared" si="20"/>
        <v>16.640953085376161</v>
      </c>
      <c r="F86" s="41"/>
      <c r="G86" s="41"/>
      <c r="H86" s="41">
        <f t="shared" si="21"/>
        <v>0</v>
      </c>
      <c r="I86" s="96">
        <f t="shared" si="14"/>
        <v>0</v>
      </c>
      <c r="J86" s="41"/>
      <c r="K86" s="41"/>
      <c r="L86" s="41"/>
      <c r="M86" s="96">
        <f t="shared" si="22"/>
        <v>0</v>
      </c>
      <c r="N86" s="96"/>
      <c r="O86" s="96"/>
      <c r="P86" s="96"/>
      <c r="Q86" s="42">
        <f t="shared" si="15"/>
        <v>9</v>
      </c>
      <c r="R86" s="42">
        <f t="shared" si="16"/>
        <v>1.8489947872640178</v>
      </c>
      <c r="S86" s="42">
        <f t="shared" si="17"/>
        <v>16.640953085376161</v>
      </c>
      <c r="T86" s="93">
        <v>4</v>
      </c>
      <c r="U86" s="41">
        <f t="shared" si="18"/>
        <v>1.8489947872640178</v>
      </c>
      <c r="V86" s="43">
        <f t="shared" si="25"/>
        <v>7.3959791490560711</v>
      </c>
      <c r="W86" s="44">
        <f t="shared" si="23"/>
        <v>5</v>
      </c>
      <c r="X86" s="44">
        <f t="shared" si="19"/>
        <v>1.8489947872640178</v>
      </c>
      <c r="Y86" s="166">
        <f t="shared" si="24"/>
        <v>9.2449739363200898</v>
      </c>
      <c r="AA86" s="131"/>
      <c r="AB86" s="131"/>
      <c r="AC86" s="191"/>
    </row>
    <row r="87" spans="1:29" customFormat="1" ht="15.5" customHeight="1" x14ac:dyDescent="0.25">
      <c r="A87" s="168" t="s">
        <v>133</v>
      </c>
      <c r="B87" s="140" t="s">
        <v>79</v>
      </c>
      <c r="C87" s="113">
        <v>8</v>
      </c>
      <c r="D87" s="141">
        <v>2.5087124619572125</v>
      </c>
      <c r="E87" s="113">
        <f t="shared" si="20"/>
        <v>20.0696996956577</v>
      </c>
      <c r="F87" s="41"/>
      <c r="G87" s="41"/>
      <c r="H87" s="41">
        <f t="shared" si="21"/>
        <v>0</v>
      </c>
      <c r="I87" s="96">
        <f t="shared" si="14"/>
        <v>0</v>
      </c>
      <c r="J87" s="41"/>
      <c r="K87" s="41"/>
      <c r="L87" s="41"/>
      <c r="M87" s="96">
        <f t="shared" si="22"/>
        <v>0</v>
      </c>
      <c r="N87" s="96"/>
      <c r="O87" s="96"/>
      <c r="P87" s="96"/>
      <c r="Q87" s="42">
        <f t="shared" si="15"/>
        <v>8</v>
      </c>
      <c r="R87" s="42">
        <f t="shared" si="16"/>
        <v>2.5087124619572125</v>
      </c>
      <c r="S87" s="42">
        <f t="shared" si="17"/>
        <v>20.0696996956577</v>
      </c>
      <c r="T87" s="93">
        <v>3</v>
      </c>
      <c r="U87" s="41">
        <f t="shared" si="18"/>
        <v>2.5087124619572125</v>
      </c>
      <c r="V87" s="43">
        <f t="shared" si="25"/>
        <v>7.5261373858716372</v>
      </c>
      <c r="W87" s="44">
        <f t="shared" si="23"/>
        <v>5</v>
      </c>
      <c r="X87" s="44">
        <f t="shared" si="19"/>
        <v>2.5087124619572125</v>
      </c>
      <c r="Y87" s="166">
        <f t="shared" si="24"/>
        <v>12.543562309786063</v>
      </c>
      <c r="AA87" s="131"/>
      <c r="AB87" s="131"/>
      <c r="AC87" s="191"/>
    </row>
    <row r="88" spans="1:29" customFormat="1" ht="15.5" customHeight="1" x14ac:dyDescent="0.25">
      <c r="A88" s="168" t="s">
        <v>371</v>
      </c>
      <c r="B88" s="140" t="s">
        <v>79</v>
      </c>
      <c r="C88" s="113">
        <v>40</v>
      </c>
      <c r="D88" s="141">
        <v>2.2644789608786664</v>
      </c>
      <c r="E88" s="113">
        <f t="shared" si="20"/>
        <v>90.579158435146653</v>
      </c>
      <c r="F88" s="41"/>
      <c r="G88" s="41"/>
      <c r="H88" s="41">
        <f t="shared" si="21"/>
        <v>0</v>
      </c>
      <c r="I88" s="96">
        <f t="shared" si="14"/>
        <v>0</v>
      </c>
      <c r="J88" s="41"/>
      <c r="K88" s="41"/>
      <c r="L88" s="41"/>
      <c r="M88" s="96">
        <f t="shared" si="22"/>
        <v>0</v>
      </c>
      <c r="N88" s="96"/>
      <c r="O88" s="96"/>
      <c r="P88" s="96"/>
      <c r="Q88" s="42">
        <f t="shared" si="15"/>
        <v>40</v>
      </c>
      <c r="R88" s="42">
        <f t="shared" si="16"/>
        <v>2.2644789608786664</v>
      </c>
      <c r="S88" s="42">
        <f t="shared" si="17"/>
        <v>90.579158435146653</v>
      </c>
      <c r="T88" s="93">
        <v>20</v>
      </c>
      <c r="U88" s="41">
        <f t="shared" si="18"/>
        <v>2.2644789608786664</v>
      </c>
      <c r="V88" s="43">
        <f t="shared" si="25"/>
        <v>45.289579217573326</v>
      </c>
      <c r="W88" s="44">
        <f t="shared" si="23"/>
        <v>20</v>
      </c>
      <c r="X88" s="44">
        <f t="shared" si="19"/>
        <v>2.2644789608786664</v>
      </c>
      <c r="Y88" s="166">
        <f t="shared" si="24"/>
        <v>45.289579217573326</v>
      </c>
      <c r="AA88" s="131"/>
      <c r="AB88" s="131"/>
      <c r="AC88" s="191"/>
    </row>
    <row r="89" spans="1:29" customFormat="1" ht="15.5" customHeight="1" x14ac:dyDescent="0.25">
      <c r="A89" s="168" t="s">
        <v>134</v>
      </c>
      <c r="B89" s="140" t="s">
        <v>79</v>
      </c>
      <c r="C89" s="113">
        <v>4</v>
      </c>
      <c r="D89" s="141">
        <v>2.1074358974358973</v>
      </c>
      <c r="E89" s="113">
        <f t="shared" si="20"/>
        <v>8.4297435897435893</v>
      </c>
      <c r="F89" s="41"/>
      <c r="G89" s="41"/>
      <c r="H89" s="41">
        <f t="shared" si="21"/>
        <v>0</v>
      </c>
      <c r="I89" s="96">
        <f t="shared" si="14"/>
        <v>0</v>
      </c>
      <c r="J89" s="41"/>
      <c r="K89" s="41"/>
      <c r="L89" s="41"/>
      <c r="M89" s="96">
        <f t="shared" si="22"/>
        <v>0</v>
      </c>
      <c r="N89" s="96"/>
      <c r="O89" s="96"/>
      <c r="P89" s="96"/>
      <c r="Q89" s="42">
        <f t="shared" si="15"/>
        <v>4</v>
      </c>
      <c r="R89" s="42">
        <f t="shared" si="16"/>
        <v>2.1074358974358973</v>
      </c>
      <c r="S89" s="42">
        <f t="shared" si="17"/>
        <v>8.4297435897435893</v>
      </c>
      <c r="T89" s="93">
        <v>2</v>
      </c>
      <c r="U89" s="41">
        <f t="shared" si="18"/>
        <v>2.1074358974358973</v>
      </c>
      <c r="V89" s="43">
        <f t="shared" si="25"/>
        <v>4.2148717948717946</v>
      </c>
      <c r="W89" s="44">
        <f t="shared" si="23"/>
        <v>2</v>
      </c>
      <c r="X89" s="44">
        <f t="shared" si="19"/>
        <v>2.1074358974358973</v>
      </c>
      <c r="Y89" s="166">
        <f t="shared" si="24"/>
        <v>4.2148717948717946</v>
      </c>
      <c r="AA89" s="131"/>
      <c r="AB89" s="131"/>
      <c r="AC89" s="191"/>
    </row>
    <row r="90" spans="1:29" customFormat="1" ht="15.5" customHeight="1" x14ac:dyDescent="0.25">
      <c r="A90" s="168" t="s">
        <v>81</v>
      </c>
      <c r="B90" s="140" t="s">
        <v>79</v>
      </c>
      <c r="C90" s="113">
        <v>10</v>
      </c>
      <c r="D90" s="141">
        <v>2.4534007001142255</v>
      </c>
      <c r="E90" s="113">
        <f t="shared" si="20"/>
        <v>24.534007001142257</v>
      </c>
      <c r="F90" s="41"/>
      <c r="G90" s="41"/>
      <c r="H90" s="41">
        <f t="shared" si="21"/>
        <v>0</v>
      </c>
      <c r="I90" s="96">
        <f t="shared" si="14"/>
        <v>0</v>
      </c>
      <c r="J90" s="41"/>
      <c r="K90" s="41"/>
      <c r="L90" s="41"/>
      <c r="M90" s="96">
        <f t="shared" si="22"/>
        <v>0</v>
      </c>
      <c r="N90" s="96"/>
      <c r="O90" s="96"/>
      <c r="P90" s="96"/>
      <c r="Q90" s="42">
        <f t="shared" si="15"/>
        <v>10</v>
      </c>
      <c r="R90" s="42">
        <f t="shared" si="16"/>
        <v>2.4534007001142255</v>
      </c>
      <c r="S90" s="42">
        <f t="shared" si="17"/>
        <v>24.534007001142257</v>
      </c>
      <c r="T90" s="93">
        <v>5</v>
      </c>
      <c r="U90" s="41">
        <f t="shared" si="18"/>
        <v>2.4534007001142255</v>
      </c>
      <c r="V90" s="43">
        <f t="shared" si="25"/>
        <v>12.267003500571128</v>
      </c>
      <c r="W90" s="44">
        <f t="shared" si="23"/>
        <v>5</v>
      </c>
      <c r="X90" s="44">
        <f t="shared" si="19"/>
        <v>2.4534007001142255</v>
      </c>
      <c r="Y90" s="166">
        <f t="shared" si="24"/>
        <v>12.267003500571128</v>
      </c>
      <c r="AA90" s="131"/>
      <c r="AB90" s="131"/>
      <c r="AC90" s="191"/>
    </row>
    <row r="91" spans="1:29" customFormat="1" ht="15.5" customHeight="1" x14ac:dyDescent="0.25">
      <c r="A91" s="168" t="s">
        <v>135</v>
      </c>
      <c r="B91" s="140" t="s">
        <v>70</v>
      </c>
      <c r="C91" s="113">
        <v>15</v>
      </c>
      <c r="D91" s="141">
        <v>1.9426457543415456</v>
      </c>
      <c r="E91" s="113">
        <f t="shared" si="20"/>
        <v>29.139686315123186</v>
      </c>
      <c r="F91" s="41"/>
      <c r="G91" s="41"/>
      <c r="H91" s="41">
        <f t="shared" si="21"/>
        <v>0</v>
      </c>
      <c r="I91" s="96">
        <f t="shared" si="14"/>
        <v>0</v>
      </c>
      <c r="J91" s="41"/>
      <c r="K91" s="41"/>
      <c r="L91" s="41"/>
      <c r="M91" s="96">
        <f t="shared" si="22"/>
        <v>0</v>
      </c>
      <c r="N91" s="96"/>
      <c r="O91" s="96"/>
      <c r="P91" s="96"/>
      <c r="Q91" s="42">
        <f t="shared" si="15"/>
        <v>15</v>
      </c>
      <c r="R91" s="42">
        <f t="shared" si="16"/>
        <v>1.9426457543415456</v>
      </c>
      <c r="S91" s="42">
        <f t="shared" si="17"/>
        <v>29.139686315123186</v>
      </c>
      <c r="T91" s="93">
        <v>7</v>
      </c>
      <c r="U91" s="41">
        <f t="shared" si="18"/>
        <v>1.9426457543415456</v>
      </c>
      <c r="V91" s="43">
        <f t="shared" si="25"/>
        <v>13.598520280390819</v>
      </c>
      <c r="W91" s="44">
        <f t="shared" si="23"/>
        <v>8</v>
      </c>
      <c r="X91" s="44">
        <f t="shared" si="19"/>
        <v>1.9426457543415456</v>
      </c>
      <c r="Y91" s="166">
        <f t="shared" si="24"/>
        <v>15.541166034732365</v>
      </c>
      <c r="AA91" s="131"/>
      <c r="AB91" s="131"/>
      <c r="AC91" s="191"/>
    </row>
    <row r="92" spans="1:29" customFormat="1" ht="15.5" customHeight="1" x14ac:dyDescent="0.25">
      <c r="A92" s="168" t="s">
        <v>136</v>
      </c>
      <c r="B92" s="140" t="s">
        <v>70</v>
      </c>
      <c r="C92" s="113">
        <v>12</v>
      </c>
      <c r="D92" s="141">
        <v>0.6796279910816535</v>
      </c>
      <c r="E92" s="113">
        <f t="shared" si="20"/>
        <v>8.1555358929798416</v>
      </c>
      <c r="F92" s="41"/>
      <c r="G92" s="41"/>
      <c r="H92" s="41">
        <f t="shared" si="21"/>
        <v>0</v>
      </c>
      <c r="I92" s="96">
        <f t="shared" si="14"/>
        <v>0</v>
      </c>
      <c r="J92" s="41"/>
      <c r="K92" s="41"/>
      <c r="L92" s="41"/>
      <c r="M92" s="96">
        <f t="shared" si="22"/>
        <v>0</v>
      </c>
      <c r="N92" s="96"/>
      <c r="O92" s="96"/>
      <c r="P92" s="96"/>
      <c r="Q92" s="42">
        <f t="shared" si="15"/>
        <v>12</v>
      </c>
      <c r="R92" s="42">
        <f t="shared" si="16"/>
        <v>0.6796279910816535</v>
      </c>
      <c r="S92" s="42">
        <f t="shared" si="17"/>
        <v>8.1555358929798416</v>
      </c>
      <c r="T92" s="93">
        <v>6</v>
      </c>
      <c r="U92" s="41">
        <f t="shared" si="18"/>
        <v>0.6796279910816535</v>
      </c>
      <c r="V92" s="43">
        <f t="shared" si="25"/>
        <v>4.0777679464899208</v>
      </c>
      <c r="W92" s="44">
        <f t="shared" si="23"/>
        <v>6</v>
      </c>
      <c r="X92" s="44">
        <f t="shared" si="19"/>
        <v>0.6796279910816535</v>
      </c>
      <c r="Y92" s="166">
        <f t="shared" si="24"/>
        <v>4.0777679464899208</v>
      </c>
      <c r="AA92" s="131"/>
      <c r="AB92" s="131"/>
      <c r="AC92" s="191"/>
    </row>
    <row r="93" spans="1:29" customFormat="1" ht="15.5" customHeight="1" x14ac:dyDescent="0.25">
      <c r="A93" s="175" t="s">
        <v>185</v>
      </c>
      <c r="B93" s="142" t="s">
        <v>70</v>
      </c>
      <c r="C93" s="113">
        <v>150</v>
      </c>
      <c r="D93" s="141">
        <v>0.80769230769230771</v>
      </c>
      <c r="E93" s="113">
        <f t="shared" si="20"/>
        <v>121.15384615384616</v>
      </c>
      <c r="F93" s="41"/>
      <c r="G93" s="41"/>
      <c r="H93" s="41">
        <f t="shared" si="21"/>
        <v>0</v>
      </c>
      <c r="I93" s="96">
        <f t="shared" si="14"/>
        <v>0</v>
      </c>
      <c r="J93" s="41"/>
      <c r="K93" s="41"/>
      <c r="L93" s="41"/>
      <c r="M93" s="96">
        <f t="shared" si="22"/>
        <v>0</v>
      </c>
      <c r="N93" s="101"/>
      <c r="O93" s="101"/>
      <c r="P93" s="101"/>
      <c r="Q93" s="42">
        <f t="shared" si="15"/>
        <v>150</v>
      </c>
      <c r="R93" s="42">
        <f t="shared" si="16"/>
        <v>0.80769230769230771</v>
      </c>
      <c r="S93" s="42">
        <f t="shared" si="17"/>
        <v>121.15384615384616</v>
      </c>
      <c r="T93" s="93">
        <v>60</v>
      </c>
      <c r="U93" s="41">
        <f t="shared" si="18"/>
        <v>0.80769230769230771</v>
      </c>
      <c r="V93" s="43">
        <f t="shared" si="25"/>
        <v>48.46153846153846</v>
      </c>
      <c r="W93" s="44">
        <f t="shared" si="23"/>
        <v>90</v>
      </c>
      <c r="X93" s="44">
        <f t="shared" si="19"/>
        <v>0.80769230769230771</v>
      </c>
      <c r="Y93" s="166">
        <f t="shared" si="24"/>
        <v>72.692307692307693</v>
      </c>
      <c r="AA93" s="131"/>
      <c r="AB93" s="131"/>
      <c r="AC93" s="191"/>
    </row>
    <row r="94" spans="1:29" customFormat="1" ht="15.65" customHeight="1" x14ac:dyDescent="0.25">
      <c r="A94" s="175" t="s">
        <v>186</v>
      </c>
      <c r="B94" s="142" t="s">
        <v>70</v>
      </c>
      <c r="C94" s="113">
        <v>200</v>
      </c>
      <c r="D94" s="141">
        <v>0.43198607390644372</v>
      </c>
      <c r="E94" s="113">
        <f t="shared" si="20"/>
        <v>86.397214781288739</v>
      </c>
      <c r="F94" s="41"/>
      <c r="G94" s="41"/>
      <c r="H94" s="41">
        <f t="shared" si="21"/>
        <v>0</v>
      </c>
      <c r="I94" s="96">
        <f t="shared" si="14"/>
        <v>0</v>
      </c>
      <c r="J94" s="41"/>
      <c r="K94" s="41"/>
      <c r="L94" s="41"/>
      <c r="M94" s="96">
        <f t="shared" si="22"/>
        <v>0</v>
      </c>
      <c r="N94" s="96"/>
      <c r="O94" s="96"/>
      <c r="P94" s="96"/>
      <c r="Q94" s="42">
        <f t="shared" si="15"/>
        <v>200</v>
      </c>
      <c r="R94" s="42">
        <f t="shared" si="16"/>
        <v>0.43198607390644367</v>
      </c>
      <c r="S94" s="42">
        <f t="shared" si="17"/>
        <v>86.397214781288739</v>
      </c>
      <c r="T94" s="93">
        <v>80</v>
      </c>
      <c r="U94" s="41">
        <f t="shared" si="18"/>
        <v>0.43198607390644367</v>
      </c>
      <c r="V94" s="43">
        <f t="shared" si="25"/>
        <v>34.558885912515493</v>
      </c>
      <c r="W94" s="44">
        <f t="shared" si="23"/>
        <v>120</v>
      </c>
      <c r="X94" s="44">
        <f t="shared" si="19"/>
        <v>0.43198607390644367</v>
      </c>
      <c r="Y94" s="166">
        <f t="shared" si="24"/>
        <v>51.838328868773239</v>
      </c>
      <c r="AA94" s="131"/>
      <c r="AB94" s="131"/>
      <c r="AC94" s="191"/>
    </row>
    <row r="95" spans="1:29" customFormat="1" ht="15.5" customHeight="1" x14ac:dyDescent="0.25">
      <c r="A95" s="168" t="s">
        <v>137</v>
      </c>
      <c r="B95" s="140" t="s">
        <v>70</v>
      </c>
      <c r="C95" s="113">
        <v>60</v>
      </c>
      <c r="D95" s="141">
        <v>1.17038</v>
      </c>
      <c r="E95" s="113">
        <f t="shared" si="20"/>
        <v>70.222799999999992</v>
      </c>
      <c r="F95" s="41"/>
      <c r="G95" s="41"/>
      <c r="H95" s="41">
        <f t="shared" si="21"/>
        <v>0</v>
      </c>
      <c r="I95" s="96">
        <f t="shared" si="14"/>
        <v>0</v>
      </c>
      <c r="J95" s="41"/>
      <c r="K95" s="41"/>
      <c r="L95" s="41"/>
      <c r="M95" s="96">
        <f t="shared" si="22"/>
        <v>0</v>
      </c>
      <c r="N95" s="96"/>
      <c r="O95" s="96"/>
      <c r="P95" s="96"/>
      <c r="Q95" s="42">
        <f t="shared" si="15"/>
        <v>60</v>
      </c>
      <c r="R95" s="42">
        <f t="shared" si="16"/>
        <v>1.17038</v>
      </c>
      <c r="S95" s="42">
        <f t="shared" si="17"/>
        <v>70.222799999999992</v>
      </c>
      <c r="T95" s="93">
        <v>40</v>
      </c>
      <c r="U95" s="41">
        <f t="shared" si="18"/>
        <v>1.17038</v>
      </c>
      <c r="V95" s="43">
        <f t="shared" si="25"/>
        <v>46.815199999999997</v>
      </c>
      <c r="W95" s="44">
        <f t="shared" si="23"/>
        <v>20</v>
      </c>
      <c r="X95" s="44">
        <f t="shared" si="19"/>
        <v>1.17038</v>
      </c>
      <c r="Y95" s="166">
        <f t="shared" si="24"/>
        <v>23.407599999999999</v>
      </c>
      <c r="AA95" s="131"/>
      <c r="AB95" s="131"/>
      <c r="AC95" s="191"/>
    </row>
    <row r="96" spans="1:29" customFormat="1" ht="15.5" customHeight="1" x14ac:dyDescent="0.25">
      <c r="A96" s="168" t="s">
        <v>138</v>
      </c>
      <c r="B96" s="140" t="s">
        <v>70</v>
      </c>
      <c r="C96" s="113"/>
      <c r="D96" s="141" t="s">
        <v>248</v>
      </c>
      <c r="E96" s="113">
        <f t="shared" si="20"/>
        <v>0</v>
      </c>
      <c r="F96" s="41"/>
      <c r="G96" s="41"/>
      <c r="H96" s="41">
        <f t="shared" si="21"/>
        <v>0</v>
      </c>
      <c r="I96" s="96">
        <f t="shared" si="14"/>
        <v>0</v>
      </c>
      <c r="J96" s="41"/>
      <c r="K96" s="41"/>
      <c r="L96" s="41"/>
      <c r="M96" s="96">
        <f t="shared" si="22"/>
        <v>0</v>
      </c>
      <c r="N96" s="96"/>
      <c r="O96" s="96"/>
      <c r="P96" s="96"/>
      <c r="Q96" s="42">
        <f t="shared" si="15"/>
        <v>0</v>
      </c>
      <c r="R96" s="42" t="str">
        <f t="shared" si="16"/>
        <v>0.00</v>
      </c>
      <c r="S96" s="42">
        <f t="shared" si="17"/>
        <v>0</v>
      </c>
      <c r="T96" s="93"/>
      <c r="U96" s="41" t="str">
        <f t="shared" si="18"/>
        <v>0.00</v>
      </c>
      <c r="V96" s="43">
        <f t="shared" si="25"/>
        <v>0</v>
      </c>
      <c r="W96" s="44">
        <f t="shared" si="23"/>
        <v>0</v>
      </c>
      <c r="X96" s="44" t="str">
        <f t="shared" si="19"/>
        <v>0.00</v>
      </c>
      <c r="Y96" s="166">
        <f t="shared" si="24"/>
        <v>0</v>
      </c>
      <c r="AA96" s="131"/>
      <c r="AB96" s="131"/>
      <c r="AC96" s="191"/>
    </row>
    <row r="97" spans="1:29" customFormat="1" ht="15.5" customHeight="1" x14ac:dyDescent="0.25">
      <c r="A97" s="168" t="s">
        <v>139</v>
      </c>
      <c r="B97" s="140" t="s">
        <v>70</v>
      </c>
      <c r="C97" s="113">
        <v>20</v>
      </c>
      <c r="D97" s="141">
        <v>1.7768999999999999</v>
      </c>
      <c r="E97" s="113">
        <f t="shared" si="20"/>
        <v>35.537999999999997</v>
      </c>
      <c r="F97" s="41"/>
      <c r="G97" s="41"/>
      <c r="H97" s="41">
        <f t="shared" si="21"/>
        <v>0</v>
      </c>
      <c r="I97" s="96">
        <f t="shared" si="14"/>
        <v>0</v>
      </c>
      <c r="J97" s="41"/>
      <c r="K97" s="41"/>
      <c r="L97" s="41"/>
      <c r="M97" s="96">
        <f t="shared" si="22"/>
        <v>0</v>
      </c>
      <c r="N97" s="96"/>
      <c r="O97" s="96"/>
      <c r="P97" s="96"/>
      <c r="Q97" s="42">
        <f t="shared" si="15"/>
        <v>20</v>
      </c>
      <c r="R97" s="42">
        <f t="shared" si="16"/>
        <v>1.7768999999999999</v>
      </c>
      <c r="S97" s="42">
        <f t="shared" si="17"/>
        <v>35.537999999999997</v>
      </c>
      <c r="T97" s="93">
        <v>0</v>
      </c>
      <c r="U97" s="41">
        <f t="shared" si="18"/>
        <v>1.7768999999999999</v>
      </c>
      <c r="V97" s="43">
        <f t="shared" si="25"/>
        <v>0</v>
      </c>
      <c r="W97" s="44">
        <f t="shared" si="23"/>
        <v>20</v>
      </c>
      <c r="X97" s="44">
        <f t="shared" si="19"/>
        <v>1.7768999999999999</v>
      </c>
      <c r="Y97" s="166">
        <f t="shared" si="24"/>
        <v>35.537999999999997</v>
      </c>
      <c r="AA97" s="131"/>
      <c r="AB97" s="131"/>
      <c r="AC97" s="191"/>
    </row>
    <row r="98" spans="1:29" customFormat="1" ht="15.5" customHeight="1" x14ac:dyDescent="0.25">
      <c r="A98" s="168" t="s">
        <v>376</v>
      </c>
      <c r="B98" s="140" t="s">
        <v>70</v>
      </c>
      <c r="C98" s="113">
        <v>6</v>
      </c>
      <c r="D98" s="141">
        <v>1.5</v>
      </c>
      <c r="E98" s="113">
        <f t="shared" si="20"/>
        <v>9</v>
      </c>
      <c r="F98" s="41"/>
      <c r="G98" s="41"/>
      <c r="H98" s="41">
        <f t="shared" si="21"/>
        <v>0</v>
      </c>
      <c r="I98" s="96">
        <f t="shared" si="14"/>
        <v>0</v>
      </c>
      <c r="J98" s="41"/>
      <c r="K98" s="41"/>
      <c r="L98" s="41"/>
      <c r="M98" s="96">
        <f t="shared" si="22"/>
        <v>0</v>
      </c>
      <c r="N98" s="96"/>
      <c r="O98" s="96"/>
      <c r="P98" s="96"/>
      <c r="Q98" s="42">
        <f t="shared" si="15"/>
        <v>6</v>
      </c>
      <c r="R98" s="42">
        <f t="shared" si="16"/>
        <v>1.5</v>
      </c>
      <c r="S98" s="42">
        <f t="shared" si="17"/>
        <v>9</v>
      </c>
      <c r="T98" s="93">
        <v>2</v>
      </c>
      <c r="U98" s="41">
        <f t="shared" si="18"/>
        <v>1.5</v>
      </c>
      <c r="V98" s="43">
        <f t="shared" si="25"/>
        <v>3</v>
      </c>
      <c r="W98" s="44">
        <f t="shared" si="23"/>
        <v>4</v>
      </c>
      <c r="X98" s="44">
        <f t="shared" si="19"/>
        <v>1.5</v>
      </c>
      <c r="Y98" s="166">
        <f t="shared" si="24"/>
        <v>6</v>
      </c>
      <c r="AA98" s="131"/>
      <c r="AB98" s="131"/>
      <c r="AC98" s="191"/>
    </row>
    <row r="99" spans="1:29" customFormat="1" ht="15.5" customHeight="1" x14ac:dyDescent="0.25">
      <c r="A99" s="168" t="s">
        <v>281</v>
      </c>
      <c r="B99" s="140" t="s">
        <v>82</v>
      </c>
      <c r="C99" s="113">
        <v>96</v>
      </c>
      <c r="D99" s="141">
        <v>1.4615384615384615</v>
      </c>
      <c r="E99" s="113">
        <f t="shared" si="20"/>
        <v>140.30769230769229</v>
      </c>
      <c r="F99" s="41"/>
      <c r="G99" s="41"/>
      <c r="H99" s="41">
        <f t="shared" si="21"/>
        <v>0</v>
      </c>
      <c r="I99" s="96">
        <f t="shared" si="14"/>
        <v>0</v>
      </c>
      <c r="J99" s="41"/>
      <c r="K99" s="41"/>
      <c r="L99" s="41"/>
      <c r="M99" s="96">
        <f t="shared" si="22"/>
        <v>0</v>
      </c>
      <c r="N99" s="96"/>
      <c r="O99" s="96"/>
      <c r="P99" s="96"/>
      <c r="Q99" s="42">
        <f t="shared" si="15"/>
        <v>96</v>
      </c>
      <c r="R99" s="42">
        <f t="shared" si="16"/>
        <v>1.4615384615384615</v>
      </c>
      <c r="S99" s="42">
        <f t="shared" si="17"/>
        <v>140.30769230769229</v>
      </c>
      <c r="T99" s="93">
        <v>30</v>
      </c>
      <c r="U99" s="41">
        <f t="shared" si="18"/>
        <v>1.4615384615384615</v>
      </c>
      <c r="V99" s="43">
        <f t="shared" si="25"/>
        <v>43.846153846153847</v>
      </c>
      <c r="W99" s="44">
        <f t="shared" si="23"/>
        <v>66</v>
      </c>
      <c r="X99" s="44">
        <f t="shared" si="19"/>
        <v>1.4615384615384615</v>
      </c>
      <c r="Y99" s="166">
        <f t="shared" si="24"/>
        <v>96.461538461538453</v>
      </c>
      <c r="AA99" s="131"/>
      <c r="AB99" s="131"/>
      <c r="AC99" s="191"/>
    </row>
    <row r="100" spans="1:29" customFormat="1" ht="15.65" customHeight="1" x14ac:dyDescent="0.25">
      <c r="A100" s="168" t="s">
        <v>316</v>
      </c>
      <c r="B100" s="140" t="s">
        <v>72</v>
      </c>
      <c r="C100" s="113">
        <v>0</v>
      </c>
      <c r="D100" s="141" t="s">
        <v>248</v>
      </c>
      <c r="E100" s="113">
        <f t="shared" si="20"/>
        <v>0</v>
      </c>
      <c r="F100" s="41"/>
      <c r="G100" s="41"/>
      <c r="H100" s="41">
        <f t="shared" si="21"/>
        <v>0</v>
      </c>
      <c r="I100" s="96">
        <f t="shared" si="14"/>
        <v>0</v>
      </c>
      <c r="J100" s="41"/>
      <c r="K100" s="41"/>
      <c r="L100" s="41"/>
      <c r="M100" s="96">
        <f t="shared" si="22"/>
        <v>0</v>
      </c>
      <c r="N100" s="96"/>
      <c r="O100" s="96"/>
      <c r="P100" s="96"/>
      <c r="Q100" s="42">
        <f t="shared" si="15"/>
        <v>0</v>
      </c>
      <c r="R100" s="42" t="str">
        <f t="shared" si="16"/>
        <v>0.00</v>
      </c>
      <c r="S100" s="42">
        <f t="shared" si="17"/>
        <v>0</v>
      </c>
      <c r="T100" s="93">
        <v>0</v>
      </c>
      <c r="U100" s="41" t="str">
        <f t="shared" si="18"/>
        <v>0.00</v>
      </c>
      <c r="V100" s="43">
        <f t="shared" si="25"/>
        <v>0</v>
      </c>
      <c r="W100" s="44">
        <f t="shared" si="23"/>
        <v>0</v>
      </c>
      <c r="X100" s="44" t="str">
        <f t="shared" si="19"/>
        <v>0.00</v>
      </c>
      <c r="Y100" s="166">
        <f t="shared" si="24"/>
        <v>0</v>
      </c>
      <c r="AA100" s="131"/>
      <c r="AB100" s="131"/>
      <c r="AC100" s="191"/>
    </row>
    <row r="101" spans="1:29" customFormat="1" ht="15.5" customHeight="1" x14ac:dyDescent="0.25">
      <c r="A101" s="168" t="s">
        <v>378</v>
      </c>
      <c r="B101" s="140" t="s">
        <v>79</v>
      </c>
      <c r="C101" s="113">
        <v>8</v>
      </c>
      <c r="D101" s="141">
        <v>4.6923076923076916</v>
      </c>
      <c r="E101" s="113">
        <f t="shared" si="20"/>
        <v>37.538461538461533</v>
      </c>
      <c r="F101" s="41"/>
      <c r="G101" s="41"/>
      <c r="H101" s="41">
        <f t="shared" si="21"/>
        <v>0</v>
      </c>
      <c r="I101" s="96">
        <f t="shared" si="14"/>
        <v>0</v>
      </c>
      <c r="J101" s="41"/>
      <c r="K101" s="41"/>
      <c r="L101" s="41"/>
      <c r="M101" s="96">
        <f t="shared" si="22"/>
        <v>0</v>
      </c>
      <c r="N101" s="96"/>
      <c r="O101" s="96"/>
      <c r="P101" s="96"/>
      <c r="Q101" s="42">
        <f t="shared" si="15"/>
        <v>8</v>
      </c>
      <c r="R101" s="42">
        <f t="shared" si="16"/>
        <v>4.6923076923076916</v>
      </c>
      <c r="S101" s="42">
        <f t="shared" si="17"/>
        <v>37.538461538461533</v>
      </c>
      <c r="T101" s="93">
        <v>3</v>
      </c>
      <c r="U101" s="41">
        <f t="shared" si="18"/>
        <v>4.6923076923076916</v>
      </c>
      <c r="V101" s="43">
        <f t="shared" si="25"/>
        <v>14.076923076923075</v>
      </c>
      <c r="W101" s="44">
        <f t="shared" si="23"/>
        <v>5</v>
      </c>
      <c r="X101" s="44">
        <f t="shared" si="19"/>
        <v>4.6923076923076916</v>
      </c>
      <c r="Y101" s="166">
        <f t="shared" si="24"/>
        <v>23.46153846153846</v>
      </c>
      <c r="AA101" s="131"/>
      <c r="AB101" s="131"/>
      <c r="AC101" s="191"/>
    </row>
    <row r="102" spans="1:29" customFormat="1" ht="15.5" customHeight="1" x14ac:dyDescent="0.25">
      <c r="A102" s="175" t="s">
        <v>187</v>
      </c>
      <c r="B102" s="142" t="s">
        <v>70</v>
      </c>
      <c r="C102" s="113">
        <v>2</v>
      </c>
      <c r="D102" s="141">
        <v>2.7692307692307687</v>
      </c>
      <c r="E102" s="113">
        <f t="shared" si="20"/>
        <v>5.5384615384615374</v>
      </c>
      <c r="F102" s="41"/>
      <c r="G102" s="41"/>
      <c r="H102" s="41">
        <f t="shared" si="21"/>
        <v>0</v>
      </c>
      <c r="I102" s="96">
        <f t="shared" si="14"/>
        <v>0</v>
      </c>
      <c r="J102" s="41"/>
      <c r="K102" s="41"/>
      <c r="L102" s="41"/>
      <c r="M102" s="96">
        <f t="shared" si="22"/>
        <v>0</v>
      </c>
      <c r="N102" s="96"/>
      <c r="O102" s="96"/>
      <c r="P102" s="96"/>
      <c r="Q102" s="42">
        <f t="shared" si="15"/>
        <v>2</v>
      </c>
      <c r="R102" s="42">
        <f t="shared" si="16"/>
        <v>2.7692307692307687</v>
      </c>
      <c r="S102" s="42">
        <f t="shared" si="17"/>
        <v>5.5384615384615374</v>
      </c>
      <c r="T102" s="93">
        <v>2</v>
      </c>
      <c r="U102" s="41">
        <f t="shared" si="18"/>
        <v>2.7692307692307687</v>
      </c>
      <c r="V102" s="43">
        <f t="shared" si="25"/>
        <v>5.5384615384615374</v>
      </c>
      <c r="W102" s="44">
        <f t="shared" si="23"/>
        <v>0</v>
      </c>
      <c r="X102" s="44">
        <f t="shared" si="19"/>
        <v>2.7692307692307687</v>
      </c>
      <c r="Y102" s="166">
        <f t="shared" si="24"/>
        <v>0</v>
      </c>
      <c r="AA102" s="131"/>
      <c r="AB102" s="131"/>
      <c r="AC102" s="191"/>
    </row>
    <row r="103" spans="1:29" customFormat="1" ht="15.5" customHeight="1" x14ac:dyDescent="0.25">
      <c r="A103" s="168" t="s">
        <v>140</v>
      </c>
      <c r="B103" s="140" t="s">
        <v>73</v>
      </c>
      <c r="C103" s="113">
        <v>40</v>
      </c>
      <c r="D103" s="141">
        <v>1.1922760787324362</v>
      </c>
      <c r="E103" s="113">
        <f t="shared" si="20"/>
        <v>47.69104314929745</v>
      </c>
      <c r="F103" s="41"/>
      <c r="G103" s="41"/>
      <c r="H103" s="41">
        <f t="shared" si="21"/>
        <v>0</v>
      </c>
      <c r="I103" s="96">
        <f t="shared" si="14"/>
        <v>0</v>
      </c>
      <c r="J103" s="41"/>
      <c r="K103" s="41"/>
      <c r="L103" s="41"/>
      <c r="M103" s="96">
        <f t="shared" si="22"/>
        <v>0</v>
      </c>
      <c r="N103" s="96"/>
      <c r="O103" s="96"/>
      <c r="P103" s="96"/>
      <c r="Q103" s="42">
        <f t="shared" si="15"/>
        <v>40</v>
      </c>
      <c r="R103" s="42">
        <f t="shared" si="16"/>
        <v>1.1922760787324362</v>
      </c>
      <c r="S103" s="42">
        <f t="shared" si="17"/>
        <v>47.69104314929745</v>
      </c>
      <c r="T103" s="93">
        <v>15</v>
      </c>
      <c r="U103" s="41">
        <f t="shared" si="18"/>
        <v>1.1922760787324362</v>
      </c>
      <c r="V103" s="43">
        <f t="shared" si="25"/>
        <v>17.884141180986543</v>
      </c>
      <c r="W103" s="44">
        <f t="shared" si="23"/>
        <v>25</v>
      </c>
      <c r="X103" s="44">
        <f t="shared" si="19"/>
        <v>1.1922760787324362</v>
      </c>
      <c r="Y103" s="166">
        <f t="shared" si="24"/>
        <v>29.806901968310907</v>
      </c>
      <c r="AA103" s="131"/>
      <c r="AB103" s="131"/>
      <c r="AC103" s="191"/>
    </row>
    <row r="104" spans="1:29" customFormat="1" ht="15.5" customHeight="1" x14ac:dyDescent="0.25">
      <c r="A104" s="168" t="s">
        <v>350</v>
      </c>
      <c r="B104" s="140" t="s">
        <v>73</v>
      </c>
      <c r="C104" s="113">
        <v>0</v>
      </c>
      <c r="D104" s="141" t="s">
        <v>248</v>
      </c>
      <c r="E104" s="113">
        <f t="shared" si="20"/>
        <v>0</v>
      </c>
      <c r="F104" s="41"/>
      <c r="G104" s="41"/>
      <c r="H104" s="41">
        <f t="shared" si="21"/>
        <v>0</v>
      </c>
      <c r="I104" s="96">
        <f t="shared" si="14"/>
        <v>0</v>
      </c>
      <c r="J104" s="41"/>
      <c r="K104" s="41"/>
      <c r="L104" s="41"/>
      <c r="M104" s="96">
        <f t="shared" si="22"/>
        <v>0</v>
      </c>
      <c r="N104" s="96"/>
      <c r="O104" s="96"/>
      <c r="P104" s="96"/>
      <c r="Q104" s="42">
        <f t="shared" si="15"/>
        <v>0</v>
      </c>
      <c r="R104" s="42" t="str">
        <f t="shared" si="16"/>
        <v>0.00</v>
      </c>
      <c r="S104" s="42">
        <f t="shared" si="17"/>
        <v>0</v>
      </c>
      <c r="T104" s="93">
        <v>0</v>
      </c>
      <c r="U104" s="41" t="str">
        <f t="shared" si="18"/>
        <v>0.00</v>
      </c>
      <c r="V104" s="43">
        <f t="shared" si="25"/>
        <v>0</v>
      </c>
      <c r="W104" s="44">
        <f t="shared" si="23"/>
        <v>0</v>
      </c>
      <c r="X104" s="44" t="str">
        <f t="shared" si="19"/>
        <v>0.00</v>
      </c>
      <c r="Y104" s="166">
        <f t="shared" si="24"/>
        <v>0</v>
      </c>
      <c r="AA104" s="131"/>
      <c r="AB104" s="131"/>
      <c r="AC104" s="191"/>
    </row>
    <row r="105" spans="1:29" customFormat="1" ht="15.65" customHeight="1" x14ac:dyDescent="0.25">
      <c r="A105" s="168" t="s">
        <v>141</v>
      </c>
      <c r="B105" s="140" t="s">
        <v>73</v>
      </c>
      <c r="C105" s="113">
        <v>30</v>
      </c>
      <c r="D105" s="141">
        <v>1.3295887460875189</v>
      </c>
      <c r="E105" s="113">
        <f t="shared" si="20"/>
        <v>39.887662382625564</v>
      </c>
      <c r="F105" s="41"/>
      <c r="G105" s="41"/>
      <c r="H105" s="41">
        <f t="shared" si="21"/>
        <v>0</v>
      </c>
      <c r="I105" s="96">
        <f t="shared" si="14"/>
        <v>0</v>
      </c>
      <c r="J105" s="41"/>
      <c r="K105" s="41"/>
      <c r="L105" s="41"/>
      <c r="M105" s="96">
        <f t="shared" si="22"/>
        <v>0</v>
      </c>
      <c r="N105" s="96"/>
      <c r="O105" s="96"/>
      <c r="P105" s="96"/>
      <c r="Q105" s="42">
        <f t="shared" si="15"/>
        <v>30</v>
      </c>
      <c r="R105" s="42">
        <f t="shared" si="16"/>
        <v>1.3295887460875189</v>
      </c>
      <c r="S105" s="42">
        <f t="shared" si="17"/>
        <v>39.887662382625564</v>
      </c>
      <c r="T105" s="93">
        <v>10</v>
      </c>
      <c r="U105" s="41">
        <f t="shared" si="18"/>
        <v>1.3295887460875189</v>
      </c>
      <c r="V105" s="43">
        <f t="shared" si="25"/>
        <v>13.295887460875189</v>
      </c>
      <c r="W105" s="44">
        <f t="shared" si="23"/>
        <v>20</v>
      </c>
      <c r="X105" s="44">
        <f t="shared" si="19"/>
        <v>1.3295887460875189</v>
      </c>
      <c r="Y105" s="166">
        <f t="shared" si="24"/>
        <v>26.591774921750378</v>
      </c>
      <c r="AA105" s="131"/>
      <c r="AB105" s="131"/>
      <c r="AC105" s="191"/>
    </row>
    <row r="106" spans="1:29" customFormat="1" ht="15.5" customHeight="1" x14ac:dyDescent="0.25">
      <c r="A106" s="168" t="s">
        <v>142</v>
      </c>
      <c r="B106" s="140" t="s">
        <v>73</v>
      </c>
      <c r="C106" s="113">
        <v>30</v>
      </c>
      <c r="D106" s="141">
        <v>1.6227247913440708</v>
      </c>
      <c r="E106" s="113">
        <f t="shared" si="20"/>
        <v>48.681743740322126</v>
      </c>
      <c r="F106" s="41"/>
      <c r="G106" s="41"/>
      <c r="H106" s="41">
        <f t="shared" si="21"/>
        <v>0</v>
      </c>
      <c r="I106" s="96">
        <f t="shared" si="14"/>
        <v>0</v>
      </c>
      <c r="J106" s="41"/>
      <c r="K106" s="41"/>
      <c r="L106" s="41"/>
      <c r="M106" s="96">
        <f t="shared" si="22"/>
        <v>0</v>
      </c>
      <c r="N106" s="96"/>
      <c r="O106" s="96"/>
      <c r="P106" s="96"/>
      <c r="Q106" s="42">
        <f t="shared" si="15"/>
        <v>30</v>
      </c>
      <c r="R106" s="42">
        <f t="shared" si="16"/>
        <v>1.6227247913440708</v>
      </c>
      <c r="S106" s="42">
        <f t="shared" si="17"/>
        <v>48.681743740322126</v>
      </c>
      <c r="T106" s="93">
        <v>8</v>
      </c>
      <c r="U106" s="41">
        <f t="shared" si="18"/>
        <v>1.6227247913440708</v>
      </c>
      <c r="V106" s="43">
        <f t="shared" si="25"/>
        <v>12.981798330752566</v>
      </c>
      <c r="W106" s="44">
        <f t="shared" si="23"/>
        <v>22</v>
      </c>
      <c r="X106" s="44">
        <f t="shared" si="19"/>
        <v>1.6227247913440708</v>
      </c>
      <c r="Y106" s="166">
        <f t="shared" si="24"/>
        <v>35.699945409569558</v>
      </c>
      <c r="AA106" s="131"/>
      <c r="AB106" s="131"/>
      <c r="AC106" s="191"/>
    </row>
    <row r="107" spans="1:29" customFormat="1" ht="15.65" customHeight="1" x14ac:dyDescent="0.25">
      <c r="A107" s="168" t="s">
        <v>366</v>
      </c>
      <c r="B107" s="140" t="s">
        <v>73</v>
      </c>
      <c r="C107" s="113">
        <v>10</v>
      </c>
      <c r="D107" s="141">
        <v>2.6197443984352091</v>
      </c>
      <c r="E107" s="113">
        <f t="shared" si="20"/>
        <v>26.197443984352091</v>
      </c>
      <c r="F107" s="41"/>
      <c r="G107" s="41"/>
      <c r="H107" s="41">
        <f t="shared" si="21"/>
        <v>0</v>
      </c>
      <c r="I107" s="96">
        <f t="shared" si="14"/>
        <v>0</v>
      </c>
      <c r="J107" s="41"/>
      <c r="K107" s="41"/>
      <c r="L107" s="41"/>
      <c r="M107" s="96">
        <f t="shared" si="22"/>
        <v>0</v>
      </c>
      <c r="N107" s="96"/>
      <c r="O107" s="96"/>
      <c r="P107" s="96"/>
      <c r="Q107" s="42">
        <f t="shared" si="15"/>
        <v>10</v>
      </c>
      <c r="R107" s="42">
        <f t="shared" si="16"/>
        <v>2.6197443984352091</v>
      </c>
      <c r="S107" s="42">
        <f t="shared" si="17"/>
        <v>26.197443984352091</v>
      </c>
      <c r="T107" s="93">
        <v>5</v>
      </c>
      <c r="U107" s="41">
        <f t="shared" si="18"/>
        <v>2.6197443984352091</v>
      </c>
      <c r="V107" s="43">
        <f t="shared" si="25"/>
        <v>13.098721992176046</v>
      </c>
      <c r="W107" s="44">
        <f t="shared" si="23"/>
        <v>5</v>
      </c>
      <c r="X107" s="44">
        <f t="shared" si="19"/>
        <v>2.6197443984352091</v>
      </c>
      <c r="Y107" s="166">
        <f t="shared" si="24"/>
        <v>13.098721992176046</v>
      </c>
      <c r="AA107" s="131"/>
      <c r="AB107" s="131"/>
      <c r="AC107" s="191"/>
    </row>
    <row r="108" spans="1:29" customFormat="1" ht="15.5" customHeight="1" x14ac:dyDescent="0.25">
      <c r="A108" s="168" t="s">
        <v>188</v>
      </c>
      <c r="B108" s="142" t="s">
        <v>73</v>
      </c>
      <c r="C108" s="113">
        <v>6</v>
      </c>
      <c r="D108" s="141">
        <v>2.0761055720416111</v>
      </c>
      <c r="E108" s="113">
        <f t="shared" si="20"/>
        <v>12.456633432249667</v>
      </c>
      <c r="F108" s="41"/>
      <c r="G108" s="41"/>
      <c r="H108" s="41">
        <f t="shared" si="21"/>
        <v>0</v>
      </c>
      <c r="I108" s="96">
        <f t="shared" si="14"/>
        <v>0</v>
      </c>
      <c r="J108" s="41"/>
      <c r="K108" s="41"/>
      <c r="L108" s="41"/>
      <c r="M108" s="96">
        <f t="shared" si="22"/>
        <v>0</v>
      </c>
      <c r="N108" s="96"/>
      <c r="O108" s="96"/>
      <c r="P108" s="96"/>
      <c r="Q108" s="42">
        <f t="shared" si="15"/>
        <v>6</v>
      </c>
      <c r="R108" s="42">
        <f t="shared" si="16"/>
        <v>2.0761055720416111</v>
      </c>
      <c r="S108" s="42">
        <f t="shared" si="17"/>
        <v>12.456633432249667</v>
      </c>
      <c r="T108" s="93">
        <v>3</v>
      </c>
      <c r="U108" s="41">
        <f t="shared" si="18"/>
        <v>2.0761055720416111</v>
      </c>
      <c r="V108" s="43">
        <f t="shared" si="25"/>
        <v>6.2283167161248336</v>
      </c>
      <c r="W108" s="44">
        <f t="shared" si="23"/>
        <v>3</v>
      </c>
      <c r="X108" s="44">
        <f t="shared" si="19"/>
        <v>2.0761055720416111</v>
      </c>
      <c r="Y108" s="166">
        <f t="shared" si="24"/>
        <v>6.2283167161248336</v>
      </c>
      <c r="AA108" s="131"/>
      <c r="AB108" s="131"/>
      <c r="AC108" s="191"/>
    </row>
    <row r="109" spans="1:29" customFormat="1" ht="15.65" customHeight="1" x14ac:dyDescent="0.25">
      <c r="A109" s="168" t="s">
        <v>143</v>
      </c>
      <c r="B109" s="140" t="s">
        <v>73</v>
      </c>
      <c r="C109" s="113">
        <v>4</v>
      </c>
      <c r="D109" s="141">
        <v>2.0608959998168204</v>
      </c>
      <c r="E109" s="113">
        <f t="shared" si="20"/>
        <v>8.2435839992672815</v>
      </c>
      <c r="F109" s="41"/>
      <c r="G109" s="41"/>
      <c r="H109" s="41">
        <f t="shared" si="21"/>
        <v>0</v>
      </c>
      <c r="I109" s="96">
        <f t="shared" si="14"/>
        <v>0</v>
      </c>
      <c r="J109" s="41"/>
      <c r="K109" s="41"/>
      <c r="L109" s="41"/>
      <c r="M109" s="96">
        <f t="shared" si="22"/>
        <v>0</v>
      </c>
      <c r="N109" s="101"/>
      <c r="O109" s="101"/>
      <c r="P109" s="101"/>
      <c r="Q109" s="42">
        <f t="shared" si="15"/>
        <v>4</v>
      </c>
      <c r="R109" s="42">
        <f t="shared" si="16"/>
        <v>2.0608959998168204</v>
      </c>
      <c r="S109" s="42">
        <f t="shared" si="17"/>
        <v>8.2435839992672815</v>
      </c>
      <c r="T109" s="93">
        <v>1</v>
      </c>
      <c r="U109" s="41">
        <f t="shared" si="18"/>
        <v>2.0608959998168204</v>
      </c>
      <c r="V109" s="43">
        <f t="shared" si="25"/>
        <v>2.0608959998168204</v>
      </c>
      <c r="W109" s="44">
        <f t="shared" si="23"/>
        <v>3</v>
      </c>
      <c r="X109" s="44">
        <f t="shared" si="19"/>
        <v>2.0608959998168204</v>
      </c>
      <c r="Y109" s="166">
        <f t="shared" si="24"/>
        <v>6.1826879994504615</v>
      </c>
      <c r="AA109" s="131"/>
      <c r="AB109" s="131"/>
      <c r="AC109" s="191"/>
    </row>
    <row r="110" spans="1:29" customFormat="1" ht="15.65" customHeight="1" x14ac:dyDescent="0.25">
      <c r="A110" s="197" t="s">
        <v>213</v>
      </c>
      <c r="B110" s="140" t="s">
        <v>73</v>
      </c>
      <c r="C110" s="113">
        <v>3</v>
      </c>
      <c r="D110" s="141">
        <v>1.8861484263614188</v>
      </c>
      <c r="E110" s="113">
        <f t="shared" si="20"/>
        <v>5.6584452790842565</v>
      </c>
      <c r="F110" s="41"/>
      <c r="G110" s="41"/>
      <c r="H110" s="41">
        <f t="shared" si="21"/>
        <v>0</v>
      </c>
      <c r="I110" s="96">
        <f t="shared" si="14"/>
        <v>0</v>
      </c>
      <c r="J110" s="41"/>
      <c r="K110" s="41"/>
      <c r="L110" s="41"/>
      <c r="M110" s="96">
        <f t="shared" si="22"/>
        <v>0</v>
      </c>
      <c r="N110" s="101"/>
      <c r="O110" s="101"/>
      <c r="P110" s="101"/>
      <c r="Q110" s="42">
        <f t="shared" si="15"/>
        <v>3</v>
      </c>
      <c r="R110" s="42">
        <f t="shared" si="16"/>
        <v>1.8861484263614188</v>
      </c>
      <c r="S110" s="42">
        <f t="shared" si="17"/>
        <v>5.6584452790842565</v>
      </c>
      <c r="T110" s="93">
        <v>1</v>
      </c>
      <c r="U110" s="41">
        <f t="shared" si="18"/>
        <v>1.8861484263614188</v>
      </c>
      <c r="V110" s="43">
        <f t="shared" si="25"/>
        <v>1.8861484263614188</v>
      </c>
      <c r="W110" s="44">
        <f t="shared" si="23"/>
        <v>2</v>
      </c>
      <c r="X110" s="44">
        <f t="shared" si="19"/>
        <v>1.8861484263614188</v>
      </c>
      <c r="Y110" s="166">
        <f t="shared" si="24"/>
        <v>3.7722968527228375</v>
      </c>
      <c r="AA110" s="131"/>
      <c r="AB110" s="131"/>
      <c r="AC110" s="191"/>
    </row>
    <row r="111" spans="1:29" customFormat="1" ht="14.25" customHeight="1" x14ac:dyDescent="0.25">
      <c r="A111" s="197" t="s">
        <v>214</v>
      </c>
      <c r="B111" s="140" t="s">
        <v>73</v>
      </c>
      <c r="C111" s="113">
        <v>3</v>
      </c>
      <c r="D111" s="141">
        <v>2.1565348402917772</v>
      </c>
      <c r="E111" s="113">
        <f t="shared" si="20"/>
        <v>6.4696045208753317</v>
      </c>
      <c r="F111" s="41"/>
      <c r="G111" s="41"/>
      <c r="H111" s="41">
        <f t="shared" si="21"/>
        <v>0</v>
      </c>
      <c r="I111" s="96">
        <f t="shared" si="14"/>
        <v>0</v>
      </c>
      <c r="J111" s="41"/>
      <c r="K111" s="41"/>
      <c r="L111" s="41"/>
      <c r="M111" s="96">
        <f t="shared" si="22"/>
        <v>0</v>
      </c>
      <c r="N111" s="101"/>
      <c r="O111" s="101"/>
      <c r="P111" s="101"/>
      <c r="Q111" s="42">
        <f t="shared" si="15"/>
        <v>3</v>
      </c>
      <c r="R111" s="42">
        <f t="shared" si="16"/>
        <v>2.1565348402917772</v>
      </c>
      <c r="S111" s="42">
        <f t="shared" si="17"/>
        <v>6.4696045208753317</v>
      </c>
      <c r="T111" s="93">
        <v>1</v>
      </c>
      <c r="U111" s="41">
        <f t="shared" si="18"/>
        <v>2.1565348402917772</v>
      </c>
      <c r="V111" s="43">
        <f t="shared" si="25"/>
        <v>2.1565348402917772</v>
      </c>
      <c r="W111" s="44">
        <f t="shared" si="23"/>
        <v>2</v>
      </c>
      <c r="X111" s="44">
        <f t="shared" si="19"/>
        <v>2.1565348402917772</v>
      </c>
      <c r="Y111" s="166">
        <f t="shared" si="24"/>
        <v>4.3130696805835544</v>
      </c>
      <c r="AA111" s="131"/>
      <c r="AB111" s="131"/>
      <c r="AC111" s="191"/>
    </row>
    <row r="112" spans="1:29" customFormat="1" ht="15.5" customHeight="1" x14ac:dyDescent="0.25">
      <c r="A112" s="168" t="s">
        <v>144</v>
      </c>
      <c r="B112" s="140" t="s">
        <v>73</v>
      </c>
      <c r="C112" s="113">
        <v>15</v>
      </c>
      <c r="D112" s="141">
        <v>2.5037101679448588</v>
      </c>
      <c r="E112" s="113">
        <f t="shared" si="20"/>
        <v>37.555652519172881</v>
      </c>
      <c r="F112" s="41"/>
      <c r="G112" s="41"/>
      <c r="H112" s="41">
        <f t="shared" si="21"/>
        <v>0</v>
      </c>
      <c r="I112" s="96">
        <f t="shared" si="14"/>
        <v>0</v>
      </c>
      <c r="J112" s="41"/>
      <c r="K112" s="41"/>
      <c r="L112" s="41"/>
      <c r="M112" s="96">
        <f t="shared" si="22"/>
        <v>0</v>
      </c>
      <c r="N112" s="96"/>
      <c r="O112" s="96"/>
      <c r="P112" s="96"/>
      <c r="Q112" s="42">
        <f t="shared" si="15"/>
        <v>15</v>
      </c>
      <c r="R112" s="42">
        <f t="shared" si="16"/>
        <v>2.5037101679448588</v>
      </c>
      <c r="S112" s="42">
        <f t="shared" si="17"/>
        <v>37.555652519172881</v>
      </c>
      <c r="T112" s="93">
        <v>5</v>
      </c>
      <c r="U112" s="41">
        <f t="shared" si="18"/>
        <v>2.5037101679448588</v>
      </c>
      <c r="V112" s="43">
        <f t="shared" si="25"/>
        <v>12.518550839724295</v>
      </c>
      <c r="W112" s="44">
        <f t="shared" si="23"/>
        <v>10</v>
      </c>
      <c r="X112" s="44">
        <f t="shared" si="19"/>
        <v>2.5037101679448588</v>
      </c>
      <c r="Y112" s="166">
        <f t="shared" si="24"/>
        <v>25.03710167944859</v>
      </c>
      <c r="AA112" s="131"/>
      <c r="AB112" s="131"/>
      <c r="AC112" s="191"/>
    </row>
    <row r="113" spans="1:29" customFormat="1" ht="15.5" customHeight="1" x14ac:dyDescent="0.25">
      <c r="A113" s="168" t="s">
        <v>380</v>
      </c>
      <c r="B113" s="140" t="s">
        <v>73</v>
      </c>
      <c r="C113" s="113">
        <v>4</v>
      </c>
      <c r="D113" s="141">
        <v>4.1732283464566926</v>
      </c>
      <c r="E113" s="113">
        <f t="shared" si="20"/>
        <v>16.69291338582677</v>
      </c>
      <c r="F113" s="41"/>
      <c r="G113" s="41"/>
      <c r="H113" s="41">
        <f t="shared" si="21"/>
        <v>0</v>
      </c>
      <c r="I113" s="96">
        <f t="shared" si="14"/>
        <v>0</v>
      </c>
      <c r="J113" s="41"/>
      <c r="K113" s="41"/>
      <c r="L113" s="41"/>
      <c r="M113" s="96">
        <f t="shared" si="22"/>
        <v>0</v>
      </c>
      <c r="N113" s="96"/>
      <c r="O113" s="96"/>
      <c r="P113" s="96"/>
      <c r="Q113" s="42">
        <f t="shared" si="15"/>
        <v>4</v>
      </c>
      <c r="R113" s="42">
        <f t="shared" si="16"/>
        <v>4.1732283464566926</v>
      </c>
      <c r="S113" s="42">
        <f t="shared" si="17"/>
        <v>16.69291338582677</v>
      </c>
      <c r="T113" s="93">
        <v>4</v>
      </c>
      <c r="U113" s="41">
        <f t="shared" si="18"/>
        <v>4.1732283464566926</v>
      </c>
      <c r="V113" s="43">
        <f t="shared" si="25"/>
        <v>16.69291338582677</v>
      </c>
      <c r="W113" s="44">
        <f t="shared" si="23"/>
        <v>0</v>
      </c>
      <c r="X113" s="44">
        <f t="shared" si="19"/>
        <v>4.1732283464566926</v>
      </c>
      <c r="Y113" s="166">
        <f t="shared" si="24"/>
        <v>0</v>
      </c>
      <c r="AA113" s="131"/>
      <c r="AB113" s="131"/>
      <c r="AC113" s="191"/>
    </row>
    <row r="114" spans="1:29" customFormat="1" ht="15.5" customHeight="1" x14ac:dyDescent="0.25">
      <c r="A114" s="168" t="s">
        <v>145</v>
      </c>
      <c r="B114" s="140" t="s">
        <v>73</v>
      </c>
      <c r="C114" s="113">
        <v>3</v>
      </c>
      <c r="D114" s="141">
        <v>1.9879291553133513</v>
      </c>
      <c r="E114" s="113">
        <f t="shared" si="20"/>
        <v>5.9637874659400545</v>
      </c>
      <c r="F114" s="41"/>
      <c r="G114" s="41"/>
      <c r="H114" s="41">
        <f t="shared" si="21"/>
        <v>0</v>
      </c>
      <c r="I114" s="96">
        <f t="shared" si="14"/>
        <v>0</v>
      </c>
      <c r="J114" s="41"/>
      <c r="K114" s="41"/>
      <c r="L114" s="41"/>
      <c r="M114" s="96">
        <f t="shared" si="22"/>
        <v>0</v>
      </c>
      <c r="N114" s="96"/>
      <c r="O114" s="96"/>
      <c r="P114" s="96"/>
      <c r="Q114" s="42">
        <f t="shared" si="15"/>
        <v>3</v>
      </c>
      <c r="R114" s="42">
        <f t="shared" si="16"/>
        <v>1.9879291553133516</v>
      </c>
      <c r="S114" s="42">
        <f t="shared" si="17"/>
        <v>5.9637874659400545</v>
      </c>
      <c r="T114" s="93">
        <v>3</v>
      </c>
      <c r="U114" s="41">
        <f t="shared" si="18"/>
        <v>1.9879291553133516</v>
      </c>
      <c r="V114" s="43">
        <f t="shared" si="25"/>
        <v>5.9637874659400545</v>
      </c>
      <c r="W114" s="44">
        <f t="shared" si="23"/>
        <v>0</v>
      </c>
      <c r="X114" s="44">
        <f t="shared" si="19"/>
        <v>1.9879291553133516</v>
      </c>
      <c r="Y114" s="166">
        <f t="shared" si="24"/>
        <v>0</v>
      </c>
      <c r="AA114" s="131"/>
      <c r="AB114" s="131"/>
      <c r="AC114" s="191"/>
    </row>
    <row r="115" spans="1:29" customFormat="1" ht="15.5" customHeight="1" x14ac:dyDescent="0.25">
      <c r="A115" s="168" t="s">
        <v>146</v>
      </c>
      <c r="B115" s="140" t="s">
        <v>73</v>
      </c>
      <c r="C115" s="113">
        <v>2</v>
      </c>
      <c r="D115" s="141">
        <v>1.08</v>
      </c>
      <c r="E115" s="113">
        <f t="shared" si="20"/>
        <v>2.16</v>
      </c>
      <c r="F115" s="41"/>
      <c r="G115" s="41"/>
      <c r="H115" s="41">
        <f t="shared" si="21"/>
        <v>0</v>
      </c>
      <c r="I115" s="96">
        <f t="shared" si="14"/>
        <v>0</v>
      </c>
      <c r="J115" s="41"/>
      <c r="K115" s="41"/>
      <c r="L115" s="41"/>
      <c r="M115" s="96">
        <f t="shared" si="22"/>
        <v>0</v>
      </c>
      <c r="N115" s="96"/>
      <c r="O115" s="96"/>
      <c r="P115" s="96"/>
      <c r="Q115" s="42">
        <f t="shared" si="15"/>
        <v>2</v>
      </c>
      <c r="R115" s="42">
        <f t="shared" si="16"/>
        <v>1.08</v>
      </c>
      <c r="S115" s="42">
        <f t="shared" si="17"/>
        <v>2.16</v>
      </c>
      <c r="T115" s="93">
        <v>1</v>
      </c>
      <c r="U115" s="41">
        <f t="shared" si="18"/>
        <v>1.08</v>
      </c>
      <c r="V115" s="43">
        <f t="shared" si="25"/>
        <v>1.08</v>
      </c>
      <c r="W115" s="44">
        <f t="shared" si="23"/>
        <v>1</v>
      </c>
      <c r="X115" s="44">
        <f t="shared" si="19"/>
        <v>1.08</v>
      </c>
      <c r="Y115" s="166">
        <f t="shared" si="24"/>
        <v>1.08</v>
      </c>
      <c r="AA115" s="131"/>
      <c r="AB115" s="131"/>
      <c r="AC115" s="191"/>
    </row>
    <row r="116" spans="1:29" customFormat="1" ht="15.5" customHeight="1" x14ac:dyDescent="0.25">
      <c r="A116" s="168" t="s">
        <v>147</v>
      </c>
      <c r="B116" s="140" t="s">
        <v>73</v>
      </c>
      <c r="C116" s="113">
        <v>9</v>
      </c>
      <c r="D116" s="141">
        <v>0.54871794871794866</v>
      </c>
      <c r="E116" s="113">
        <f t="shared" si="20"/>
        <v>4.9384615384615378</v>
      </c>
      <c r="F116" s="41"/>
      <c r="G116" s="41"/>
      <c r="H116" s="41">
        <f t="shared" si="21"/>
        <v>0</v>
      </c>
      <c r="I116" s="96">
        <f t="shared" si="14"/>
        <v>0</v>
      </c>
      <c r="J116" s="41"/>
      <c r="K116" s="41"/>
      <c r="L116" s="41"/>
      <c r="M116" s="96">
        <f t="shared" si="22"/>
        <v>0</v>
      </c>
      <c r="N116" s="96"/>
      <c r="O116" s="96"/>
      <c r="P116" s="96"/>
      <c r="Q116" s="42">
        <f t="shared" si="15"/>
        <v>9</v>
      </c>
      <c r="R116" s="42">
        <f t="shared" si="16"/>
        <v>0.54871794871794866</v>
      </c>
      <c r="S116" s="42">
        <f t="shared" si="17"/>
        <v>4.9384615384615378</v>
      </c>
      <c r="T116" s="93">
        <v>5</v>
      </c>
      <c r="U116" s="41">
        <f t="shared" si="18"/>
        <v>0.54871794871794866</v>
      </c>
      <c r="V116" s="43">
        <f t="shared" si="25"/>
        <v>2.7435897435897432</v>
      </c>
      <c r="W116" s="44">
        <f t="shared" si="23"/>
        <v>4</v>
      </c>
      <c r="X116" s="44">
        <f t="shared" si="19"/>
        <v>0.54871794871794866</v>
      </c>
      <c r="Y116" s="166">
        <f t="shared" si="24"/>
        <v>2.1948717948717946</v>
      </c>
      <c r="AA116" s="131"/>
      <c r="AB116" s="131"/>
      <c r="AC116" s="191"/>
    </row>
    <row r="117" spans="1:29" customFormat="1" ht="15.65" customHeight="1" x14ac:dyDescent="0.25">
      <c r="A117" s="168" t="s">
        <v>148</v>
      </c>
      <c r="B117" s="140" t="s">
        <v>73</v>
      </c>
      <c r="C117" s="113">
        <v>5</v>
      </c>
      <c r="D117" s="141">
        <v>3.023069259199743</v>
      </c>
      <c r="E117" s="113">
        <f t="shared" si="20"/>
        <v>15.115346295998716</v>
      </c>
      <c r="F117" s="41"/>
      <c r="G117" s="41"/>
      <c r="H117" s="41">
        <f t="shared" si="21"/>
        <v>0</v>
      </c>
      <c r="I117" s="96">
        <f t="shared" si="14"/>
        <v>0</v>
      </c>
      <c r="J117" s="41"/>
      <c r="K117" s="41"/>
      <c r="L117" s="41"/>
      <c r="M117" s="96">
        <f t="shared" si="22"/>
        <v>0</v>
      </c>
      <c r="N117" s="96"/>
      <c r="O117" s="96"/>
      <c r="P117" s="96"/>
      <c r="Q117" s="42">
        <f t="shared" si="15"/>
        <v>5</v>
      </c>
      <c r="R117" s="42">
        <f t="shared" si="16"/>
        <v>3.023069259199743</v>
      </c>
      <c r="S117" s="42">
        <f t="shared" si="17"/>
        <v>15.115346295998716</v>
      </c>
      <c r="T117" s="93">
        <v>3</v>
      </c>
      <c r="U117" s="41">
        <f t="shared" si="18"/>
        <v>3.023069259199743</v>
      </c>
      <c r="V117" s="43">
        <f t="shared" si="25"/>
        <v>9.0692077775992281</v>
      </c>
      <c r="W117" s="44">
        <f t="shared" si="23"/>
        <v>2</v>
      </c>
      <c r="X117" s="44">
        <f t="shared" si="19"/>
        <v>3.023069259199743</v>
      </c>
      <c r="Y117" s="166">
        <f t="shared" si="24"/>
        <v>6.046138518399486</v>
      </c>
      <c r="AA117" s="131"/>
      <c r="AB117" s="131"/>
      <c r="AC117" s="191"/>
    </row>
    <row r="118" spans="1:29" customFormat="1" ht="15.65" customHeight="1" x14ac:dyDescent="0.25">
      <c r="A118" s="168" t="s">
        <v>382</v>
      </c>
      <c r="B118" s="140" t="s">
        <v>73</v>
      </c>
      <c r="C118" s="113">
        <v>20</v>
      </c>
      <c r="D118" s="141">
        <v>4.1733064315911079</v>
      </c>
      <c r="E118" s="113">
        <f t="shared" si="20"/>
        <v>83.466128631822158</v>
      </c>
      <c r="F118" s="41"/>
      <c r="G118" s="41"/>
      <c r="H118" s="41">
        <f t="shared" si="21"/>
        <v>0</v>
      </c>
      <c r="I118" s="96">
        <f t="shared" si="14"/>
        <v>0</v>
      </c>
      <c r="J118" s="41"/>
      <c r="K118" s="41"/>
      <c r="L118" s="41"/>
      <c r="M118" s="96">
        <f t="shared" si="22"/>
        <v>0</v>
      </c>
      <c r="N118" s="96"/>
      <c r="O118" s="96"/>
      <c r="P118" s="96"/>
      <c r="Q118" s="42">
        <f t="shared" si="15"/>
        <v>20</v>
      </c>
      <c r="R118" s="42">
        <f t="shared" si="16"/>
        <v>4.1733064315911079</v>
      </c>
      <c r="S118" s="42">
        <f t="shared" si="17"/>
        <v>83.466128631822158</v>
      </c>
      <c r="T118" s="93">
        <v>8</v>
      </c>
      <c r="U118" s="41">
        <f t="shared" si="18"/>
        <v>4.1733064315911079</v>
      </c>
      <c r="V118" s="43">
        <f t="shared" si="25"/>
        <v>33.386451452728863</v>
      </c>
      <c r="W118" s="44">
        <f t="shared" si="23"/>
        <v>12</v>
      </c>
      <c r="X118" s="44">
        <f t="shared" si="19"/>
        <v>4.1733064315911079</v>
      </c>
      <c r="Y118" s="166">
        <f t="shared" si="24"/>
        <v>50.079677179093295</v>
      </c>
      <c r="AA118" s="131"/>
      <c r="AB118" s="131"/>
      <c r="AC118" s="191"/>
    </row>
    <row r="119" spans="1:29" customFormat="1" ht="15.5" customHeight="1" x14ac:dyDescent="0.25">
      <c r="A119" s="168" t="s">
        <v>149</v>
      </c>
      <c r="B119" s="140" t="s">
        <v>73</v>
      </c>
      <c r="C119" s="113">
        <v>18</v>
      </c>
      <c r="D119" s="141">
        <v>1.3361538976317695</v>
      </c>
      <c r="E119" s="113">
        <f t="shared" si="20"/>
        <v>24.050770157371851</v>
      </c>
      <c r="F119" s="41"/>
      <c r="G119" s="41"/>
      <c r="H119" s="41">
        <f t="shared" si="21"/>
        <v>0</v>
      </c>
      <c r="I119" s="96">
        <f t="shared" si="14"/>
        <v>0</v>
      </c>
      <c r="J119" s="41"/>
      <c r="K119" s="41"/>
      <c r="L119" s="41"/>
      <c r="M119" s="96">
        <f t="shared" si="22"/>
        <v>0</v>
      </c>
      <c r="N119" s="96"/>
      <c r="O119" s="96"/>
      <c r="P119" s="96"/>
      <c r="Q119" s="42">
        <f t="shared" si="15"/>
        <v>18</v>
      </c>
      <c r="R119" s="42">
        <f t="shared" si="16"/>
        <v>1.3361538976317695</v>
      </c>
      <c r="S119" s="42">
        <f t="shared" si="17"/>
        <v>24.050770157371851</v>
      </c>
      <c r="T119" s="93">
        <v>10</v>
      </c>
      <c r="U119" s="41">
        <f t="shared" si="18"/>
        <v>1.3361538976317695</v>
      </c>
      <c r="V119" s="43">
        <f t="shared" si="25"/>
        <v>13.361538976317695</v>
      </c>
      <c r="W119" s="44">
        <f t="shared" si="23"/>
        <v>8</v>
      </c>
      <c r="X119" s="44">
        <f t="shared" si="19"/>
        <v>1.3361538976317695</v>
      </c>
      <c r="Y119" s="166">
        <f t="shared" si="24"/>
        <v>10.689231181054156</v>
      </c>
      <c r="AA119" s="131"/>
      <c r="AB119" s="131"/>
      <c r="AC119" s="191"/>
    </row>
    <row r="120" spans="1:29" customFormat="1" ht="15.5" customHeight="1" x14ac:dyDescent="0.25">
      <c r="A120" s="168" t="s">
        <v>405</v>
      </c>
      <c r="B120" s="140" t="s">
        <v>73</v>
      </c>
      <c r="C120" s="113">
        <v>10</v>
      </c>
      <c r="D120" s="141">
        <v>4.9615384615384617</v>
      </c>
      <c r="E120" s="113">
        <f t="shared" si="20"/>
        <v>49.615384615384613</v>
      </c>
      <c r="F120" s="41"/>
      <c r="G120" s="41"/>
      <c r="H120" s="41">
        <f t="shared" si="21"/>
        <v>0</v>
      </c>
      <c r="I120" s="96">
        <f t="shared" si="14"/>
        <v>0</v>
      </c>
      <c r="J120" s="41"/>
      <c r="K120" s="41"/>
      <c r="L120" s="41"/>
      <c r="M120" s="96">
        <f t="shared" si="22"/>
        <v>0</v>
      </c>
      <c r="N120" s="96"/>
      <c r="O120" s="96"/>
      <c r="P120" s="96"/>
      <c r="Q120" s="42">
        <f t="shared" si="15"/>
        <v>10</v>
      </c>
      <c r="R120" s="42">
        <f t="shared" si="16"/>
        <v>4.9615384615384617</v>
      </c>
      <c r="S120" s="42">
        <f t="shared" si="17"/>
        <v>49.615384615384613</v>
      </c>
      <c r="T120" s="93">
        <v>5</v>
      </c>
      <c r="U120" s="41">
        <f t="shared" si="18"/>
        <v>4.9615384615384617</v>
      </c>
      <c r="V120" s="43">
        <f t="shared" si="25"/>
        <v>24.807692307692307</v>
      </c>
      <c r="W120" s="44">
        <f t="shared" si="23"/>
        <v>5</v>
      </c>
      <c r="X120" s="44">
        <f t="shared" si="19"/>
        <v>4.9615384615384617</v>
      </c>
      <c r="Y120" s="166">
        <f t="shared" si="24"/>
        <v>24.807692307692307</v>
      </c>
      <c r="AA120" s="131"/>
      <c r="AB120" s="131"/>
      <c r="AC120" s="191"/>
    </row>
    <row r="121" spans="1:29" customFormat="1" ht="15.5" customHeight="1" x14ac:dyDescent="0.25">
      <c r="A121" s="168" t="s">
        <v>150</v>
      </c>
      <c r="B121" s="140" t="s">
        <v>70</v>
      </c>
      <c r="C121" s="113">
        <v>20</v>
      </c>
      <c r="D121" s="141">
        <v>0.57426243567214896</v>
      </c>
      <c r="E121" s="113">
        <f t="shared" si="20"/>
        <v>11.48524871344298</v>
      </c>
      <c r="F121" s="41"/>
      <c r="G121" s="41"/>
      <c r="H121" s="41">
        <f t="shared" si="21"/>
        <v>0</v>
      </c>
      <c r="I121" s="96">
        <f t="shared" si="14"/>
        <v>0</v>
      </c>
      <c r="J121" s="41"/>
      <c r="K121" s="41"/>
      <c r="L121" s="41"/>
      <c r="M121" s="96">
        <f t="shared" si="22"/>
        <v>0</v>
      </c>
      <c r="N121" s="96"/>
      <c r="O121" s="96"/>
      <c r="P121" s="96"/>
      <c r="Q121" s="42">
        <f t="shared" si="15"/>
        <v>20</v>
      </c>
      <c r="R121" s="42">
        <f t="shared" si="16"/>
        <v>0.57426243567214896</v>
      </c>
      <c r="S121" s="42">
        <f t="shared" si="17"/>
        <v>11.48524871344298</v>
      </c>
      <c r="T121" s="93">
        <v>10</v>
      </c>
      <c r="U121" s="41">
        <f t="shared" si="18"/>
        <v>0.57426243567214896</v>
      </c>
      <c r="V121" s="43">
        <f t="shared" si="25"/>
        <v>5.7426243567214899</v>
      </c>
      <c r="W121" s="44">
        <f t="shared" si="23"/>
        <v>10</v>
      </c>
      <c r="X121" s="44">
        <f t="shared" si="19"/>
        <v>0.57426243567214896</v>
      </c>
      <c r="Y121" s="166">
        <f t="shared" si="24"/>
        <v>5.7426243567214899</v>
      </c>
      <c r="AA121" s="131"/>
      <c r="AB121" s="131"/>
      <c r="AC121" s="191"/>
    </row>
    <row r="122" spans="1:29" customFormat="1" ht="15.5" customHeight="1" x14ac:dyDescent="0.25">
      <c r="A122" s="168" t="s">
        <v>151</v>
      </c>
      <c r="B122" s="140" t="s">
        <v>72</v>
      </c>
      <c r="C122" s="113">
        <v>35</v>
      </c>
      <c r="D122" s="141">
        <v>3.6842235571345956</v>
      </c>
      <c r="E122" s="113">
        <f t="shared" si="20"/>
        <v>128.94782449971083</v>
      </c>
      <c r="F122" s="41"/>
      <c r="G122" s="41"/>
      <c r="H122" s="41">
        <f t="shared" si="21"/>
        <v>0</v>
      </c>
      <c r="I122" s="96">
        <f t="shared" si="14"/>
        <v>0</v>
      </c>
      <c r="J122" s="41"/>
      <c r="K122" s="41"/>
      <c r="L122" s="41"/>
      <c r="M122" s="96">
        <f>J122*L122</f>
        <v>0</v>
      </c>
      <c r="N122" s="96"/>
      <c r="O122" s="96"/>
      <c r="P122" s="96"/>
      <c r="Q122" s="42">
        <f t="shared" si="15"/>
        <v>35</v>
      </c>
      <c r="R122" s="42">
        <f t="shared" si="16"/>
        <v>3.6842235571345952</v>
      </c>
      <c r="S122" s="42">
        <f t="shared" si="17"/>
        <v>128.94782449971083</v>
      </c>
      <c r="T122" s="93">
        <v>15</v>
      </c>
      <c r="U122" s="41">
        <f t="shared" si="18"/>
        <v>3.6842235571345952</v>
      </c>
      <c r="V122" s="43">
        <f t="shared" si="25"/>
        <v>55.263353357018929</v>
      </c>
      <c r="W122" s="44">
        <f t="shared" si="23"/>
        <v>20</v>
      </c>
      <c r="X122" s="44">
        <f t="shared" si="19"/>
        <v>3.6842235571345952</v>
      </c>
      <c r="Y122" s="166">
        <f t="shared" si="24"/>
        <v>73.684471142691905</v>
      </c>
      <c r="AA122" s="131"/>
      <c r="AB122" s="131"/>
      <c r="AC122" s="191"/>
    </row>
    <row r="123" spans="1:29" customFormat="1" ht="15.65" customHeight="1" x14ac:dyDescent="0.25">
      <c r="A123" s="168" t="s">
        <v>152</v>
      </c>
      <c r="B123" s="140" t="s">
        <v>72</v>
      </c>
      <c r="C123" s="113">
        <v>35</v>
      </c>
      <c r="D123" s="141">
        <v>3.7480680827278445</v>
      </c>
      <c r="E123" s="113">
        <f t="shared" si="20"/>
        <v>131.18238289547455</v>
      </c>
      <c r="F123" s="41"/>
      <c r="G123" s="41"/>
      <c r="H123" s="41">
        <f t="shared" si="21"/>
        <v>0</v>
      </c>
      <c r="I123" s="96">
        <f t="shared" si="14"/>
        <v>0</v>
      </c>
      <c r="J123" s="41"/>
      <c r="K123" s="41"/>
      <c r="L123" s="41"/>
      <c r="M123" s="96">
        <f t="shared" si="22"/>
        <v>0</v>
      </c>
      <c r="N123" s="96"/>
      <c r="O123" s="96"/>
      <c r="P123" s="96"/>
      <c r="Q123" s="42">
        <f t="shared" si="15"/>
        <v>35</v>
      </c>
      <c r="R123" s="42">
        <f t="shared" si="16"/>
        <v>3.7480680827278441</v>
      </c>
      <c r="S123" s="42">
        <f t="shared" si="17"/>
        <v>131.18238289547455</v>
      </c>
      <c r="T123" s="93">
        <v>15</v>
      </c>
      <c r="U123" s="41">
        <f t="shared" si="18"/>
        <v>3.7480680827278441</v>
      </c>
      <c r="V123" s="43">
        <f t="shared" si="25"/>
        <v>56.221021240917665</v>
      </c>
      <c r="W123" s="44">
        <f t="shared" si="23"/>
        <v>20</v>
      </c>
      <c r="X123" s="44">
        <f t="shared" si="19"/>
        <v>3.7480680827278441</v>
      </c>
      <c r="Y123" s="166">
        <f t="shared" si="24"/>
        <v>74.961361654556882</v>
      </c>
      <c r="AA123" s="131"/>
      <c r="AB123" s="131"/>
      <c r="AC123" s="191"/>
    </row>
    <row r="124" spans="1:29" customFormat="1" ht="15.5" customHeight="1" x14ac:dyDescent="0.25">
      <c r="A124" s="168" t="s">
        <v>153</v>
      </c>
      <c r="B124" s="140" t="s">
        <v>72</v>
      </c>
      <c r="C124" s="113">
        <v>40</v>
      </c>
      <c r="D124" s="141">
        <v>0.80832535016160034</v>
      </c>
      <c r="E124" s="113">
        <f t="shared" si="20"/>
        <v>32.333014006464012</v>
      </c>
      <c r="F124" s="41"/>
      <c r="G124" s="41"/>
      <c r="H124" s="41">
        <f t="shared" si="21"/>
        <v>0</v>
      </c>
      <c r="I124" s="96">
        <f t="shared" si="14"/>
        <v>0</v>
      </c>
      <c r="J124" s="41"/>
      <c r="K124" s="41"/>
      <c r="L124" s="41"/>
      <c r="M124" s="96">
        <f t="shared" si="22"/>
        <v>0</v>
      </c>
      <c r="N124" s="96"/>
      <c r="O124" s="96"/>
      <c r="P124" s="96"/>
      <c r="Q124" s="42">
        <f t="shared" si="15"/>
        <v>40</v>
      </c>
      <c r="R124" s="42">
        <f t="shared" si="16"/>
        <v>0.80832535016160034</v>
      </c>
      <c r="S124" s="42">
        <f t="shared" si="17"/>
        <v>32.333014006464012</v>
      </c>
      <c r="T124" s="93">
        <v>15</v>
      </c>
      <c r="U124" s="41">
        <f t="shared" si="18"/>
        <v>0.80832535016160034</v>
      </c>
      <c r="V124" s="43">
        <f t="shared" si="25"/>
        <v>12.124880252424004</v>
      </c>
      <c r="W124" s="44">
        <f t="shared" si="23"/>
        <v>25</v>
      </c>
      <c r="X124" s="44">
        <f t="shared" si="19"/>
        <v>0.80832535016160034</v>
      </c>
      <c r="Y124" s="166">
        <f t="shared" si="24"/>
        <v>20.208133754040009</v>
      </c>
      <c r="AA124" s="131"/>
      <c r="AB124" s="131"/>
      <c r="AC124" s="191"/>
    </row>
    <row r="125" spans="1:29" customFormat="1" ht="15.5" customHeight="1" x14ac:dyDescent="0.25">
      <c r="A125" s="168" t="s">
        <v>345</v>
      </c>
      <c r="B125" s="140" t="s">
        <v>70</v>
      </c>
      <c r="C125" s="113">
        <v>0</v>
      </c>
      <c r="D125" s="141" t="s">
        <v>248</v>
      </c>
      <c r="E125" s="113">
        <f t="shared" si="20"/>
        <v>0</v>
      </c>
      <c r="F125" s="41"/>
      <c r="G125" s="41"/>
      <c r="H125" s="41">
        <f t="shared" si="21"/>
        <v>0</v>
      </c>
      <c r="I125" s="96">
        <f t="shared" si="14"/>
        <v>0</v>
      </c>
      <c r="J125" s="41"/>
      <c r="K125" s="41"/>
      <c r="L125" s="41"/>
      <c r="M125" s="96">
        <f t="shared" si="22"/>
        <v>0</v>
      </c>
      <c r="N125" s="96"/>
      <c r="O125" s="96"/>
      <c r="P125" s="96"/>
      <c r="Q125" s="42">
        <f t="shared" si="15"/>
        <v>0</v>
      </c>
      <c r="R125" s="42" t="str">
        <f t="shared" si="16"/>
        <v>0.00</v>
      </c>
      <c r="S125" s="42">
        <f t="shared" si="17"/>
        <v>0</v>
      </c>
      <c r="T125" s="93">
        <v>0</v>
      </c>
      <c r="U125" s="41" t="str">
        <f t="shared" si="18"/>
        <v>0.00</v>
      </c>
      <c r="V125" s="43">
        <f t="shared" si="25"/>
        <v>0</v>
      </c>
      <c r="W125" s="44">
        <f t="shared" si="23"/>
        <v>0</v>
      </c>
      <c r="X125" s="44" t="str">
        <f t="shared" si="19"/>
        <v>0.00</v>
      </c>
      <c r="Y125" s="166">
        <f t="shared" si="24"/>
        <v>0</v>
      </c>
      <c r="AA125" s="131"/>
      <c r="AB125" s="131"/>
      <c r="AC125" s="191"/>
    </row>
    <row r="126" spans="1:29" customFormat="1" ht="15.5" customHeight="1" x14ac:dyDescent="0.25">
      <c r="A126" s="168" t="s">
        <v>342</v>
      </c>
      <c r="B126" s="140" t="s">
        <v>73</v>
      </c>
      <c r="C126" s="113">
        <v>4</v>
      </c>
      <c r="D126" s="141">
        <v>1.1153846153846154</v>
      </c>
      <c r="E126" s="113">
        <f t="shared" si="20"/>
        <v>4.4615384615384617</v>
      </c>
      <c r="F126" s="41"/>
      <c r="G126" s="41"/>
      <c r="H126" s="41">
        <f t="shared" si="21"/>
        <v>0</v>
      </c>
      <c r="I126" s="96">
        <f t="shared" si="14"/>
        <v>0</v>
      </c>
      <c r="J126" s="41"/>
      <c r="K126" s="41"/>
      <c r="L126" s="41"/>
      <c r="M126" s="96">
        <f t="shared" si="22"/>
        <v>0</v>
      </c>
      <c r="N126" s="96"/>
      <c r="O126" s="96"/>
      <c r="P126" s="96"/>
      <c r="Q126" s="42">
        <f t="shared" si="15"/>
        <v>4</v>
      </c>
      <c r="R126" s="42">
        <f t="shared" si="16"/>
        <v>1.1153846153846154</v>
      </c>
      <c r="S126" s="42">
        <f t="shared" si="17"/>
        <v>4.4615384615384617</v>
      </c>
      <c r="T126" s="93">
        <v>2</v>
      </c>
      <c r="U126" s="41">
        <f t="shared" si="18"/>
        <v>1.1153846153846154</v>
      </c>
      <c r="V126" s="43">
        <f t="shared" si="25"/>
        <v>2.2307692307692308</v>
      </c>
      <c r="W126" s="44">
        <f t="shared" si="23"/>
        <v>2</v>
      </c>
      <c r="X126" s="44">
        <f t="shared" si="19"/>
        <v>1.1153846153846154</v>
      </c>
      <c r="Y126" s="166">
        <f t="shared" si="24"/>
        <v>2.2307692307692308</v>
      </c>
      <c r="AA126" s="131"/>
      <c r="AB126" s="131"/>
      <c r="AC126" s="191"/>
    </row>
    <row r="127" spans="1:29" customFormat="1" ht="15.5" customHeight="1" x14ac:dyDescent="0.25">
      <c r="A127" s="168" t="s">
        <v>209</v>
      </c>
      <c r="B127" s="140" t="s">
        <v>70</v>
      </c>
      <c r="C127" s="113">
        <v>25</v>
      </c>
      <c r="D127" s="141">
        <v>1.6341009102731892</v>
      </c>
      <c r="E127" s="113">
        <f t="shared" si="20"/>
        <v>40.852522756829728</v>
      </c>
      <c r="F127" s="41"/>
      <c r="G127" s="41"/>
      <c r="H127" s="41">
        <f t="shared" si="21"/>
        <v>0</v>
      </c>
      <c r="I127" s="96">
        <f t="shared" si="14"/>
        <v>0</v>
      </c>
      <c r="J127" s="41"/>
      <c r="K127" s="41"/>
      <c r="L127" s="41"/>
      <c r="M127" s="96">
        <f t="shared" si="22"/>
        <v>0</v>
      </c>
      <c r="N127" s="96"/>
      <c r="O127" s="96"/>
      <c r="P127" s="96"/>
      <c r="Q127" s="42">
        <f t="shared" si="15"/>
        <v>25</v>
      </c>
      <c r="R127" s="42">
        <f t="shared" si="16"/>
        <v>1.6341009102731892</v>
      </c>
      <c r="S127" s="42">
        <f t="shared" si="17"/>
        <v>40.852522756829728</v>
      </c>
      <c r="T127" s="93">
        <v>10</v>
      </c>
      <c r="U127" s="41">
        <f t="shared" si="18"/>
        <v>1.6341009102731892</v>
      </c>
      <c r="V127" s="43">
        <f t="shared" si="25"/>
        <v>16.341009102731892</v>
      </c>
      <c r="W127" s="44">
        <f t="shared" si="23"/>
        <v>15</v>
      </c>
      <c r="X127" s="44">
        <f t="shared" si="19"/>
        <v>1.6341009102731892</v>
      </c>
      <c r="Y127" s="166">
        <f t="shared" si="24"/>
        <v>24.511513654097836</v>
      </c>
      <c r="AA127" s="131"/>
      <c r="AB127" s="131"/>
      <c r="AC127" s="191"/>
    </row>
    <row r="128" spans="1:29" customFormat="1" ht="15.5" customHeight="1" x14ac:dyDescent="0.25">
      <c r="A128" s="168" t="s">
        <v>189</v>
      </c>
      <c r="B128" s="142" t="s">
        <v>70</v>
      </c>
      <c r="C128" s="113">
        <v>5</v>
      </c>
      <c r="D128" s="141">
        <v>7.1538461538461551</v>
      </c>
      <c r="E128" s="113">
        <f t="shared" si="20"/>
        <v>35.769230769230774</v>
      </c>
      <c r="F128" s="41"/>
      <c r="G128" s="41"/>
      <c r="H128" s="41">
        <f t="shared" si="21"/>
        <v>0</v>
      </c>
      <c r="I128" s="96">
        <f t="shared" si="14"/>
        <v>0</v>
      </c>
      <c r="J128" s="41"/>
      <c r="K128" s="41"/>
      <c r="L128" s="41"/>
      <c r="M128" s="96">
        <f t="shared" si="22"/>
        <v>0</v>
      </c>
      <c r="N128" s="96"/>
      <c r="O128" s="96"/>
      <c r="P128" s="96"/>
      <c r="Q128" s="42">
        <f t="shared" si="15"/>
        <v>5</v>
      </c>
      <c r="R128" s="42">
        <f t="shared" si="16"/>
        <v>7.1538461538461551</v>
      </c>
      <c r="S128" s="42">
        <f t="shared" si="17"/>
        <v>35.769230769230774</v>
      </c>
      <c r="T128" s="93">
        <v>2</v>
      </c>
      <c r="U128" s="41">
        <f t="shared" si="18"/>
        <v>7.1538461538461551</v>
      </c>
      <c r="V128" s="43">
        <f t="shared" si="25"/>
        <v>14.30769230769231</v>
      </c>
      <c r="W128" s="44">
        <f t="shared" si="23"/>
        <v>3</v>
      </c>
      <c r="X128" s="44">
        <f t="shared" si="19"/>
        <v>7.1538461538461551</v>
      </c>
      <c r="Y128" s="166">
        <f t="shared" si="24"/>
        <v>21.461538461538467</v>
      </c>
      <c r="AA128" s="131"/>
      <c r="AB128" s="131"/>
      <c r="AC128" s="191"/>
    </row>
    <row r="129" spans="1:29" customFormat="1" ht="15.5" customHeight="1" x14ac:dyDescent="0.25">
      <c r="A129" s="168" t="s">
        <v>406</v>
      </c>
      <c r="B129" s="140" t="s">
        <v>79</v>
      </c>
      <c r="C129" s="113">
        <v>0</v>
      </c>
      <c r="D129" s="141">
        <v>45.230769230769226</v>
      </c>
      <c r="E129" s="113">
        <f t="shared" si="20"/>
        <v>0</v>
      </c>
      <c r="F129" s="41"/>
      <c r="G129" s="41"/>
      <c r="H129" s="41">
        <f t="shared" si="21"/>
        <v>0</v>
      </c>
      <c r="I129" s="96">
        <f t="shared" si="14"/>
        <v>0</v>
      </c>
      <c r="J129" s="41"/>
      <c r="K129" s="41"/>
      <c r="L129" s="41"/>
      <c r="M129" s="96">
        <f t="shared" si="22"/>
        <v>0</v>
      </c>
      <c r="N129" s="96"/>
      <c r="O129" s="96"/>
      <c r="P129" s="96"/>
      <c r="Q129" s="42">
        <f t="shared" si="15"/>
        <v>0</v>
      </c>
      <c r="R129" s="42" t="str">
        <f t="shared" si="16"/>
        <v>0.00</v>
      </c>
      <c r="S129" s="42">
        <f t="shared" si="17"/>
        <v>0</v>
      </c>
      <c r="T129" s="93">
        <v>0</v>
      </c>
      <c r="U129" s="41" t="str">
        <f t="shared" si="18"/>
        <v>0.00</v>
      </c>
      <c r="V129" s="43">
        <f t="shared" si="25"/>
        <v>0</v>
      </c>
      <c r="W129" s="44">
        <f t="shared" si="23"/>
        <v>0</v>
      </c>
      <c r="X129" s="44" t="str">
        <f t="shared" si="19"/>
        <v>0.00</v>
      </c>
      <c r="Y129" s="166">
        <f t="shared" si="24"/>
        <v>0</v>
      </c>
      <c r="AA129" s="131"/>
      <c r="AB129" s="131"/>
      <c r="AC129" s="191"/>
    </row>
    <row r="130" spans="1:29" customFormat="1" ht="15.5" customHeight="1" x14ac:dyDescent="0.25">
      <c r="A130" s="168" t="s">
        <v>338</v>
      </c>
      <c r="B130" s="140" t="s">
        <v>70</v>
      </c>
      <c r="C130" s="113">
        <v>100</v>
      </c>
      <c r="D130" s="141">
        <v>0.54741243437632547</v>
      </c>
      <c r="E130" s="113">
        <f t="shared" si="20"/>
        <v>54.741243437632548</v>
      </c>
      <c r="F130" s="41"/>
      <c r="G130" s="41"/>
      <c r="H130" s="41">
        <f t="shared" si="21"/>
        <v>0</v>
      </c>
      <c r="I130" s="96">
        <f t="shared" si="14"/>
        <v>0</v>
      </c>
      <c r="J130" s="41"/>
      <c r="K130" s="41"/>
      <c r="L130" s="41"/>
      <c r="M130" s="96">
        <f t="shared" si="22"/>
        <v>0</v>
      </c>
      <c r="N130" s="96"/>
      <c r="O130" s="96"/>
      <c r="P130" s="96"/>
      <c r="Q130" s="42">
        <f t="shared" si="15"/>
        <v>100</v>
      </c>
      <c r="R130" s="42">
        <f t="shared" si="16"/>
        <v>0.54741243437632547</v>
      </c>
      <c r="S130" s="42">
        <f t="shared" si="17"/>
        <v>54.741243437632548</v>
      </c>
      <c r="T130" s="93">
        <v>50</v>
      </c>
      <c r="U130" s="41">
        <f t="shared" si="18"/>
        <v>0.54741243437632547</v>
      </c>
      <c r="V130" s="43">
        <f t="shared" si="25"/>
        <v>27.370621718816274</v>
      </c>
      <c r="W130" s="44">
        <f t="shared" si="23"/>
        <v>50</v>
      </c>
      <c r="X130" s="44">
        <f t="shared" si="19"/>
        <v>0.54741243437632547</v>
      </c>
      <c r="Y130" s="166">
        <f t="shared" si="24"/>
        <v>27.370621718816274</v>
      </c>
      <c r="AA130" s="131"/>
      <c r="AB130" s="131"/>
      <c r="AC130" s="191"/>
    </row>
    <row r="131" spans="1:29" customFormat="1" ht="15.5" customHeight="1" x14ac:dyDescent="0.25">
      <c r="A131" s="168" t="s">
        <v>154</v>
      </c>
      <c r="B131" s="140" t="s">
        <v>70</v>
      </c>
      <c r="C131" s="113">
        <v>70</v>
      </c>
      <c r="D131" s="141">
        <v>0.90822986918515047</v>
      </c>
      <c r="E131" s="113">
        <f t="shared" si="20"/>
        <v>63.576090842960532</v>
      </c>
      <c r="F131" s="41"/>
      <c r="G131" s="41"/>
      <c r="H131" s="41">
        <f t="shared" si="21"/>
        <v>0</v>
      </c>
      <c r="I131" s="96">
        <f t="shared" si="14"/>
        <v>0</v>
      </c>
      <c r="J131" s="41"/>
      <c r="K131" s="41"/>
      <c r="L131" s="41"/>
      <c r="M131" s="96">
        <f t="shared" si="22"/>
        <v>0</v>
      </c>
      <c r="N131" s="96"/>
      <c r="O131" s="96"/>
      <c r="P131" s="96"/>
      <c r="Q131" s="42">
        <f t="shared" si="15"/>
        <v>70</v>
      </c>
      <c r="R131" s="42">
        <f t="shared" si="16"/>
        <v>0.90822986918515047</v>
      </c>
      <c r="S131" s="42">
        <f t="shared" si="17"/>
        <v>63.576090842960532</v>
      </c>
      <c r="T131" s="93">
        <v>30</v>
      </c>
      <c r="U131" s="41">
        <f t="shared" si="18"/>
        <v>0.90822986918515047</v>
      </c>
      <c r="V131" s="43">
        <f t="shared" si="25"/>
        <v>27.246896075554513</v>
      </c>
      <c r="W131" s="44">
        <f t="shared" si="23"/>
        <v>40</v>
      </c>
      <c r="X131" s="44">
        <f t="shared" si="19"/>
        <v>0.90822986918515047</v>
      </c>
      <c r="Y131" s="166">
        <f t="shared" si="24"/>
        <v>36.329194767406022</v>
      </c>
      <c r="AA131" s="131"/>
      <c r="AB131" s="131"/>
      <c r="AC131" s="191"/>
    </row>
    <row r="132" spans="1:29" customFormat="1" ht="15.5" customHeight="1" x14ac:dyDescent="0.25">
      <c r="A132" s="168" t="s">
        <v>155</v>
      </c>
      <c r="B132" s="140" t="s">
        <v>70</v>
      </c>
      <c r="C132" s="113">
        <v>200</v>
      </c>
      <c r="D132" s="141">
        <v>0.51818962003046609</v>
      </c>
      <c r="E132" s="113">
        <f t="shared" si="20"/>
        <v>103.63792400609321</v>
      </c>
      <c r="F132" s="41"/>
      <c r="G132" s="41"/>
      <c r="H132" s="41">
        <f t="shared" si="21"/>
        <v>0</v>
      </c>
      <c r="I132" s="96">
        <f t="shared" si="14"/>
        <v>0</v>
      </c>
      <c r="J132" s="41"/>
      <c r="K132" s="41"/>
      <c r="L132" s="41"/>
      <c r="M132" s="96">
        <f t="shared" si="22"/>
        <v>0</v>
      </c>
      <c r="N132" s="96"/>
      <c r="O132" s="96"/>
      <c r="P132" s="96"/>
      <c r="Q132" s="42">
        <f t="shared" si="15"/>
        <v>200</v>
      </c>
      <c r="R132" s="42">
        <f t="shared" si="16"/>
        <v>0.51818962003046609</v>
      </c>
      <c r="S132" s="42">
        <f t="shared" si="17"/>
        <v>103.63792400609321</v>
      </c>
      <c r="T132" s="93">
        <v>90</v>
      </c>
      <c r="U132" s="41">
        <f t="shared" si="18"/>
        <v>0.51818962003046609</v>
      </c>
      <c r="V132" s="43">
        <f t="shared" si="25"/>
        <v>46.637065802741951</v>
      </c>
      <c r="W132" s="44">
        <f t="shared" si="23"/>
        <v>110</v>
      </c>
      <c r="X132" s="44">
        <f t="shared" si="19"/>
        <v>0.51818962003046609</v>
      </c>
      <c r="Y132" s="166">
        <f t="shared" si="24"/>
        <v>57.000858203351271</v>
      </c>
      <c r="AA132" s="131"/>
      <c r="AB132" s="131"/>
      <c r="AC132" s="191"/>
    </row>
    <row r="133" spans="1:29" customFormat="1" ht="15.5" customHeight="1" x14ac:dyDescent="0.25">
      <c r="A133" s="197" t="s">
        <v>399</v>
      </c>
      <c r="B133" s="140" t="s">
        <v>70</v>
      </c>
      <c r="C133" s="113">
        <v>40</v>
      </c>
      <c r="D133" s="141">
        <v>1.2692307692307692</v>
      </c>
      <c r="E133" s="113">
        <f t="shared" si="20"/>
        <v>50.769230769230766</v>
      </c>
      <c r="F133" s="41"/>
      <c r="G133" s="41"/>
      <c r="H133" s="41">
        <f t="shared" si="21"/>
        <v>0</v>
      </c>
      <c r="I133" s="96">
        <f t="shared" si="14"/>
        <v>0</v>
      </c>
      <c r="J133" s="41"/>
      <c r="K133" s="41"/>
      <c r="L133" s="41"/>
      <c r="M133" s="96">
        <f t="shared" si="22"/>
        <v>0</v>
      </c>
      <c r="N133" s="96"/>
      <c r="O133" s="96"/>
      <c r="P133" s="96"/>
      <c r="Q133" s="42">
        <f t="shared" si="15"/>
        <v>40</v>
      </c>
      <c r="R133" s="42">
        <f t="shared" si="16"/>
        <v>1.2692307692307692</v>
      </c>
      <c r="S133" s="42">
        <f t="shared" si="17"/>
        <v>50.769230769230766</v>
      </c>
      <c r="T133" s="93">
        <v>20</v>
      </c>
      <c r="U133" s="41">
        <f t="shared" si="18"/>
        <v>1.2692307692307692</v>
      </c>
      <c r="V133" s="43">
        <f t="shared" si="25"/>
        <v>25.384615384615383</v>
      </c>
      <c r="W133" s="44">
        <f t="shared" si="23"/>
        <v>20</v>
      </c>
      <c r="X133" s="44">
        <f t="shared" si="19"/>
        <v>1.2692307692307692</v>
      </c>
      <c r="Y133" s="166">
        <f t="shared" si="24"/>
        <v>25.384615384615383</v>
      </c>
      <c r="AA133" s="131"/>
      <c r="AB133" s="131"/>
      <c r="AC133" s="191"/>
    </row>
    <row r="134" spans="1:29" customFormat="1" ht="15.5" customHeight="1" x14ac:dyDescent="0.25">
      <c r="A134" s="197" t="s">
        <v>204</v>
      </c>
      <c r="B134" s="140" t="s">
        <v>70</v>
      </c>
      <c r="C134" s="113">
        <v>60</v>
      </c>
      <c r="D134" s="141">
        <v>1.4615384615384615</v>
      </c>
      <c r="E134" s="113">
        <f t="shared" si="20"/>
        <v>87.692307692307693</v>
      </c>
      <c r="F134" s="41"/>
      <c r="G134" s="41"/>
      <c r="H134" s="41">
        <f t="shared" si="21"/>
        <v>0</v>
      </c>
      <c r="I134" s="96">
        <f t="shared" si="14"/>
        <v>0</v>
      </c>
      <c r="J134" s="41"/>
      <c r="K134" s="41"/>
      <c r="L134" s="41"/>
      <c r="M134" s="96">
        <f t="shared" si="22"/>
        <v>0</v>
      </c>
      <c r="N134" s="96"/>
      <c r="O134" s="96"/>
      <c r="P134" s="96"/>
      <c r="Q134" s="42">
        <f t="shared" si="15"/>
        <v>60</v>
      </c>
      <c r="R134" s="42">
        <f t="shared" si="16"/>
        <v>1.4615384615384615</v>
      </c>
      <c r="S134" s="42">
        <f t="shared" si="17"/>
        <v>87.692307692307693</v>
      </c>
      <c r="T134" s="93">
        <v>25</v>
      </c>
      <c r="U134" s="41">
        <f t="shared" si="18"/>
        <v>1.4615384615384615</v>
      </c>
      <c r="V134" s="43">
        <f t="shared" si="25"/>
        <v>36.538461538461533</v>
      </c>
      <c r="W134" s="44">
        <f t="shared" si="23"/>
        <v>35</v>
      </c>
      <c r="X134" s="44">
        <f t="shared" si="19"/>
        <v>1.4615384615384615</v>
      </c>
      <c r="Y134" s="166">
        <f t="shared" si="24"/>
        <v>51.153846153846153</v>
      </c>
      <c r="AA134" s="131"/>
      <c r="AB134" s="131"/>
      <c r="AC134" s="191"/>
    </row>
    <row r="135" spans="1:29" customFormat="1" ht="15.5" customHeight="1" x14ac:dyDescent="0.25">
      <c r="A135" s="197" t="s">
        <v>203</v>
      </c>
      <c r="B135" s="140" t="s">
        <v>70</v>
      </c>
      <c r="C135" s="113">
        <v>40</v>
      </c>
      <c r="D135" s="141">
        <v>1.0769230769230769</v>
      </c>
      <c r="E135" s="113">
        <f t="shared" si="20"/>
        <v>43.076923076923073</v>
      </c>
      <c r="F135" s="41"/>
      <c r="G135" s="41"/>
      <c r="H135" s="41">
        <f t="shared" si="21"/>
        <v>0</v>
      </c>
      <c r="I135" s="96">
        <f t="shared" si="14"/>
        <v>0</v>
      </c>
      <c r="J135" s="41"/>
      <c r="K135" s="41"/>
      <c r="L135" s="41"/>
      <c r="M135" s="96">
        <f t="shared" si="22"/>
        <v>0</v>
      </c>
      <c r="N135" s="96"/>
      <c r="O135" s="96"/>
      <c r="P135" s="96"/>
      <c r="Q135" s="42">
        <f t="shared" si="15"/>
        <v>40</v>
      </c>
      <c r="R135" s="42">
        <f t="shared" si="16"/>
        <v>1.0769230769230769</v>
      </c>
      <c r="S135" s="42">
        <f t="shared" si="17"/>
        <v>43.076923076923073</v>
      </c>
      <c r="T135" s="93">
        <v>15</v>
      </c>
      <c r="U135" s="41">
        <f t="shared" si="18"/>
        <v>1.0769230769230769</v>
      </c>
      <c r="V135" s="43">
        <f t="shared" si="25"/>
        <v>16.153846153846153</v>
      </c>
      <c r="W135" s="44">
        <f t="shared" si="23"/>
        <v>25</v>
      </c>
      <c r="X135" s="44">
        <f t="shared" si="19"/>
        <v>1.0769230769230769</v>
      </c>
      <c r="Y135" s="166">
        <f t="shared" si="24"/>
        <v>26.923076923076923</v>
      </c>
      <c r="AA135" s="131"/>
      <c r="AB135" s="131"/>
      <c r="AC135" s="191"/>
    </row>
    <row r="136" spans="1:29" customFormat="1" ht="15.5" customHeight="1" x14ac:dyDescent="0.25">
      <c r="A136" s="197" t="s">
        <v>400</v>
      </c>
      <c r="B136" s="140" t="s">
        <v>70</v>
      </c>
      <c r="C136" s="113">
        <v>40</v>
      </c>
      <c r="D136" s="141">
        <v>1.2692307692307692</v>
      </c>
      <c r="E136" s="113">
        <f t="shared" si="20"/>
        <v>50.769230769230766</v>
      </c>
      <c r="F136" s="41"/>
      <c r="G136" s="41"/>
      <c r="H136" s="41">
        <f t="shared" si="21"/>
        <v>0</v>
      </c>
      <c r="I136" s="96">
        <f t="shared" ref="I136:I199" si="26">F136*H136</f>
        <v>0</v>
      </c>
      <c r="J136" s="41"/>
      <c r="K136" s="41"/>
      <c r="L136" s="41"/>
      <c r="M136" s="96">
        <f t="shared" si="22"/>
        <v>0</v>
      </c>
      <c r="N136" s="96"/>
      <c r="O136" s="96"/>
      <c r="P136" s="96"/>
      <c r="Q136" s="42">
        <f t="shared" ref="Q136:Q199" si="27">C136+F136+J136+N136</f>
        <v>40</v>
      </c>
      <c r="R136" s="42">
        <f t="shared" ref="R136:R203" si="28">IF(Q136=0,"0.00",S136/Q136)</f>
        <v>1.2692307692307692</v>
      </c>
      <c r="S136" s="42">
        <f t="shared" ref="S136:S199" si="29">E136+I136+M136+P136</f>
        <v>50.769230769230766</v>
      </c>
      <c r="T136" s="93">
        <v>15</v>
      </c>
      <c r="U136" s="41">
        <f t="shared" ref="U136:U203" si="30">R136</f>
        <v>1.2692307692307692</v>
      </c>
      <c r="V136" s="43">
        <f t="shared" si="25"/>
        <v>19.038461538461537</v>
      </c>
      <c r="W136" s="44">
        <f t="shared" si="23"/>
        <v>25</v>
      </c>
      <c r="X136" s="44">
        <f t="shared" ref="X136:X203" si="31">R136</f>
        <v>1.2692307692307692</v>
      </c>
      <c r="Y136" s="166">
        <f t="shared" si="24"/>
        <v>31.73076923076923</v>
      </c>
      <c r="AA136" s="131"/>
      <c r="AB136" s="131"/>
      <c r="AC136" s="191"/>
    </row>
    <row r="137" spans="1:29" customFormat="1" ht="15.65" customHeight="1" x14ac:dyDescent="0.25">
      <c r="A137" s="168" t="s">
        <v>156</v>
      </c>
      <c r="B137" s="140" t="s">
        <v>70</v>
      </c>
      <c r="C137" s="113">
        <v>40</v>
      </c>
      <c r="D137" s="141">
        <v>1.2692307692307692</v>
      </c>
      <c r="E137" s="113">
        <f t="shared" ref="E137:E204" si="32">C137*D137</f>
        <v>50.769230769230766</v>
      </c>
      <c r="F137" s="41"/>
      <c r="G137" s="41"/>
      <c r="H137" s="41">
        <f t="shared" ref="H137:H200" si="33">G137/1.3</f>
        <v>0</v>
      </c>
      <c r="I137" s="96">
        <f t="shared" si="26"/>
        <v>0</v>
      </c>
      <c r="J137" s="41"/>
      <c r="K137" s="41"/>
      <c r="L137" s="41"/>
      <c r="M137" s="96">
        <f t="shared" ref="M137:M200" si="34">J137*L137</f>
        <v>0</v>
      </c>
      <c r="N137" s="96"/>
      <c r="O137" s="96"/>
      <c r="P137" s="96"/>
      <c r="Q137" s="42">
        <f t="shared" si="27"/>
        <v>40</v>
      </c>
      <c r="R137" s="42">
        <f t="shared" si="28"/>
        <v>1.2692307692307692</v>
      </c>
      <c r="S137" s="42">
        <f t="shared" si="29"/>
        <v>50.769230769230766</v>
      </c>
      <c r="T137" s="93">
        <v>15</v>
      </c>
      <c r="U137" s="41">
        <f t="shared" si="30"/>
        <v>1.2692307692307692</v>
      </c>
      <c r="V137" s="43">
        <f t="shared" si="25"/>
        <v>19.038461538461537</v>
      </c>
      <c r="W137" s="44">
        <f t="shared" ref="W137:W204" si="35">Q137-T137</f>
        <v>25</v>
      </c>
      <c r="X137" s="44">
        <f t="shared" si="31"/>
        <v>1.2692307692307692</v>
      </c>
      <c r="Y137" s="166">
        <f t="shared" si="24"/>
        <v>31.73076923076923</v>
      </c>
      <c r="AA137" s="131"/>
      <c r="AB137" s="131"/>
      <c r="AC137" s="191"/>
    </row>
    <row r="138" spans="1:29" customFormat="1" ht="15.5" customHeight="1" x14ac:dyDescent="0.25">
      <c r="A138" s="175" t="s">
        <v>369</v>
      </c>
      <c r="B138" s="142" t="s">
        <v>79</v>
      </c>
      <c r="C138" s="113">
        <v>7</v>
      </c>
      <c r="D138" s="141">
        <v>2.5384615384615383</v>
      </c>
      <c r="E138" s="113">
        <f t="shared" si="32"/>
        <v>17.769230769230766</v>
      </c>
      <c r="F138" s="41"/>
      <c r="G138" s="41"/>
      <c r="H138" s="41">
        <f t="shared" si="33"/>
        <v>0</v>
      </c>
      <c r="I138" s="96">
        <f t="shared" si="26"/>
        <v>0</v>
      </c>
      <c r="J138" s="41"/>
      <c r="K138" s="41"/>
      <c r="L138" s="41"/>
      <c r="M138" s="96">
        <f t="shared" si="34"/>
        <v>0</v>
      </c>
      <c r="N138" s="96"/>
      <c r="O138" s="96"/>
      <c r="P138" s="96"/>
      <c r="Q138" s="42">
        <f t="shared" si="27"/>
        <v>7</v>
      </c>
      <c r="R138" s="42">
        <f t="shared" si="28"/>
        <v>2.5384615384615379</v>
      </c>
      <c r="S138" s="42">
        <f t="shared" si="29"/>
        <v>17.769230769230766</v>
      </c>
      <c r="T138" s="93">
        <v>4</v>
      </c>
      <c r="U138" s="41">
        <f t="shared" si="30"/>
        <v>2.5384615384615379</v>
      </c>
      <c r="V138" s="43">
        <f t="shared" si="25"/>
        <v>10.153846153846152</v>
      </c>
      <c r="W138" s="44">
        <f t="shared" si="35"/>
        <v>3</v>
      </c>
      <c r="X138" s="44">
        <f t="shared" si="31"/>
        <v>2.5384615384615379</v>
      </c>
      <c r="Y138" s="166">
        <f t="shared" ref="Y138:Y205" si="36">W138*X138</f>
        <v>7.6153846153846132</v>
      </c>
      <c r="AA138" s="131"/>
      <c r="AB138" s="131"/>
      <c r="AC138" s="191"/>
    </row>
    <row r="139" spans="1:29" s="154" customFormat="1" ht="15.5" customHeight="1" x14ac:dyDescent="0.25">
      <c r="A139" s="168" t="s">
        <v>320</v>
      </c>
      <c r="B139" s="140" t="s">
        <v>82</v>
      </c>
      <c r="C139" s="113">
        <v>2000</v>
      </c>
      <c r="D139" s="141">
        <v>0.16718872471612833</v>
      </c>
      <c r="E139" s="113">
        <f t="shared" si="32"/>
        <v>334.37744943225664</v>
      </c>
      <c r="F139" s="41"/>
      <c r="G139" s="41"/>
      <c r="H139" s="41">
        <f t="shared" si="33"/>
        <v>0</v>
      </c>
      <c r="I139" s="96">
        <f t="shared" si="26"/>
        <v>0</v>
      </c>
      <c r="J139" s="41"/>
      <c r="K139" s="41"/>
      <c r="L139" s="41"/>
      <c r="M139" s="96">
        <f t="shared" si="34"/>
        <v>0</v>
      </c>
      <c r="N139" s="95"/>
      <c r="O139" s="95"/>
      <c r="P139" s="95"/>
      <c r="Q139" s="42">
        <f t="shared" si="27"/>
        <v>2000</v>
      </c>
      <c r="R139" s="42">
        <f t="shared" si="28"/>
        <v>0.16718872471612831</v>
      </c>
      <c r="S139" s="42">
        <f t="shared" si="29"/>
        <v>334.37744943225664</v>
      </c>
      <c r="T139" s="93">
        <v>300</v>
      </c>
      <c r="U139" s="41">
        <f t="shared" si="30"/>
        <v>0.16718872471612831</v>
      </c>
      <c r="V139" s="43">
        <f t="shared" ref="V139:V206" si="37">T139*U139</f>
        <v>50.156617414838493</v>
      </c>
      <c r="W139" s="44">
        <f t="shared" si="35"/>
        <v>1700</v>
      </c>
      <c r="X139" s="44">
        <f t="shared" si="31"/>
        <v>0.16718872471612831</v>
      </c>
      <c r="Y139" s="167">
        <f t="shared" si="36"/>
        <v>284.2208320174181</v>
      </c>
      <c r="Z139" s="158"/>
      <c r="AA139" s="131"/>
      <c r="AB139" s="131"/>
      <c r="AC139" s="191"/>
    </row>
    <row r="140" spans="1:29" customFormat="1" ht="15.5" customHeight="1" x14ac:dyDescent="0.25">
      <c r="A140" s="168" t="s">
        <v>230</v>
      </c>
      <c r="B140" s="140" t="s">
        <v>79</v>
      </c>
      <c r="C140" s="113">
        <v>15</v>
      </c>
      <c r="D140" s="141">
        <v>5.0888969355369014</v>
      </c>
      <c r="E140" s="113">
        <f t="shared" si="32"/>
        <v>76.333454033053528</v>
      </c>
      <c r="F140" s="41"/>
      <c r="G140" s="41"/>
      <c r="H140" s="41">
        <f t="shared" si="33"/>
        <v>0</v>
      </c>
      <c r="I140" s="96">
        <f t="shared" si="26"/>
        <v>0</v>
      </c>
      <c r="J140" s="41"/>
      <c r="K140" s="41"/>
      <c r="L140" s="41"/>
      <c r="M140" s="96">
        <f t="shared" si="34"/>
        <v>0</v>
      </c>
      <c r="N140" s="96"/>
      <c r="O140" s="96"/>
      <c r="P140" s="96"/>
      <c r="Q140" s="42">
        <f t="shared" si="27"/>
        <v>15</v>
      </c>
      <c r="R140" s="42">
        <f t="shared" si="28"/>
        <v>5.0888969355369023</v>
      </c>
      <c r="S140" s="42">
        <f t="shared" si="29"/>
        <v>76.333454033053528</v>
      </c>
      <c r="T140" s="93">
        <v>5</v>
      </c>
      <c r="U140" s="41">
        <f t="shared" si="30"/>
        <v>5.0888969355369023</v>
      </c>
      <c r="V140" s="43">
        <f t="shared" si="37"/>
        <v>25.44448467768451</v>
      </c>
      <c r="W140" s="44">
        <f t="shared" si="35"/>
        <v>10</v>
      </c>
      <c r="X140" s="44">
        <f t="shared" si="31"/>
        <v>5.0888969355369023</v>
      </c>
      <c r="Y140" s="166">
        <f t="shared" si="36"/>
        <v>50.888969355369021</v>
      </c>
      <c r="AA140" s="131"/>
      <c r="AB140" s="131"/>
      <c r="AC140" s="191"/>
    </row>
    <row r="141" spans="1:29" customFormat="1" ht="15.5" customHeight="1" x14ac:dyDescent="0.25">
      <c r="A141" s="168" t="s">
        <v>231</v>
      </c>
      <c r="B141" s="140" t="s">
        <v>79</v>
      </c>
      <c r="C141" s="113">
        <v>10</v>
      </c>
      <c r="D141" s="141">
        <v>1.8846153846153846</v>
      </c>
      <c r="E141" s="113">
        <f t="shared" si="32"/>
        <v>18.846153846153847</v>
      </c>
      <c r="F141" s="41"/>
      <c r="G141" s="41"/>
      <c r="H141" s="41">
        <f t="shared" si="33"/>
        <v>0</v>
      </c>
      <c r="I141" s="96">
        <f t="shared" si="26"/>
        <v>0</v>
      </c>
      <c r="J141" s="41"/>
      <c r="K141" s="41"/>
      <c r="L141" s="41"/>
      <c r="M141" s="96">
        <f t="shared" si="34"/>
        <v>0</v>
      </c>
      <c r="N141" s="96"/>
      <c r="O141" s="96"/>
      <c r="P141" s="96"/>
      <c r="Q141" s="42">
        <f t="shared" si="27"/>
        <v>10</v>
      </c>
      <c r="R141" s="42">
        <f t="shared" si="28"/>
        <v>1.8846153846153846</v>
      </c>
      <c r="S141" s="42">
        <f t="shared" si="29"/>
        <v>18.846153846153847</v>
      </c>
      <c r="T141" s="93">
        <v>5</v>
      </c>
      <c r="U141" s="41">
        <f t="shared" si="30"/>
        <v>1.8846153846153846</v>
      </c>
      <c r="V141" s="43">
        <f t="shared" si="37"/>
        <v>9.4230769230769234</v>
      </c>
      <c r="W141" s="44">
        <f t="shared" si="35"/>
        <v>5</v>
      </c>
      <c r="X141" s="44">
        <f t="shared" si="31"/>
        <v>1.8846153846153846</v>
      </c>
      <c r="Y141" s="166">
        <f t="shared" si="36"/>
        <v>9.4230769230769234</v>
      </c>
      <c r="AA141" s="131"/>
      <c r="AB141" s="131"/>
      <c r="AC141" s="191"/>
    </row>
    <row r="142" spans="1:29" customFormat="1" ht="15.5" customHeight="1" x14ac:dyDescent="0.25">
      <c r="A142" s="168" t="s">
        <v>157</v>
      </c>
      <c r="B142" s="140" t="s">
        <v>79</v>
      </c>
      <c r="C142" s="113">
        <v>30</v>
      </c>
      <c r="D142" s="141">
        <v>1.5762739268069503</v>
      </c>
      <c r="E142" s="113">
        <f t="shared" si="32"/>
        <v>47.288217804208507</v>
      </c>
      <c r="F142" s="41"/>
      <c r="G142" s="41"/>
      <c r="H142" s="41">
        <f t="shared" si="33"/>
        <v>0</v>
      </c>
      <c r="I142" s="96">
        <f t="shared" si="26"/>
        <v>0</v>
      </c>
      <c r="J142" s="41"/>
      <c r="K142" s="41"/>
      <c r="L142" s="41"/>
      <c r="M142" s="96">
        <f t="shared" si="34"/>
        <v>0</v>
      </c>
      <c r="N142" s="96"/>
      <c r="O142" s="96"/>
      <c r="P142" s="96"/>
      <c r="Q142" s="42">
        <f t="shared" si="27"/>
        <v>30</v>
      </c>
      <c r="R142" s="42">
        <f t="shared" si="28"/>
        <v>1.5762739268069503</v>
      </c>
      <c r="S142" s="42">
        <f t="shared" si="29"/>
        <v>47.288217804208507</v>
      </c>
      <c r="T142" s="93">
        <v>5</v>
      </c>
      <c r="U142" s="41">
        <f t="shared" si="30"/>
        <v>1.5762739268069503</v>
      </c>
      <c r="V142" s="43">
        <f t="shared" si="37"/>
        <v>7.8813696340347512</v>
      </c>
      <c r="W142" s="44">
        <f t="shared" si="35"/>
        <v>25</v>
      </c>
      <c r="X142" s="44">
        <f t="shared" si="31"/>
        <v>1.5762739268069503</v>
      </c>
      <c r="Y142" s="166">
        <f t="shared" si="36"/>
        <v>39.40684817017376</v>
      </c>
      <c r="AA142" s="131"/>
      <c r="AB142" s="131"/>
      <c r="AC142" s="191"/>
    </row>
    <row r="143" spans="1:29" customFormat="1" ht="15.65" customHeight="1" x14ac:dyDescent="0.25">
      <c r="A143" s="168" t="s">
        <v>158</v>
      </c>
      <c r="B143" s="140" t="s">
        <v>79</v>
      </c>
      <c r="C143" s="113">
        <v>10</v>
      </c>
      <c r="D143" s="141">
        <v>1.8792628205128206</v>
      </c>
      <c r="E143" s="113">
        <f t="shared" si="32"/>
        <v>18.792628205128207</v>
      </c>
      <c r="F143" s="41"/>
      <c r="G143" s="41"/>
      <c r="H143" s="41">
        <f t="shared" si="33"/>
        <v>0</v>
      </c>
      <c r="I143" s="96">
        <f t="shared" si="26"/>
        <v>0</v>
      </c>
      <c r="J143" s="41"/>
      <c r="K143" s="41"/>
      <c r="L143" s="41"/>
      <c r="M143" s="96">
        <f t="shared" si="34"/>
        <v>0</v>
      </c>
      <c r="N143" s="96"/>
      <c r="O143" s="96"/>
      <c r="P143" s="96"/>
      <c r="Q143" s="42">
        <f t="shared" si="27"/>
        <v>10</v>
      </c>
      <c r="R143" s="42">
        <f t="shared" si="28"/>
        <v>1.8792628205128206</v>
      </c>
      <c r="S143" s="42">
        <f t="shared" si="29"/>
        <v>18.792628205128207</v>
      </c>
      <c r="T143" s="93">
        <v>0</v>
      </c>
      <c r="U143" s="41">
        <f t="shared" si="30"/>
        <v>1.8792628205128206</v>
      </c>
      <c r="V143" s="43">
        <f t="shared" si="37"/>
        <v>0</v>
      </c>
      <c r="W143" s="44">
        <f t="shared" si="35"/>
        <v>10</v>
      </c>
      <c r="X143" s="44">
        <f t="shared" si="31"/>
        <v>1.8792628205128206</v>
      </c>
      <c r="Y143" s="166">
        <f t="shared" si="36"/>
        <v>18.792628205128207</v>
      </c>
      <c r="AA143" s="131"/>
      <c r="AB143" s="131"/>
      <c r="AC143" s="191"/>
    </row>
    <row r="144" spans="1:29" customFormat="1" ht="15.5" customHeight="1" x14ac:dyDescent="0.25">
      <c r="A144" s="168" t="s">
        <v>159</v>
      </c>
      <c r="B144" s="140" t="s">
        <v>79</v>
      </c>
      <c r="C144" s="113">
        <v>30</v>
      </c>
      <c r="D144" s="141">
        <v>0.7830820560884465</v>
      </c>
      <c r="E144" s="113">
        <f t="shared" si="32"/>
        <v>23.492461682653396</v>
      </c>
      <c r="F144" s="41"/>
      <c r="G144" s="41"/>
      <c r="H144" s="41">
        <f t="shared" si="33"/>
        <v>0</v>
      </c>
      <c r="I144" s="96">
        <f t="shared" si="26"/>
        <v>0</v>
      </c>
      <c r="J144" s="41"/>
      <c r="K144" s="41"/>
      <c r="L144" s="41"/>
      <c r="M144" s="96">
        <f t="shared" si="34"/>
        <v>0</v>
      </c>
      <c r="N144" s="96"/>
      <c r="O144" s="96"/>
      <c r="P144" s="96"/>
      <c r="Q144" s="42">
        <f t="shared" si="27"/>
        <v>30</v>
      </c>
      <c r="R144" s="42">
        <f t="shared" si="28"/>
        <v>0.7830820560884465</v>
      </c>
      <c r="S144" s="42">
        <f t="shared" si="29"/>
        <v>23.492461682653396</v>
      </c>
      <c r="T144" s="93">
        <v>0</v>
      </c>
      <c r="U144" s="41">
        <f t="shared" si="30"/>
        <v>0.7830820560884465</v>
      </c>
      <c r="V144" s="43">
        <f t="shared" si="37"/>
        <v>0</v>
      </c>
      <c r="W144" s="44">
        <f t="shared" si="35"/>
        <v>30</v>
      </c>
      <c r="X144" s="44">
        <f t="shared" si="31"/>
        <v>0.7830820560884465</v>
      </c>
      <c r="Y144" s="166">
        <f t="shared" si="36"/>
        <v>23.492461682653396</v>
      </c>
      <c r="AA144" s="131"/>
      <c r="AB144" s="131"/>
      <c r="AC144" s="191"/>
    </row>
    <row r="145" spans="1:29" customFormat="1" ht="15.65" customHeight="1" x14ac:dyDescent="0.25">
      <c r="A145" s="168" t="s">
        <v>68</v>
      </c>
      <c r="B145" s="140" t="s">
        <v>79</v>
      </c>
      <c r="C145" s="113">
        <v>40</v>
      </c>
      <c r="D145" s="141">
        <v>1.1374215315125631</v>
      </c>
      <c r="E145" s="113">
        <f t="shared" si="32"/>
        <v>45.496861260502527</v>
      </c>
      <c r="F145" s="41"/>
      <c r="G145" s="41"/>
      <c r="H145" s="41">
        <f t="shared" si="33"/>
        <v>0</v>
      </c>
      <c r="I145" s="96">
        <f t="shared" si="26"/>
        <v>0</v>
      </c>
      <c r="J145" s="41"/>
      <c r="K145" s="41"/>
      <c r="L145" s="41"/>
      <c r="M145" s="96">
        <f t="shared" si="34"/>
        <v>0</v>
      </c>
      <c r="N145" s="96"/>
      <c r="O145" s="96"/>
      <c r="P145" s="96"/>
      <c r="Q145" s="42">
        <f t="shared" si="27"/>
        <v>40</v>
      </c>
      <c r="R145" s="42">
        <f t="shared" si="28"/>
        <v>1.1374215315125631</v>
      </c>
      <c r="S145" s="42">
        <f t="shared" si="29"/>
        <v>45.496861260502527</v>
      </c>
      <c r="T145" s="93">
        <v>8</v>
      </c>
      <c r="U145" s="41">
        <f t="shared" si="30"/>
        <v>1.1374215315125631</v>
      </c>
      <c r="V145" s="43">
        <f t="shared" si="37"/>
        <v>9.0993722521005047</v>
      </c>
      <c r="W145" s="44">
        <f t="shared" si="35"/>
        <v>32</v>
      </c>
      <c r="X145" s="44">
        <f t="shared" si="31"/>
        <v>1.1374215315125631</v>
      </c>
      <c r="Y145" s="166">
        <f t="shared" si="36"/>
        <v>36.397489008402019</v>
      </c>
      <c r="AA145" s="131"/>
      <c r="AB145" s="131"/>
      <c r="AC145" s="191"/>
    </row>
    <row r="146" spans="1:29" customFormat="1" ht="15.5" customHeight="1" x14ac:dyDescent="0.25">
      <c r="A146" s="168" t="s">
        <v>160</v>
      </c>
      <c r="B146" s="140" t="s">
        <v>79</v>
      </c>
      <c r="C146" s="113">
        <v>15</v>
      </c>
      <c r="D146" s="141">
        <v>1.0779513918539048</v>
      </c>
      <c r="E146" s="113">
        <f t="shared" si="32"/>
        <v>16.169270877808572</v>
      </c>
      <c r="F146" s="41"/>
      <c r="G146" s="41"/>
      <c r="H146" s="41">
        <f t="shared" si="33"/>
        <v>0</v>
      </c>
      <c r="I146" s="96">
        <f t="shared" si="26"/>
        <v>0</v>
      </c>
      <c r="J146" s="41"/>
      <c r="K146" s="41"/>
      <c r="L146" s="41"/>
      <c r="M146" s="96">
        <f t="shared" si="34"/>
        <v>0</v>
      </c>
      <c r="N146" s="96"/>
      <c r="O146" s="96"/>
      <c r="P146" s="96"/>
      <c r="Q146" s="42">
        <f t="shared" si="27"/>
        <v>15</v>
      </c>
      <c r="R146" s="42">
        <f t="shared" si="28"/>
        <v>1.0779513918539048</v>
      </c>
      <c r="S146" s="42">
        <f t="shared" si="29"/>
        <v>16.169270877808572</v>
      </c>
      <c r="T146" s="93">
        <v>2</v>
      </c>
      <c r="U146" s="41">
        <f t="shared" si="30"/>
        <v>1.0779513918539048</v>
      </c>
      <c r="V146" s="43">
        <f t="shared" si="37"/>
        <v>2.1559027837078095</v>
      </c>
      <c r="W146" s="44">
        <f t="shared" si="35"/>
        <v>13</v>
      </c>
      <c r="X146" s="44">
        <f t="shared" si="31"/>
        <v>1.0779513918539048</v>
      </c>
      <c r="Y146" s="166">
        <f t="shared" si="36"/>
        <v>14.013368094100763</v>
      </c>
      <c r="AA146" s="131"/>
      <c r="AB146" s="131"/>
      <c r="AC146" s="191"/>
    </row>
    <row r="147" spans="1:29" customFormat="1" ht="15.5" customHeight="1" x14ac:dyDescent="0.25">
      <c r="A147" s="168" t="s">
        <v>232</v>
      </c>
      <c r="B147" s="140" t="s">
        <v>79</v>
      </c>
      <c r="C147" s="113">
        <v>10</v>
      </c>
      <c r="D147" s="141">
        <v>2.9534705869866644</v>
      </c>
      <c r="E147" s="113">
        <f t="shared" si="32"/>
        <v>29.534705869866645</v>
      </c>
      <c r="F147" s="41"/>
      <c r="G147" s="41"/>
      <c r="H147" s="41">
        <f t="shared" si="33"/>
        <v>0</v>
      </c>
      <c r="I147" s="96">
        <f t="shared" si="26"/>
        <v>0</v>
      </c>
      <c r="J147" s="41"/>
      <c r="K147" s="41"/>
      <c r="L147" s="41"/>
      <c r="M147" s="96">
        <f t="shared" si="34"/>
        <v>0</v>
      </c>
      <c r="N147" s="96"/>
      <c r="O147" s="96"/>
      <c r="P147" s="96"/>
      <c r="Q147" s="42">
        <f t="shared" si="27"/>
        <v>10</v>
      </c>
      <c r="R147" s="42">
        <f t="shared" si="28"/>
        <v>2.9534705869866644</v>
      </c>
      <c r="S147" s="42">
        <f t="shared" si="29"/>
        <v>29.534705869866645</v>
      </c>
      <c r="T147" s="93">
        <v>2</v>
      </c>
      <c r="U147" s="41">
        <f t="shared" si="30"/>
        <v>2.9534705869866644</v>
      </c>
      <c r="V147" s="43">
        <f t="shared" si="37"/>
        <v>5.9069411739733289</v>
      </c>
      <c r="W147" s="44">
        <f t="shared" si="35"/>
        <v>8</v>
      </c>
      <c r="X147" s="44">
        <f t="shared" si="31"/>
        <v>2.9534705869866644</v>
      </c>
      <c r="Y147" s="166">
        <f t="shared" si="36"/>
        <v>23.627764695893315</v>
      </c>
      <c r="AA147" s="131"/>
      <c r="AB147" s="131"/>
      <c r="AC147" s="191"/>
    </row>
    <row r="148" spans="1:29" customFormat="1" ht="15.5" customHeight="1" x14ac:dyDescent="0.25">
      <c r="A148" s="168" t="s">
        <v>233</v>
      </c>
      <c r="B148" s="140" t="s">
        <v>79</v>
      </c>
      <c r="C148" s="113">
        <v>6</v>
      </c>
      <c r="D148" s="141">
        <v>3.6666194068929427</v>
      </c>
      <c r="E148" s="113">
        <f t="shared" si="32"/>
        <v>21.999716441357656</v>
      </c>
      <c r="F148" s="41"/>
      <c r="G148" s="41"/>
      <c r="H148" s="41">
        <f t="shared" si="33"/>
        <v>0</v>
      </c>
      <c r="I148" s="96">
        <f t="shared" si="26"/>
        <v>0</v>
      </c>
      <c r="J148" s="41"/>
      <c r="K148" s="41"/>
      <c r="L148" s="41"/>
      <c r="M148" s="96">
        <f t="shared" si="34"/>
        <v>0</v>
      </c>
      <c r="N148" s="96"/>
      <c r="O148" s="96"/>
      <c r="P148" s="96"/>
      <c r="Q148" s="42">
        <f t="shared" si="27"/>
        <v>6</v>
      </c>
      <c r="R148" s="42">
        <f t="shared" si="28"/>
        <v>3.6666194068929427</v>
      </c>
      <c r="S148" s="42">
        <f t="shared" si="29"/>
        <v>21.999716441357656</v>
      </c>
      <c r="T148" s="93">
        <v>2</v>
      </c>
      <c r="U148" s="41">
        <f t="shared" si="30"/>
        <v>3.6666194068929427</v>
      </c>
      <c r="V148" s="43">
        <f t="shared" si="37"/>
        <v>7.3332388137858855</v>
      </c>
      <c r="W148" s="44">
        <f t="shared" si="35"/>
        <v>4</v>
      </c>
      <c r="X148" s="44">
        <f t="shared" si="31"/>
        <v>3.6666194068929427</v>
      </c>
      <c r="Y148" s="166">
        <f t="shared" si="36"/>
        <v>14.666477627571771</v>
      </c>
      <c r="AA148" s="131"/>
      <c r="AB148" s="131"/>
      <c r="AC148" s="191"/>
    </row>
    <row r="149" spans="1:29" customFormat="1" ht="15.5" customHeight="1" x14ac:dyDescent="0.25">
      <c r="A149" s="168" t="s">
        <v>407</v>
      </c>
      <c r="B149" s="140" t="s">
        <v>82</v>
      </c>
      <c r="C149" s="113">
        <v>0</v>
      </c>
      <c r="D149" s="141">
        <v>2.2692307692307692</v>
      </c>
      <c r="E149" s="113">
        <f t="shared" si="32"/>
        <v>0</v>
      </c>
      <c r="F149" s="41"/>
      <c r="G149" s="41"/>
      <c r="H149" s="41">
        <f t="shared" si="33"/>
        <v>0</v>
      </c>
      <c r="I149" s="96">
        <f t="shared" si="26"/>
        <v>0</v>
      </c>
      <c r="J149" s="41"/>
      <c r="K149" s="41"/>
      <c r="L149" s="41"/>
      <c r="M149" s="96">
        <f t="shared" si="34"/>
        <v>0</v>
      </c>
      <c r="N149" s="96"/>
      <c r="O149" s="96"/>
      <c r="P149" s="96"/>
      <c r="Q149" s="42">
        <f t="shared" si="27"/>
        <v>0</v>
      </c>
      <c r="R149" s="42" t="str">
        <f t="shared" si="28"/>
        <v>0.00</v>
      </c>
      <c r="S149" s="42">
        <f t="shared" si="29"/>
        <v>0</v>
      </c>
      <c r="T149" s="93">
        <v>0</v>
      </c>
      <c r="U149" s="41" t="str">
        <f t="shared" si="30"/>
        <v>0.00</v>
      </c>
      <c r="V149" s="43">
        <f t="shared" si="37"/>
        <v>0</v>
      </c>
      <c r="W149" s="44">
        <f t="shared" si="35"/>
        <v>0</v>
      </c>
      <c r="X149" s="44" t="str">
        <f t="shared" si="31"/>
        <v>0.00</v>
      </c>
      <c r="Y149" s="166">
        <f t="shared" si="36"/>
        <v>0</v>
      </c>
      <c r="AA149" s="131"/>
      <c r="AB149" s="131"/>
      <c r="AC149" s="191"/>
    </row>
    <row r="150" spans="1:29" customFormat="1" ht="15.5" customHeight="1" x14ac:dyDescent="0.25">
      <c r="A150" s="168" t="s">
        <v>234</v>
      </c>
      <c r="B150" s="140" t="s">
        <v>79</v>
      </c>
      <c r="C150" s="113">
        <v>10</v>
      </c>
      <c r="D150" s="141">
        <v>1.8846153846153846</v>
      </c>
      <c r="E150" s="113">
        <f t="shared" si="32"/>
        <v>18.846153846153847</v>
      </c>
      <c r="F150" s="41"/>
      <c r="G150" s="41"/>
      <c r="H150" s="41">
        <f t="shared" si="33"/>
        <v>0</v>
      </c>
      <c r="I150" s="96">
        <f t="shared" si="26"/>
        <v>0</v>
      </c>
      <c r="J150" s="41"/>
      <c r="K150" s="41"/>
      <c r="L150" s="41"/>
      <c r="M150" s="96">
        <f t="shared" si="34"/>
        <v>0</v>
      </c>
      <c r="N150" s="96"/>
      <c r="O150" s="96"/>
      <c r="P150" s="96"/>
      <c r="Q150" s="42">
        <f t="shared" si="27"/>
        <v>10</v>
      </c>
      <c r="R150" s="42">
        <f t="shared" si="28"/>
        <v>1.8846153846153846</v>
      </c>
      <c r="S150" s="42">
        <f t="shared" si="29"/>
        <v>18.846153846153847</v>
      </c>
      <c r="T150" s="93">
        <v>0</v>
      </c>
      <c r="U150" s="41">
        <f t="shared" si="30"/>
        <v>1.8846153846153846</v>
      </c>
      <c r="V150" s="43">
        <f t="shared" si="37"/>
        <v>0</v>
      </c>
      <c r="W150" s="44">
        <f t="shared" si="35"/>
        <v>10</v>
      </c>
      <c r="X150" s="44">
        <f t="shared" si="31"/>
        <v>1.8846153846153846</v>
      </c>
      <c r="Y150" s="166">
        <f t="shared" si="36"/>
        <v>18.846153846153847</v>
      </c>
      <c r="AA150" s="131"/>
      <c r="AB150" s="131"/>
      <c r="AC150" s="191"/>
    </row>
    <row r="151" spans="1:29" customFormat="1" ht="15.5" customHeight="1" x14ac:dyDescent="0.25">
      <c r="A151" s="168" t="s">
        <v>235</v>
      </c>
      <c r="B151" s="140" t="s">
        <v>79</v>
      </c>
      <c r="C151" s="113">
        <v>0</v>
      </c>
      <c r="D151" s="141">
        <v>2.5776566757493193</v>
      </c>
      <c r="E151" s="113">
        <f t="shared" si="32"/>
        <v>0</v>
      </c>
      <c r="F151" s="41"/>
      <c r="G151" s="41"/>
      <c r="H151" s="41">
        <f t="shared" si="33"/>
        <v>0</v>
      </c>
      <c r="I151" s="96">
        <f t="shared" si="26"/>
        <v>0</v>
      </c>
      <c r="J151" s="41"/>
      <c r="K151" s="41"/>
      <c r="L151" s="41"/>
      <c r="M151" s="96">
        <f t="shared" si="34"/>
        <v>0</v>
      </c>
      <c r="N151" s="96"/>
      <c r="O151" s="96"/>
      <c r="P151" s="96"/>
      <c r="Q151" s="42">
        <f t="shared" si="27"/>
        <v>0</v>
      </c>
      <c r="R151" s="42" t="str">
        <f t="shared" si="28"/>
        <v>0.00</v>
      </c>
      <c r="S151" s="42">
        <f t="shared" si="29"/>
        <v>0</v>
      </c>
      <c r="T151" s="93">
        <v>0</v>
      </c>
      <c r="U151" s="41" t="str">
        <f t="shared" si="30"/>
        <v>0.00</v>
      </c>
      <c r="V151" s="43">
        <f t="shared" si="37"/>
        <v>0</v>
      </c>
      <c r="W151" s="44">
        <f t="shared" si="35"/>
        <v>0</v>
      </c>
      <c r="X151" s="44" t="str">
        <f t="shared" si="31"/>
        <v>0.00</v>
      </c>
      <c r="Y151" s="166">
        <f t="shared" si="36"/>
        <v>0</v>
      </c>
      <c r="AA151" s="131"/>
      <c r="AB151" s="131"/>
      <c r="AC151" s="191"/>
    </row>
    <row r="152" spans="1:29" customFormat="1" ht="15.5" customHeight="1" x14ac:dyDescent="0.25">
      <c r="A152" s="168" t="s">
        <v>236</v>
      </c>
      <c r="B152" s="140" t="s">
        <v>79</v>
      </c>
      <c r="C152" s="113">
        <v>7</v>
      </c>
      <c r="D152" s="141">
        <v>1.9907814923496125</v>
      </c>
      <c r="E152" s="113">
        <f t="shared" si="32"/>
        <v>13.935470446447288</v>
      </c>
      <c r="F152" s="41"/>
      <c r="G152" s="41"/>
      <c r="H152" s="41">
        <f t="shared" si="33"/>
        <v>0</v>
      </c>
      <c r="I152" s="96">
        <f t="shared" si="26"/>
        <v>0</v>
      </c>
      <c r="J152" s="41"/>
      <c r="K152" s="41"/>
      <c r="L152" s="41"/>
      <c r="M152" s="96">
        <f t="shared" si="34"/>
        <v>0</v>
      </c>
      <c r="N152" s="96"/>
      <c r="O152" s="96"/>
      <c r="P152" s="96"/>
      <c r="Q152" s="42">
        <f t="shared" si="27"/>
        <v>7</v>
      </c>
      <c r="R152" s="42">
        <f t="shared" si="28"/>
        <v>1.9907814923496125</v>
      </c>
      <c r="S152" s="42">
        <f t="shared" si="29"/>
        <v>13.935470446447288</v>
      </c>
      <c r="T152" s="93">
        <v>0</v>
      </c>
      <c r="U152" s="41">
        <f t="shared" si="30"/>
        <v>1.9907814923496125</v>
      </c>
      <c r="V152" s="43">
        <f t="shared" si="37"/>
        <v>0</v>
      </c>
      <c r="W152" s="44">
        <f t="shared" si="35"/>
        <v>7</v>
      </c>
      <c r="X152" s="44">
        <f t="shared" si="31"/>
        <v>1.9907814923496125</v>
      </c>
      <c r="Y152" s="166">
        <f t="shared" si="36"/>
        <v>13.935470446447288</v>
      </c>
      <c r="AA152" s="131"/>
      <c r="AB152" s="131"/>
      <c r="AC152" s="191"/>
    </row>
    <row r="153" spans="1:29" customFormat="1" ht="15.5" customHeight="1" x14ac:dyDescent="0.25">
      <c r="A153" s="168" t="s">
        <v>237</v>
      </c>
      <c r="B153" s="140" t="s">
        <v>79</v>
      </c>
      <c r="C153" s="113">
        <v>20</v>
      </c>
      <c r="D153" s="141">
        <v>2.1748669718257481</v>
      </c>
      <c r="E153" s="113">
        <f t="shared" si="32"/>
        <v>43.497339436514963</v>
      </c>
      <c r="F153" s="41"/>
      <c r="G153" s="41"/>
      <c r="H153" s="41">
        <f t="shared" si="33"/>
        <v>0</v>
      </c>
      <c r="I153" s="96">
        <f t="shared" si="26"/>
        <v>0</v>
      </c>
      <c r="J153" s="41"/>
      <c r="K153" s="41"/>
      <c r="L153" s="41"/>
      <c r="M153" s="96">
        <f t="shared" si="34"/>
        <v>0</v>
      </c>
      <c r="N153" s="96"/>
      <c r="O153" s="96"/>
      <c r="P153" s="96"/>
      <c r="Q153" s="42">
        <f t="shared" si="27"/>
        <v>20</v>
      </c>
      <c r="R153" s="42">
        <f t="shared" si="28"/>
        <v>2.1748669718257481</v>
      </c>
      <c r="S153" s="42">
        <f t="shared" si="29"/>
        <v>43.497339436514963</v>
      </c>
      <c r="T153" s="93">
        <v>5</v>
      </c>
      <c r="U153" s="41">
        <f t="shared" si="30"/>
        <v>2.1748669718257481</v>
      </c>
      <c r="V153" s="43">
        <f t="shared" si="37"/>
        <v>10.874334859128741</v>
      </c>
      <c r="W153" s="44">
        <f t="shared" si="35"/>
        <v>15</v>
      </c>
      <c r="X153" s="44">
        <f t="shared" si="31"/>
        <v>2.1748669718257481</v>
      </c>
      <c r="Y153" s="166">
        <f t="shared" si="36"/>
        <v>32.623004577386219</v>
      </c>
      <c r="AA153" s="131"/>
      <c r="AB153" s="131"/>
      <c r="AC153" s="191"/>
    </row>
    <row r="154" spans="1:29" customFormat="1" ht="15.5" customHeight="1" x14ac:dyDescent="0.25">
      <c r="A154" s="168" t="s">
        <v>238</v>
      </c>
      <c r="B154" s="140" t="s">
        <v>79</v>
      </c>
      <c r="C154" s="113">
        <v>5</v>
      </c>
      <c r="D154" s="141">
        <v>4.7729511632781385</v>
      </c>
      <c r="E154" s="113">
        <f t="shared" si="32"/>
        <v>23.864755816390691</v>
      </c>
      <c r="F154" s="41"/>
      <c r="G154" s="41"/>
      <c r="H154" s="41">
        <f t="shared" si="33"/>
        <v>0</v>
      </c>
      <c r="I154" s="96">
        <f t="shared" si="26"/>
        <v>0</v>
      </c>
      <c r="J154" s="41"/>
      <c r="K154" s="41"/>
      <c r="L154" s="41"/>
      <c r="M154" s="96">
        <f t="shared" si="34"/>
        <v>0</v>
      </c>
      <c r="N154" s="96"/>
      <c r="O154" s="96"/>
      <c r="P154" s="96"/>
      <c r="Q154" s="42">
        <f t="shared" si="27"/>
        <v>5</v>
      </c>
      <c r="R154" s="42">
        <f t="shared" si="28"/>
        <v>4.7729511632781385</v>
      </c>
      <c r="S154" s="42">
        <f t="shared" si="29"/>
        <v>23.864755816390691</v>
      </c>
      <c r="T154" s="93">
        <v>0</v>
      </c>
      <c r="U154" s="41">
        <f t="shared" si="30"/>
        <v>4.7729511632781385</v>
      </c>
      <c r="V154" s="43">
        <f t="shared" si="37"/>
        <v>0</v>
      </c>
      <c r="W154" s="44">
        <f t="shared" si="35"/>
        <v>5</v>
      </c>
      <c r="X154" s="44">
        <f t="shared" si="31"/>
        <v>4.7729511632781385</v>
      </c>
      <c r="Y154" s="166">
        <f t="shared" si="36"/>
        <v>23.864755816390691</v>
      </c>
      <c r="AA154" s="131"/>
      <c r="AB154" s="131"/>
      <c r="AC154" s="191"/>
    </row>
    <row r="155" spans="1:29" customFormat="1" ht="15.65" customHeight="1" x14ac:dyDescent="0.25">
      <c r="A155" s="168" t="s">
        <v>83</v>
      </c>
      <c r="B155" s="140" t="s">
        <v>79</v>
      </c>
      <c r="C155" s="113">
        <v>4</v>
      </c>
      <c r="D155" s="141">
        <v>6.7633556906308945</v>
      </c>
      <c r="E155" s="113">
        <f t="shared" si="32"/>
        <v>27.053422762523578</v>
      </c>
      <c r="F155" s="41"/>
      <c r="G155" s="41"/>
      <c r="H155" s="41">
        <f t="shared" si="33"/>
        <v>0</v>
      </c>
      <c r="I155" s="96">
        <f t="shared" si="26"/>
        <v>0</v>
      </c>
      <c r="J155" s="41"/>
      <c r="K155" s="41"/>
      <c r="L155" s="41"/>
      <c r="M155" s="96">
        <f t="shared" si="34"/>
        <v>0</v>
      </c>
      <c r="N155" s="96"/>
      <c r="O155" s="96"/>
      <c r="P155" s="96"/>
      <c r="Q155" s="42">
        <f t="shared" si="27"/>
        <v>4</v>
      </c>
      <c r="R155" s="42">
        <f t="shared" si="28"/>
        <v>6.7633556906308945</v>
      </c>
      <c r="S155" s="42">
        <f t="shared" si="29"/>
        <v>27.053422762523578</v>
      </c>
      <c r="T155" s="93">
        <v>0</v>
      </c>
      <c r="U155" s="41">
        <f t="shared" si="30"/>
        <v>6.7633556906308945</v>
      </c>
      <c r="V155" s="43">
        <f t="shared" si="37"/>
        <v>0</v>
      </c>
      <c r="W155" s="44">
        <f t="shared" si="35"/>
        <v>4</v>
      </c>
      <c r="X155" s="44">
        <f t="shared" si="31"/>
        <v>6.7633556906308945</v>
      </c>
      <c r="Y155" s="166">
        <f t="shared" si="36"/>
        <v>27.053422762523578</v>
      </c>
      <c r="AA155" s="131"/>
      <c r="AB155" s="131"/>
      <c r="AC155" s="191"/>
    </row>
    <row r="156" spans="1:29" customFormat="1" ht="15.5" customHeight="1" x14ac:dyDescent="0.25">
      <c r="A156" s="168" t="s">
        <v>161</v>
      </c>
      <c r="B156" s="140" t="s">
        <v>79</v>
      </c>
      <c r="C156" s="113">
        <v>4</v>
      </c>
      <c r="D156" s="141">
        <v>5.247973869908475</v>
      </c>
      <c r="E156" s="113">
        <f t="shared" si="32"/>
        <v>20.9918954796339</v>
      </c>
      <c r="F156" s="41"/>
      <c r="G156" s="41"/>
      <c r="H156" s="41">
        <f t="shared" si="33"/>
        <v>0</v>
      </c>
      <c r="I156" s="96">
        <f t="shared" si="26"/>
        <v>0</v>
      </c>
      <c r="J156" s="41"/>
      <c r="K156" s="41"/>
      <c r="L156" s="41"/>
      <c r="M156" s="96">
        <f t="shared" si="34"/>
        <v>0</v>
      </c>
      <c r="N156" s="96"/>
      <c r="O156" s="96"/>
      <c r="P156" s="96"/>
      <c r="Q156" s="42">
        <f t="shared" si="27"/>
        <v>4</v>
      </c>
      <c r="R156" s="42">
        <f t="shared" si="28"/>
        <v>5.247973869908475</v>
      </c>
      <c r="S156" s="42">
        <f t="shared" si="29"/>
        <v>20.9918954796339</v>
      </c>
      <c r="T156" s="93">
        <v>0</v>
      </c>
      <c r="U156" s="41">
        <f t="shared" si="30"/>
        <v>5.247973869908475</v>
      </c>
      <c r="V156" s="43">
        <f t="shared" si="37"/>
        <v>0</v>
      </c>
      <c r="W156" s="44">
        <f t="shared" si="35"/>
        <v>4</v>
      </c>
      <c r="X156" s="44">
        <f t="shared" si="31"/>
        <v>5.247973869908475</v>
      </c>
      <c r="Y156" s="166">
        <f t="shared" si="36"/>
        <v>20.9918954796339</v>
      </c>
      <c r="AA156" s="131"/>
      <c r="AB156" s="131"/>
      <c r="AC156" s="191"/>
    </row>
    <row r="157" spans="1:29" customFormat="1" ht="15.5" customHeight="1" x14ac:dyDescent="0.25">
      <c r="A157" s="168" t="s">
        <v>162</v>
      </c>
      <c r="B157" s="140" t="s">
        <v>79</v>
      </c>
      <c r="C157" s="113">
        <v>0</v>
      </c>
      <c r="D157" s="141">
        <v>4.9680932980507233</v>
      </c>
      <c r="E157" s="113">
        <f t="shared" si="32"/>
        <v>0</v>
      </c>
      <c r="F157" s="41"/>
      <c r="G157" s="41"/>
      <c r="H157" s="41">
        <f t="shared" si="33"/>
        <v>0</v>
      </c>
      <c r="I157" s="96">
        <f t="shared" si="26"/>
        <v>0</v>
      </c>
      <c r="J157" s="41"/>
      <c r="K157" s="41"/>
      <c r="L157" s="41"/>
      <c r="M157" s="96">
        <f t="shared" si="34"/>
        <v>0</v>
      </c>
      <c r="N157" s="96"/>
      <c r="O157" s="96"/>
      <c r="P157" s="96"/>
      <c r="Q157" s="42">
        <f t="shared" si="27"/>
        <v>0</v>
      </c>
      <c r="R157" s="42" t="str">
        <f t="shared" si="28"/>
        <v>0.00</v>
      </c>
      <c r="S157" s="42">
        <f t="shared" si="29"/>
        <v>0</v>
      </c>
      <c r="T157" s="93">
        <v>0</v>
      </c>
      <c r="U157" s="41" t="str">
        <f t="shared" si="30"/>
        <v>0.00</v>
      </c>
      <c r="V157" s="43">
        <f t="shared" si="37"/>
        <v>0</v>
      </c>
      <c r="W157" s="44">
        <f t="shared" si="35"/>
        <v>0</v>
      </c>
      <c r="X157" s="44" t="str">
        <f t="shared" si="31"/>
        <v>0.00</v>
      </c>
      <c r="Y157" s="166">
        <f t="shared" si="36"/>
        <v>0</v>
      </c>
      <c r="AA157" s="131"/>
      <c r="AB157" s="131"/>
      <c r="AC157" s="191"/>
    </row>
    <row r="158" spans="1:29" customFormat="1" ht="15.5" customHeight="1" x14ac:dyDescent="0.25">
      <c r="A158" s="175" t="s">
        <v>190</v>
      </c>
      <c r="B158" s="142" t="s">
        <v>79</v>
      </c>
      <c r="C158" s="113">
        <v>0</v>
      </c>
      <c r="D158" s="141" t="s">
        <v>248</v>
      </c>
      <c r="E158" s="113">
        <f t="shared" si="32"/>
        <v>0</v>
      </c>
      <c r="F158" s="41"/>
      <c r="G158" s="41"/>
      <c r="H158" s="41">
        <f t="shared" si="33"/>
        <v>0</v>
      </c>
      <c r="I158" s="96">
        <f t="shared" si="26"/>
        <v>0</v>
      </c>
      <c r="J158" s="41"/>
      <c r="K158" s="41"/>
      <c r="L158" s="41"/>
      <c r="M158" s="96">
        <f t="shared" si="34"/>
        <v>0</v>
      </c>
      <c r="N158" s="96"/>
      <c r="O158" s="96"/>
      <c r="P158" s="96"/>
      <c r="Q158" s="42">
        <f t="shared" si="27"/>
        <v>0</v>
      </c>
      <c r="R158" s="42" t="str">
        <f t="shared" si="28"/>
        <v>0.00</v>
      </c>
      <c r="S158" s="42">
        <f t="shared" si="29"/>
        <v>0</v>
      </c>
      <c r="T158" s="93">
        <v>0</v>
      </c>
      <c r="U158" s="41" t="str">
        <f t="shared" si="30"/>
        <v>0.00</v>
      </c>
      <c r="V158" s="43">
        <f t="shared" si="37"/>
        <v>0</v>
      </c>
      <c r="W158" s="44">
        <f t="shared" si="35"/>
        <v>0</v>
      </c>
      <c r="X158" s="44" t="str">
        <f t="shared" si="31"/>
        <v>0.00</v>
      </c>
      <c r="Y158" s="166">
        <f t="shared" si="36"/>
        <v>0</v>
      </c>
      <c r="AA158" s="131"/>
      <c r="AB158" s="131"/>
      <c r="AC158" s="191"/>
    </row>
    <row r="159" spans="1:29" customFormat="1" ht="15.5" customHeight="1" x14ac:dyDescent="0.25">
      <c r="A159" s="168" t="s">
        <v>272</v>
      </c>
      <c r="B159" s="140" t="s">
        <v>79</v>
      </c>
      <c r="C159" s="113">
        <v>0</v>
      </c>
      <c r="D159" s="141" t="s">
        <v>248</v>
      </c>
      <c r="E159" s="113">
        <f t="shared" si="32"/>
        <v>0</v>
      </c>
      <c r="F159" s="41"/>
      <c r="G159" s="41"/>
      <c r="H159" s="41">
        <f t="shared" si="33"/>
        <v>0</v>
      </c>
      <c r="I159" s="96">
        <f t="shared" si="26"/>
        <v>0</v>
      </c>
      <c r="J159" s="41"/>
      <c r="K159" s="41"/>
      <c r="L159" s="41"/>
      <c r="M159" s="96">
        <f t="shared" si="34"/>
        <v>0</v>
      </c>
      <c r="N159" s="96"/>
      <c r="O159" s="96"/>
      <c r="P159" s="96"/>
      <c r="Q159" s="42">
        <f t="shared" si="27"/>
        <v>0</v>
      </c>
      <c r="R159" s="42" t="str">
        <f t="shared" si="28"/>
        <v>0.00</v>
      </c>
      <c r="S159" s="42">
        <f t="shared" si="29"/>
        <v>0</v>
      </c>
      <c r="T159" s="93">
        <v>0</v>
      </c>
      <c r="U159" s="41" t="str">
        <f t="shared" si="30"/>
        <v>0.00</v>
      </c>
      <c r="V159" s="43">
        <f t="shared" si="37"/>
        <v>0</v>
      </c>
      <c r="W159" s="44">
        <f t="shared" si="35"/>
        <v>0</v>
      </c>
      <c r="X159" s="44" t="str">
        <f t="shared" si="31"/>
        <v>0.00</v>
      </c>
      <c r="Y159" s="166">
        <f t="shared" si="36"/>
        <v>0</v>
      </c>
      <c r="AA159" s="131"/>
      <c r="AB159" s="131"/>
      <c r="AC159" s="191"/>
    </row>
    <row r="160" spans="1:29" customFormat="1" ht="15.5" customHeight="1" x14ac:dyDescent="0.25">
      <c r="A160" s="168" t="s">
        <v>163</v>
      </c>
      <c r="B160" s="140" t="s">
        <v>79</v>
      </c>
      <c r="C160" s="113">
        <v>5</v>
      </c>
      <c r="D160" s="141">
        <v>1.488975897770795</v>
      </c>
      <c r="E160" s="113">
        <f t="shared" si="32"/>
        <v>7.4448794888539744</v>
      </c>
      <c r="F160" s="41"/>
      <c r="G160" s="41"/>
      <c r="H160" s="41">
        <f t="shared" si="33"/>
        <v>0</v>
      </c>
      <c r="I160" s="96">
        <f t="shared" si="26"/>
        <v>0</v>
      </c>
      <c r="J160" s="41"/>
      <c r="K160" s="41"/>
      <c r="L160" s="41"/>
      <c r="M160" s="96">
        <f t="shared" si="34"/>
        <v>0</v>
      </c>
      <c r="N160" s="96"/>
      <c r="O160" s="96"/>
      <c r="P160" s="96"/>
      <c r="Q160" s="42">
        <f t="shared" si="27"/>
        <v>5</v>
      </c>
      <c r="R160" s="42">
        <f t="shared" si="28"/>
        <v>1.488975897770795</v>
      </c>
      <c r="S160" s="42">
        <f t="shared" si="29"/>
        <v>7.4448794888539744</v>
      </c>
      <c r="T160" s="93">
        <v>0</v>
      </c>
      <c r="U160" s="41">
        <f t="shared" si="30"/>
        <v>1.488975897770795</v>
      </c>
      <c r="V160" s="43">
        <f t="shared" si="37"/>
        <v>0</v>
      </c>
      <c r="W160" s="44">
        <f t="shared" si="35"/>
        <v>5</v>
      </c>
      <c r="X160" s="44">
        <f t="shared" si="31"/>
        <v>1.488975897770795</v>
      </c>
      <c r="Y160" s="166">
        <f t="shared" si="36"/>
        <v>7.4448794888539744</v>
      </c>
      <c r="AA160" s="131"/>
      <c r="AB160" s="131"/>
      <c r="AC160" s="191"/>
    </row>
    <row r="161" spans="1:29" customFormat="1" ht="15.65" customHeight="1" x14ac:dyDescent="0.25">
      <c r="A161" s="168" t="s">
        <v>327</v>
      </c>
      <c r="B161" s="140" t="s">
        <v>79</v>
      </c>
      <c r="C161" s="113">
        <v>0</v>
      </c>
      <c r="D161" s="141" t="s">
        <v>248</v>
      </c>
      <c r="E161" s="113">
        <f t="shared" si="32"/>
        <v>0</v>
      </c>
      <c r="F161" s="41"/>
      <c r="G161" s="41"/>
      <c r="H161" s="41">
        <f t="shared" si="33"/>
        <v>0</v>
      </c>
      <c r="I161" s="96">
        <f t="shared" si="26"/>
        <v>0</v>
      </c>
      <c r="J161" s="41"/>
      <c r="K161" s="41"/>
      <c r="L161" s="41"/>
      <c r="M161" s="96">
        <f t="shared" si="34"/>
        <v>0</v>
      </c>
      <c r="N161" s="96"/>
      <c r="O161" s="96"/>
      <c r="P161" s="96"/>
      <c r="Q161" s="42">
        <f t="shared" si="27"/>
        <v>0</v>
      </c>
      <c r="R161" s="42" t="str">
        <f t="shared" si="28"/>
        <v>0.00</v>
      </c>
      <c r="S161" s="42">
        <f t="shared" si="29"/>
        <v>0</v>
      </c>
      <c r="T161" s="93">
        <v>0</v>
      </c>
      <c r="U161" s="41" t="str">
        <f t="shared" si="30"/>
        <v>0.00</v>
      </c>
      <c r="V161" s="43">
        <f t="shared" si="37"/>
        <v>0</v>
      </c>
      <c r="W161" s="44">
        <f t="shared" si="35"/>
        <v>0</v>
      </c>
      <c r="X161" s="44" t="str">
        <f t="shared" si="31"/>
        <v>0.00</v>
      </c>
      <c r="Y161" s="166">
        <f t="shared" si="36"/>
        <v>0</v>
      </c>
      <c r="AA161" s="131"/>
      <c r="AB161" s="131"/>
      <c r="AC161" s="191"/>
    </row>
    <row r="162" spans="1:29" customFormat="1" ht="15.65" customHeight="1" x14ac:dyDescent="0.25">
      <c r="A162" s="168" t="s">
        <v>240</v>
      </c>
      <c r="B162" s="140" t="s">
        <v>79</v>
      </c>
      <c r="C162" s="113">
        <v>7</v>
      </c>
      <c r="D162" s="141">
        <v>1</v>
      </c>
      <c r="E162" s="113">
        <f t="shared" si="32"/>
        <v>7</v>
      </c>
      <c r="F162" s="41"/>
      <c r="G162" s="41"/>
      <c r="H162" s="41">
        <f t="shared" si="33"/>
        <v>0</v>
      </c>
      <c r="I162" s="96">
        <f t="shared" si="26"/>
        <v>0</v>
      </c>
      <c r="J162" s="41"/>
      <c r="K162" s="41"/>
      <c r="L162" s="41"/>
      <c r="M162" s="96">
        <f t="shared" si="34"/>
        <v>0</v>
      </c>
      <c r="N162" s="96"/>
      <c r="O162" s="96"/>
      <c r="P162" s="96"/>
      <c r="Q162" s="42">
        <f t="shared" si="27"/>
        <v>7</v>
      </c>
      <c r="R162" s="42">
        <f t="shared" si="28"/>
        <v>1</v>
      </c>
      <c r="S162" s="42">
        <f t="shared" si="29"/>
        <v>7</v>
      </c>
      <c r="T162" s="93">
        <v>2</v>
      </c>
      <c r="U162" s="41">
        <f t="shared" si="30"/>
        <v>1</v>
      </c>
      <c r="V162" s="43">
        <f t="shared" si="37"/>
        <v>2</v>
      </c>
      <c r="W162" s="44">
        <f t="shared" si="35"/>
        <v>5</v>
      </c>
      <c r="X162" s="44">
        <f t="shared" si="31"/>
        <v>1</v>
      </c>
      <c r="Y162" s="166">
        <f t="shared" si="36"/>
        <v>5</v>
      </c>
      <c r="AA162" s="131"/>
      <c r="AB162" s="131"/>
      <c r="AC162" s="191"/>
    </row>
    <row r="163" spans="1:29" customFormat="1" ht="15.65" customHeight="1" x14ac:dyDescent="0.25">
      <c r="A163" s="168" t="s">
        <v>249</v>
      </c>
      <c r="B163" s="140" t="s">
        <v>79</v>
      </c>
      <c r="C163" s="113">
        <v>30</v>
      </c>
      <c r="D163" s="141">
        <v>1.2362748899601761</v>
      </c>
      <c r="E163" s="113">
        <f t="shared" si="32"/>
        <v>37.088246698805285</v>
      </c>
      <c r="F163" s="41"/>
      <c r="G163" s="41"/>
      <c r="H163" s="41">
        <f t="shared" si="33"/>
        <v>0</v>
      </c>
      <c r="I163" s="96">
        <f t="shared" si="26"/>
        <v>0</v>
      </c>
      <c r="J163" s="41"/>
      <c r="K163" s="41"/>
      <c r="L163" s="41"/>
      <c r="M163" s="96">
        <f t="shared" si="34"/>
        <v>0</v>
      </c>
      <c r="N163" s="96"/>
      <c r="O163" s="96"/>
      <c r="P163" s="96"/>
      <c r="Q163" s="42">
        <f t="shared" si="27"/>
        <v>30</v>
      </c>
      <c r="R163" s="42">
        <f t="shared" si="28"/>
        <v>1.2362748899601761</v>
      </c>
      <c r="S163" s="42">
        <f t="shared" si="29"/>
        <v>37.088246698805285</v>
      </c>
      <c r="T163" s="93">
        <v>0</v>
      </c>
      <c r="U163" s="41">
        <f t="shared" si="30"/>
        <v>1.2362748899601761</v>
      </c>
      <c r="V163" s="43">
        <f t="shared" si="37"/>
        <v>0</v>
      </c>
      <c r="W163" s="44">
        <f t="shared" si="35"/>
        <v>30</v>
      </c>
      <c r="X163" s="44">
        <f t="shared" si="31"/>
        <v>1.2362748899601761</v>
      </c>
      <c r="Y163" s="166">
        <f t="shared" si="36"/>
        <v>37.088246698805285</v>
      </c>
      <c r="AA163" s="131"/>
      <c r="AB163" s="131"/>
      <c r="AC163" s="191"/>
    </row>
    <row r="164" spans="1:29" customFormat="1" ht="15.65" customHeight="1" x14ac:dyDescent="0.25">
      <c r="A164" s="168" t="s">
        <v>239</v>
      </c>
      <c r="B164" s="140" t="s">
        <v>79</v>
      </c>
      <c r="C164" s="113">
        <v>20</v>
      </c>
      <c r="D164" s="141">
        <v>0.92307692307692302</v>
      </c>
      <c r="E164" s="113">
        <f t="shared" si="32"/>
        <v>18.46153846153846</v>
      </c>
      <c r="F164" s="41"/>
      <c r="G164" s="41"/>
      <c r="H164" s="41">
        <f t="shared" si="33"/>
        <v>0</v>
      </c>
      <c r="I164" s="96">
        <f t="shared" si="26"/>
        <v>0</v>
      </c>
      <c r="J164" s="41"/>
      <c r="K164" s="41"/>
      <c r="L164" s="41"/>
      <c r="M164" s="96">
        <f t="shared" si="34"/>
        <v>0</v>
      </c>
      <c r="N164" s="96"/>
      <c r="O164" s="96"/>
      <c r="P164" s="96"/>
      <c r="Q164" s="42">
        <f t="shared" si="27"/>
        <v>20</v>
      </c>
      <c r="R164" s="42">
        <f t="shared" si="28"/>
        <v>0.92307692307692302</v>
      </c>
      <c r="S164" s="42">
        <f t="shared" si="29"/>
        <v>18.46153846153846</v>
      </c>
      <c r="T164" s="93">
        <v>5</v>
      </c>
      <c r="U164" s="41">
        <f t="shared" si="30"/>
        <v>0.92307692307692302</v>
      </c>
      <c r="V164" s="43">
        <f t="shared" si="37"/>
        <v>4.615384615384615</v>
      </c>
      <c r="W164" s="44">
        <f t="shared" si="35"/>
        <v>15</v>
      </c>
      <c r="X164" s="44">
        <f t="shared" si="31"/>
        <v>0.92307692307692302</v>
      </c>
      <c r="Y164" s="166">
        <f t="shared" si="36"/>
        <v>13.846153846153845</v>
      </c>
      <c r="AA164" s="131"/>
      <c r="AB164" s="131"/>
      <c r="AC164" s="191"/>
    </row>
    <row r="165" spans="1:29" customFormat="1" ht="15.65" customHeight="1" x14ac:dyDescent="0.25">
      <c r="A165" s="168" t="s">
        <v>294</v>
      </c>
      <c r="B165" s="140" t="s">
        <v>79</v>
      </c>
      <c r="C165" s="113">
        <v>7</v>
      </c>
      <c r="D165" s="141">
        <v>2.5384615384615383</v>
      </c>
      <c r="E165" s="113">
        <f t="shared" si="32"/>
        <v>17.769230769230766</v>
      </c>
      <c r="F165" s="41"/>
      <c r="G165" s="41"/>
      <c r="H165" s="41">
        <f t="shared" si="33"/>
        <v>0</v>
      </c>
      <c r="I165" s="96">
        <f t="shared" si="26"/>
        <v>0</v>
      </c>
      <c r="J165" s="41"/>
      <c r="K165" s="41"/>
      <c r="L165" s="41"/>
      <c r="M165" s="96">
        <f t="shared" si="34"/>
        <v>0</v>
      </c>
      <c r="N165" s="96"/>
      <c r="O165" s="96"/>
      <c r="P165" s="96"/>
      <c r="Q165" s="42">
        <f t="shared" si="27"/>
        <v>7</v>
      </c>
      <c r="R165" s="42">
        <f t="shared" si="28"/>
        <v>2.5384615384615379</v>
      </c>
      <c r="S165" s="42">
        <f t="shared" si="29"/>
        <v>17.769230769230766</v>
      </c>
      <c r="T165" s="93">
        <v>0</v>
      </c>
      <c r="U165" s="41">
        <f t="shared" si="30"/>
        <v>2.5384615384615379</v>
      </c>
      <c r="V165" s="43">
        <f t="shared" si="37"/>
        <v>0</v>
      </c>
      <c r="W165" s="44">
        <f t="shared" si="35"/>
        <v>7</v>
      </c>
      <c r="X165" s="44">
        <f t="shared" si="31"/>
        <v>2.5384615384615379</v>
      </c>
      <c r="Y165" s="166">
        <f t="shared" si="36"/>
        <v>17.769230769230766</v>
      </c>
      <c r="AA165" s="131"/>
      <c r="AB165" s="131"/>
      <c r="AC165" s="191"/>
    </row>
    <row r="166" spans="1:29" customFormat="1" ht="15.65" customHeight="1" x14ac:dyDescent="0.25">
      <c r="A166" s="168" t="s">
        <v>164</v>
      </c>
      <c r="B166" s="140" t="s">
        <v>79</v>
      </c>
      <c r="C166" s="113">
        <v>4</v>
      </c>
      <c r="D166" s="141">
        <v>3.6153846153846154</v>
      </c>
      <c r="E166" s="113">
        <f t="shared" si="32"/>
        <v>14.461538461538462</v>
      </c>
      <c r="F166" s="41"/>
      <c r="G166" s="41"/>
      <c r="H166" s="41">
        <f t="shared" si="33"/>
        <v>0</v>
      </c>
      <c r="I166" s="96">
        <f t="shared" si="26"/>
        <v>0</v>
      </c>
      <c r="J166" s="41"/>
      <c r="K166" s="41"/>
      <c r="L166" s="41"/>
      <c r="M166" s="96">
        <f t="shared" si="34"/>
        <v>0</v>
      </c>
      <c r="N166" s="96"/>
      <c r="O166" s="96"/>
      <c r="P166" s="96"/>
      <c r="Q166" s="42">
        <f t="shared" si="27"/>
        <v>4</v>
      </c>
      <c r="R166" s="42">
        <f t="shared" si="28"/>
        <v>3.6153846153846154</v>
      </c>
      <c r="S166" s="42">
        <f t="shared" si="29"/>
        <v>14.461538461538462</v>
      </c>
      <c r="T166" s="93">
        <v>0</v>
      </c>
      <c r="U166" s="41">
        <f t="shared" si="30"/>
        <v>3.6153846153846154</v>
      </c>
      <c r="V166" s="43">
        <f t="shared" si="37"/>
        <v>0</v>
      </c>
      <c r="W166" s="44">
        <f t="shared" si="35"/>
        <v>4</v>
      </c>
      <c r="X166" s="44">
        <f t="shared" si="31"/>
        <v>3.6153846153846154</v>
      </c>
      <c r="Y166" s="166">
        <f t="shared" si="36"/>
        <v>14.461538461538462</v>
      </c>
      <c r="AA166" s="131"/>
      <c r="AB166" s="131"/>
      <c r="AC166" s="191"/>
    </row>
    <row r="167" spans="1:29" customFormat="1" ht="15.5" customHeight="1" x14ac:dyDescent="0.25">
      <c r="A167" s="168" t="s">
        <v>165</v>
      </c>
      <c r="B167" s="140" t="s">
        <v>82</v>
      </c>
      <c r="C167" s="113">
        <v>20</v>
      </c>
      <c r="D167" s="141">
        <v>1.1923076923076923</v>
      </c>
      <c r="E167" s="113">
        <f t="shared" si="32"/>
        <v>23.846153846153847</v>
      </c>
      <c r="F167" s="41"/>
      <c r="G167" s="41"/>
      <c r="H167" s="41">
        <f t="shared" si="33"/>
        <v>0</v>
      </c>
      <c r="I167" s="96">
        <f t="shared" si="26"/>
        <v>0</v>
      </c>
      <c r="J167" s="41"/>
      <c r="K167" s="41"/>
      <c r="L167" s="41"/>
      <c r="M167" s="96">
        <f t="shared" si="34"/>
        <v>0</v>
      </c>
      <c r="N167" s="96"/>
      <c r="O167" s="96"/>
      <c r="P167" s="96"/>
      <c r="Q167" s="42">
        <f t="shared" si="27"/>
        <v>20</v>
      </c>
      <c r="R167" s="42">
        <f t="shared" si="28"/>
        <v>1.1923076923076923</v>
      </c>
      <c r="S167" s="42">
        <f t="shared" si="29"/>
        <v>23.846153846153847</v>
      </c>
      <c r="T167" s="93">
        <v>5</v>
      </c>
      <c r="U167" s="41">
        <f t="shared" si="30"/>
        <v>1.1923076923076923</v>
      </c>
      <c r="V167" s="43">
        <f t="shared" si="37"/>
        <v>5.9615384615384617</v>
      </c>
      <c r="W167" s="44">
        <f t="shared" si="35"/>
        <v>15</v>
      </c>
      <c r="X167" s="44">
        <f t="shared" si="31"/>
        <v>1.1923076923076923</v>
      </c>
      <c r="Y167" s="166">
        <f t="shared" si="36"/>
        <v>17.884615384615383</v>
      </c>
      <c r="AA167" s="131"/>
      <c r="AB167" s="131"/>
      <c r="AC167" s="191"/>
    </row>
    <row r="168" spans="1:29" customFormat="1" ht="15.5" customHeight="1" x14ac:dyDescent="0.25">
      <c r="A168" s="168" t="s">
        <v>166</v>
      </c>
      <c r="B168" s="140" t="s">
        <v>79</v>
      </c>
      <c r="C168" s="113">
        <v>25</v>
      </c>
      <c r="D168" s="141">
        <v>1.8587842280172762</v>
      </c>
      <c r="E168" s="113">
        <f t="shared" si="32"/>
        <v>46.469605700431906</v>
      </c>
      <c r="F168" s="41"/>
      <c r="G168" s="41"/>
      <c r="H168" s="41">
        <f t="shared" si="33"/>
        <v>0</v>
      </c>
      <c r="I168" s="96">
        <f t="shared" si="26"/>
        <v>0</v>
      </c>
      <c r="J168" s="41"/>
      <c r="K168" s="41"/>
      <c r="L168" s="41"/>
      <c r="M168" s="96">
        <f t="shared" si="34"/>
        <v>0</v>
      </c>
      <c r="N168" s="96"/>
      <c r="O168" s="96"/>
      <c r="P168" s="96"/>
      <c r="Q168" s="42">
        <f t="shared" si="27"/>
        <v>25</v>
      </c>
      <c r="R168" s="42">
        <f t="shared" si="28"/>
        <v>1.8587842280172762</v>
      </c>
      <c r="S168" s="42">
        <f t="shared" si="29"/>
        <v>46.469605700431906</v>
      </c>
      <c r="T168" s="93">
        <v>5</v>
      </c>
      <c r="U168" s="41">
        <f t="shared" si="30"/>
        <v>1.8587842280172762</v>
      </c>
      <c r="V168" s="43">
        <f t="shared" si="37"/>
        <v>9.2939211400863808</v>
      </c>
      <c r="W168" s="44">
        <f t="shared" si="35"/>
        <v>20</v>
      </c>
      <c r="X168" s="44">
        <f t="shared" si="31"/>
        <v>1.8587842280172762</v>
      </c>
      <c r="Y168" s="166">
        <f t="shared" si="36"/>
        <v>37.175684560345523</v>
      </c>
      <c r="AA168" s="131"/>
      <c r="AB168" s="131"/>
      <c r="AC168" s="191"/>
    </row>
    <row r="169" spans="1:29" customFormat="1" ht="15.5" customHeight="1" x14ac:dyDescent="0.25">
      <c r="A169" s="168" t="s">
        <v>167</v>
      </c>
      <c r="B169" s="140" t="s">
        <v>79</v>
      </c>
      <c r="C169" s="113">
        <v>5</v>
      </c>
      <c r="D169" s="141">
        <v>1.2045185325908834</v>
      </c>
      <c r="E169" s="113">
        <f t="shared" si="32"/>
        <v>6.0225926629544171</v>
      </c>
      <c r="F169" s="41"/>
      <c r="G169" s="41"/>
      <c r="H169" s="41">
        <f t="shared" si="33"/>
        <v>0</v>
      </c>
      <c r="I169" s="96">
        <f t="shared" si="26"/>
        <v>0</v>
      </c>
      <c r="J169" s="41"/>
      <c r="K169" s="41"/>
      <c r="L169" s="41"/>
      <c r="M169" s="96">
        <f t="shared" si="34"/>
        <v>0</v>
      </c>
      <c r="N169" s="96"/>
      <c r="O169" s="96"/>
      <c r="P169" s="96"/>
      <c r="Q169" s="42">
        <f t="shared" si="27"/>
        <v>5</v>
      </c>
      <c r="R169" s="42">
        <f t="shared" si="28"/>
        <v>1.2045185325908834</v>
      </c>
      <c r="S169" s="42">
        <f t="shared" si="29"/>
        <v>6.0225926629544171</v>
      </c>
      <c r="T169" s="93">
        <v>0</v>
      </c>
      <c r="U169" s="41">
        <f t="shared" si="30"/>
        <v>1.2045185325908834</v>
      </c>
      <c r="V169" s="43">
        <f t="shared" si="37"/>
        <v>0</v>
      </c>
      <c r="W169" s="44">
        <f t="shared" si="35"/>
        <v>5</v>
      </c>
      <c r="X169" s="44">
        <f t="shared" si="31"/>
        <v>1.2045185325908834</v>
      </c>
      <c r="Y169" s="166">
        <f t="shared" si="36"/>
        <v>6.0225926629544171</v>
      </c>
      <c r="AA169" s="131"/>
      <c r="AB169" s="131"/>
      <c r="AC169" s="191"/>
    </row>
    <row r="170" spans="1:29" customFormat="1" ht="15.65" customHeight="1" x14ac:dyDescent="0.25">
      <c r="A170" s="168" t="s">
        <v>168</v>
      </c>
      <c r="B170" s="140" t="s">
        <v>79</v>
      </c>
      <c r="C170" s="113">
        <v>0</v>
      </c>
      <c r="D170" s="141" t="s">
        <v>248</v>
      </c>
      <c r="E170" s="113">
        <f t="shared" si="32"/>
        <v>0</v>
      </c>
      <c r="F170" s="41"/>
      <c r="G170" s="41"/>
      <c r="H170" s="41">
        <f t="shared" si="33"/>
        <v>0</v>
      </c>
      <c r="I170" s="96">
        <f t="shared" si="26"/>
        <v>0</v>
      </c>
      <c r="J170" s="41"/>
      <c r="K170" s="41"/>
      <c r="L170" s="41"/>
      <c r="M170" s="96">
        <f t="shared" si="34"/>
        <v>0</v>
      </c>
      <c r="N170" s="96"/>
      <c r="O170" s="96"/>
      <c r="P170" s="96"/>
      <c r="Q170" s="42">
        <f t="shared" si="27"/>
        <v>0</v>
      </c>
      <c r="R170" s="42" t="str">
        <f t="shared" si="28"/>
        <v>0.00</v>
      </c>
      <c r="S170" s="42">
        <f t="shared" si="29"/>
        <v>0</v>
      </c>
      <c r="T170" s="93">
        <v>0</v>
      </c>
      <c r="U170" s="41" t="str">
        <f t="shared" si="30"/>
        <v>0.00</v>
      </c>
      <c r="V170" s="43">
        <f t="shared" si="37"/>
        <v>0</v>
      </c>
      <c r="W170" s="44">
        <f t="shared" si="35"/>
        <v>0</v>
      </c>
      <c r="X170" s="44" t="str">
        <f t="shared" si="31"/>
        <v>0.00</v>
      </c>
      <c r="Y170" s="166">
        <f t="shared" si="36"/>
        <v>0</v>
      </c>
      <c r="AA170" s="131"/>
      <c r="AB170" s="131"/>
      <c r="AC170" s="191"/>
    </row>
    <row r="171" spans="1:29" customFormat="1" ht="15.5" customHeight="1" x14ac:dyDescent="0.25">
      <c r="A171" s="168" t="s">
        <v>333</v>
      </c>
      <c r="B171" s="140" t="s">
        <v>79</v>
      </c>
      <c r="C171" s="113">
        <v>3</v>
      </c>
      <c r="D171" s="141">
        <v>7.2307692307692308</v>
      </c>
      <c r="E171" s="113">
        <f t="shared" si="32"/>
        <v>21.692307692307693</v>
      </c>
      <c r="F171" s="41"/>
      <c r="G171" s="41"/>
      <c r="H171" s="41">
        <f t="shared" si="33"/>
        <v>0</v>
      </c>
      <c r="I171" s="96">
        <f t="shared" si="26"/>
        <v>0</v>
      </c>
      <c r="J171" s="41"/>
      <c r="K171" s="41"/>
      <c r="L171" s="41"/>
      <c r="M171" s="96">
        <f t="shared" si="34"/>
        <v>0</v>
      </c>
      <c r="N171" s="96"/>
      <c r="O171" s="96"/>
      <c r="P171" s="96"/>
      <c r="Q171" s="42">
        <f t="shared" si="27"/>
        <v>3</v>
      </c>
      <c r="R171" s="42">
        <f t="shared" si="28"/>
        <v>7.2307692307692308</v>
      </c>
      <c r="S171" s="42">
        <f t="shared" si="29"/>
        <v>21.692307692307693</v>
      </c>
      <c r="T171" s="93">
        <v>0</v>
      </c>
      <c r="U171" s="41">
        <f t="shared" si="30"/>
        <v>7.2307692307692308</v>
      </c>
      <c r="V171" s="43">
        <f t="shared" si="37"/>
        <v>0</v>
      </c>
      <c r="W171" s="44">
        <f t="shared" si="35"/>
        <v>3</v>
      </c>
      <c r="X171" s="44">
        <f t="shared" si="31"/>
        <v>7.2307692307692308</v>
      </c>
      <c r="Y171" s="166">
        <f t="shared" si="36"/>
        <v>21.692307692307693</v>
      </c>
      <c r="AA171" s="131"/>
      <c r="AB171" s="131"/>
      <c r="AC171" s="191"/>
    </row>
    <row r="172" spans="1:29" customFormat="1" ht="15.5" customHeight="1" x14ac:dyDescent="0.25">
      <c r="A172" s="168" t="s">
        <v>229</v>
      </c>
      <c r="B172" s="140" t="s">
        <v>79</v>
      </c>
      <c r="C172" s="113">
        <v>25</v>
      </c>
      <c r="D172" s="141">
        <v>2.3115943838549673</v>
      </c>
      <c r="E172" s="113">
        <f t="shared" si="32"/>
        <v>57.789859596374185</v>
      </c>
      <c r="F172" s="41"/>
      <c r="G172" s="41"/>
      <c r="H172" s="41">
        <f t="shared" si="33"/>
        <v>0</v>
      </c>
      <c r="I172" s="96">
        <f t="shared" si="26"/>
        <v>0</v>
      </c>
      <c r="J172" s="41"/>
      <c r="K172" s="41"/>
      <c r="L172" s="41"/>
      <c r="M172" s="96">
        <f t="shared" si="34"/>
        <v>0</v>
      </c>
      <c r="N172" s="96"/>
      <c r="O172" s="96"/>
      <c r="P172" s="96"/>
      <c r="Q172" s="42">
        <f t="shared" si="27"/>
        <v>25</v>
      </c>
      <c r="R172" s="42">
        <f t="shared" si="28"/>
        <v>2.3115943838549673</v>
      </c>
      <c r="S172" s="42">
        <f t="shared" si="29"/>
        <v>57.789859596374185</v>
      </c>
      <c r="T172" s="93">
        <v>5</v>
      </c>
      <c r="U172" s="41">
        <f t="shared" si="30"/>
        <v>2.3115943838549673</v>
      </c>
      <c r="V172" s="43">
        <f t="shared" si="37"/>
        <v>11.557971919274836</v>
      </c>
      <c r="W172" s="44">
        <f t="shared" si="35"/>
        <v>20</v>
      </c>
      <c r="X172" s="44">
        <f t="shared" si="31"/>
        <v>2.3115943838549673</v>
      </c>
      <c r="Y172" s="166">
        <f t="shared" si="36"/>
        <v>46.231887677099344</v>
      </c>
      <c r="AA172" s="131"/>
      <c r="AB172" s="131"/>
      <c r="AC172" s="191"/>
    </row>
    <row r="173" spans="1:29" customFormat="1" ht="15.5" customHeight="1" x14ac:dyDescent="0.25">
      <c r="A173" s="168" t="s">
        <v>365</v>
      </c>
      <c r="B173" s="140" t="s">
        <v>79</v>
      </c>
      <c r="C173" s="113">
        <v>15</v>
      </c>
      <c r="D173" s="139">
        <v>3.6530706350869839</v>
      </c>
      <c r="E173" s="113">
        <f t="shared" si="32"/>
        <v>54.796059526304759</v>
      </c>
      <c r="F173" s="41"/>
      <c r="G173" s="41"/>
      <c r="H173" s="41">
        <f t="shared" si="33"/>
        <v>0</v>
      </c>
      <c r="I173" s="96">
        <f t="shared" si="26"/>
        <v>0</v>
      </c>
      <c r="J173" s="41"/>
      <c r="K173" s="41"/>
      <c r="L173" s="41"/>
      <c r="M173" s="96">
        <f t="shared" si="34"/>
        <v>0</v>
      </c>
      <c r="N173" s="96"/>
      <c r="O173" s="96"/>
      <c r="P173" s="96"/>
      <c r="Q173" s="42">
        <f t="shared" si="27"/>
        <v>15</v>
      </c>
      <c r="R173" s="42">
        <f t="shared" si="28"/>
        <v>3.6530706350869839</v>
      </c>
      <c r="S173" s="42">
        <f t="shared" si="29"/>
        <v>54.796059526304759</v>
      </c>
      <c r="T173" s="93">
        <v>2</v>
      </c>
      <c r="U173" s="41">
        <f t="shared" si="30"/>
        <v>3.6530706350869839</v>
      </c>
      <c r="V173" s="43">
        <f t="shared" si="37"/>
        <v>7.3061412701739679</v>
      </c>
      <c r="W173" s="44">
        <f t="shared" si="35"/>
        <v>13</v>
      </c>
      <c r="X173" s="44">
        <f t="shared" si="31"/>
        <v>3.6530706350869839</v>
      </c>
      <c r="Y173" s="166">
        <f t="shared" si="36"/>
        <v>47.489918256130792</v>
      </c>
      <c r="AA173" s="131"/>
      <c r="AB173" s="131"/>
      <c r="AC173" s="191"/>
    </row>
    <row r="174" spans="1:29" customFormat="1" ht="15.5" customHeight="1" x14ac:dyDescent="0.25">
      <c r="A174" s="168" t="s">
        <v>227</v>
      </c>
      <c r="B174" s="140" t="s">
        <v>79</v>
      </c>
      <c r="C174" s="113">
        <v>15</v>
      </c>
      <c r="D174" s="141">
        <v>3.5018803571767987</v>
      </c>
      <c r="E174" s="113">
        <f t="shared" si="32"/>
        <v>52.528205357651977</v>
      </c>
      <c r="F174" s="41"/>
      <c r="G174" s="41"/>
      <c r="H174" s="41">
        <f t="shared" si="33"/>
        <v>0</v>
      </c>
      <c r="I174" s="96">
        <f t="shared" si="26"/>
        <v>0</v>
      </c>
      <c r="J174" s="41"/>
      <c r="K174" s="41"/>
      <c r="L174" s="41"/>
      <c r="M174" s="96">
        <f t="shared" si="34"/>
        <v>0</v>
      </c>
      <c r="N174" s="96"/>
      <c r="O174" s="96"/>
      <c r="P174" s="96"/>
      <c r="Q174" s="42">
        <f t="shared" si="27"/>
        <v>15</v>
      </c>
      <c r="R174" s="42">
        <f t="shared" si="28"/>
        <v>3.5018803571767987</v>
      </c>
      <c r="S174" s="42">
        <f t="shared" si="29"/>
        <v>52.528205357651977</v>
      </c>
      <c r="T174" s="93">
        <v>5</v>
      </c>
      <c r="U174" s="41">
        <f t="shared" si="30"/>
        <v>3.5018803571767987</v>
      </c>
      <c r="V174" s="43">
        <f t="shared" si="37"/>
        <v>17.509401785883995</v>
      </c>
      <c r="W174" s="44">
        <f t="shared" si="35"/>
        <v>10</v>
      </c>
      <c r="X174" s="44">
        <f t="shared" si="31"/>
        <v>3.5018803571767987</v>
      </c>
      <c r="Y174" s="166">
        <f t="shared" si="36"/>
        <v>35.01880357176799</v>
      </c>
      <c r="AA174" s="131"/>
      <c r="AB174" s="131"/>
      <c r="AC174" s="191"/>
    </row>
    <row r="175" spans="1:29" customFormat="1" ht="15.5" customHeight="1" x14ac:dyDescent="0.25">
      <c r="A175" s="168" t="s">
        <v>228</v>
      </c>
      <c r="B175" s="140" t="s">
        <v>79</v>
      </c>
      <c r="C175" s="113">
        <v>15</v>
      </c>
      <c r="D175" s="141">
        <v>2.8302100738018137</v>
      </c>
      <c r="E175" s="113">
        <f t="shared" si="32"/>
        <v>42.453151107027203</v>
      </c>
      <c r="F175" s="41"/>
      <c r="G175" s="41"/>
      <c r="H175" s="41">
        <f t="shared" si="33"/>
        <v>0</v>
      </c>
      <c r="I175" s="96">
        <f t="shared" si="26"/>
        <v>0</v>
      </c>
      <c r="J175" s="41"/>
      <c r="K175" s="41"/>
      <c r="L175" s="41"/>
      <c r="M175" s="96">
        <f t="shared" si="34"/>
        <v>0</v>
      </c>
      <c r="N175" s="96"/>
      <c r="O175" s="96"/>
      <c r="P175" s="96"/>
      <c r="Q175" s="42">
        <f t="shared" si="27"/>
        <v>15</v>
      </c>
      <c r="R175" s="42">
        <f t="shared" si="28"/>
        <v>2.8302100738018137</v>
      </c>
      <c r="S175" s="42">
        <f t="shared" si="29"/>
        <v>42.453151107027203</v>
      </c>
      <c r="T175" s="93">
        <v>5</v>
      </c>
      <c r="U175" s="41">
        <f t="shared" si="30"/>
        <v>2.8302100738018137</v>
      </c>
      <c r="V175" s="43">
        <f t="shared" si="37"/>
        <v>14.151050369009068</v>
      </c>
      <c r="W175" s="44">
        <f t="shared" si="35"/>
        <v>10</v>
      </c>
      <c r="X175" s="44">
        <f t="shared" si="31"/>
        <v>2.8302100738018137</v>
      </c>
      <c r="Y175" s="166">
        <f t="shared" si="36"/>
        <v>28.302100738018137</v>
      </c>
      <c r="AA175" s="131"/>
      <c r="AB175" s="131"/>
      <c r="AC175" s="191"/>
    </row>
    <row r="176" spans="1:29" customFormat="1" ht="15.5" customHeight="1" x14ac:dyDescent="0.25">
      <c r="A176" s="168" t="s">
        <v>224</v>
      </c>
      <c r="B176" s="140" t="s">
        <v>79</v>
      </c>
      <c r="C176" s="113">
        <v>150</v>
      </c>
      <c r="D176" s="141">
        <v>0.69663849454276972</v>
      </c>
      <c r="E176" s="113">
        <f t="shared" si="32"/>
        <v>104.49577418141546</v>
      </c>
      <c r="F176" s="41"/>
      <c r="G176" s="41"/>
      <c r="H176" s="41">
        <f t="shared" si="33"/>
        <v>0</v>
      </c>
      <c r="I176" s="96">
        <f t="shared" si="26"/>
        <v>0</v>
      </c>
      <c r="J176" s="41"/>
      <c r="K176" s="41"/>
      <c r="L176" s="41"/>
      <c r="M176" s="96">
        <f t="shared" si="34"/>
        <v>0</v>
      </c>
      <c r="N176" s="96"/>
      <c r="O176" s="96"/>
      <c r="P176" s="96"/>
      <c r="Q176" s="42">
        <f t="shared" si="27"/>
        <v>150</v>
      </c>
      <c r="R176" s="42">
        <f t="shared" si="28"/>
        <v>0.69663849454276972</v>
      </c>
      <c r="S176" s="42">
        <f t="shared" si="29"/>
        <v>104.49577418141546</v>
      </c>
      <c r="T176" s="93">
        <v>60</v>
      </c>
      <c r="U176" s="41">
        <f t="shared" si="30"/>
        <v>0.69663849454276972</v>
      </c>
      <c r="V176" s="43">
        <f t="shared" si="37"/>
        <v>41.798309672566184</v>
      </c>
      <c r="W176" s="44">
        <f t="shared" si="35"/>
        <v>90</v>
      </c>
      <c r="X176" s="44">
        <f t="shared" si="31"/>
        <v>0.69663849454276972</v>
      </c>
      <c r="Y176" s="166">
        <f t="shared" si="36"/>
        <v>62.697464508849272</v>
      </c>
      <c r="AA176" s="131"/>
      <c r="AB176" s="131"/>
      <c r="AC176" s="191"/>
    </row>
    <row r="177" spans="1:29" customFormat="1" ht="15.5" customHeight="1" x14ac:dyDescent="0.25">
      <c r="A177" s="168" t="s">
        <v>225</v>
      </c>
      <c r="B177" s="140" t="s">
        <v>79</v>
      </c>
      <c r="C177" s="113">
        <v>200</v>
      </c>
      <c r="D177" s="141">
        <v>0.89925119176544543</v>
      </c>
      <c r="E177" s="113">
        <f t="shared" si="32"/>
        <v>179.85023835308908</v>
      </c>
      <c r="F177" s="41"/>
      <c r="G177" s="41"/>
      <c r="H177" s="41">
        <f t="shared" si="33"/>
        <v>0</v>
      </c>
      <c r="I177" s="96">
        <f t="shared" si="26"/>
        <v>0</v>
      </c>
      <c r="J177" s="41"/>
      <c r="K177" s="41"/>
      <c r="L177" s="41"/>
      <c r="M177" s="96">
        <f t="shared" si="34"/>
        <v>0</v>
      </c>
      <c r="N177" s="96"/>
      <c r="O177" s="96"/>
      <c r="P177" s="96"/>
      <c r="Q177" s="42">
        <f t="shared" si="27"/>
        <v>200</v>
      </c>
      <c r="R177" s="42">
        <f t="shared" si="28"/>
        <v>0.89925119176544543</v>
      </c>
      <c r="S177" s="42">
        <f t="shared" si="29"/>
        <v>179.85023835308908</v>
      </c>
      <c r="T177" s="93">
        <v>40</v>
      </c>
      <c r="U177" s="41">
        <f t="shared" si="30"/>
        <v>0.89925119176544543</v>
      </c>
      <c r="V177" s="43">
        <f t="shared" si="37"/>
        <v>35.970047670617816</v>
      </c>
      <c r="W177" s="44">
        <f t="shared" si="35"/>
        <v>160</v>
      </c>
      <c r="X177" s="44">
        <f t="shared" si="31"/>
        <v>0.89925119176544543</v>
      </c>
      <c r="Y177" s="166">
        <f t="shared" si="36"/>
        <v>143.88019068247127</v>
      </c>
      <c r="AA177" s="131"/>
      <c r="AB177" s="131"/>
      <c r="AC177" s="191"/>
    </row>
    <row r="178" spans="1:29" customFormat="1" ht="15.5" customHeight="1" x14ac:dyDescent="0.25">
      <c r="A178" s="168" t="s">
        <v>328</v>
      </c>
      <c r="B178" s="140" t="s">
        <v>79</v>
      </c>
      <c r="C178" s="113">
        <v>0</v>
      </c>
      <c r="D178" s="141" t="s">
        <v>248</v>
      </c>
      <c r="E178" s="113">
        <f t="shared" ref="E178" si="38">C178*D178</f>
        <v>0</v>
      </c>
      <c r="F178" s="41"/>
      <c r="G178" s="41"/>
      <c r="H178" s="41">
        <f t="shared" si="33"/>
        <v>0</v>
      </c>
      <c r="I178" s="96">
        <f t="shared" si="26"/>
        <v>0</v>
      </c>
      <c r="J178" s="41"/>
      <c r="K178" s="41"/>
      <c r="L178" s="41"/>
      <c r="M178" s="96">
        <f t="shared" si="34"/>
        <v>0</v>
      </c>
      <c r="N178" s="96"/>
      <c r="O178" s="96"/>
      <c r="P178" s="96"/>
      <c r="Q178" s="42">
        <f t="shared" si="27"/>
        <v>0</v>
      </c>
      <c r="R178" s="42" t="str">
        <f t="shared" ref="R178" si="39">IF(Q178=0,"0.00",S178/Q178)</f>
        <v>0.00</v>
      </c>
      <c r="S178" s="42">
        <f t="shared" si="29"/>
        <v>0</v>
      </c>
      <c r="T178" s="93">
        <v>0</v>
      </c>
      <c r="U178" s="41" t="str">
        <f t="shared" ref="U178" si="40">R178</f>
        <v>0.00</v>
      </c>
      <c r="V178" s="43">
        <f t="shared" ref="V178" si="41">T178*U178</f>
        <v>0</v>
      </c>
      <c r="W178" s="44">
        <f t="shared" ref="W178" si="42">Q178-T178</f>
        <v>0</v>
      </c>
      <c r="X178" s="44" t="str">
        <f t="shared" ref="X178" si="43">R178</f>
        <v>0.00</v>
      </c>
      <c r="Y178" s="166">
        <f t="shared" ref="Y178" si="44">W178*X178</f>
        <v>0</v>
      </c>
      <c r="AA178" s="131"/>
      <c r="AB178" s="131"/>
      <c r="AC178" s="191"/>
    </row>
    <row r="179" spans="1:29" customFormat="1" ht="15.5" customHeight="1" x14ac:dyDescent="0.25">
      <c r="A179" s="168" t="s">
        <v>226</v>
      </c>
      <c r="B179" s="140" t="s">
        <v>79</v>
      </c>
      <c r="C179" s="113">
        <v>80</v>
      </c>
      <c r="D179" s="141">
        <v>1.8965551440030197</v>
      </c>
      <c r="E179" s="113">
        <f t="shared" si="32"/>
        <v>151.72441152024157</v>
      </c>
      <c r="F179" s="41"/>
      <c r="G179" s="41"/>
      <c r="H179" s="41">
        <f t="shared" si="33"/>
        <v>0</v>
      </c>
      <c r="I179" s="96">
        <f t="shared" si="26"/>
        <v>0</v>
      </c>
      <c r="J179" s="41"/>
      <c r="K179" s="41"/>
      <c r="L179" s="41"/>
      <c r="M179" s="96">
        <f t="shared" si="34"/>
        <v>0</v>
      </c>
      <c r="N179" s="96"/>
      <c r="O179" s="96"/>
      <c r="P179" s="96"/>
      <c r="Q179" s="42">
        <f t="shared" si="27"/>
        <v>80</v>
      </c>
      <c r="R179" s="42">
        <f t="shared" si="28"/>
        <v>1.8965551440030197</v>
      </c>
      <c r="S179" s="42">
        <f t="shared" si="29"/>
        <v>151.72441152024157</v>
      </c>
      <c r="T179" s="93">
        <v>25</v>
      </c>
      <c r="U179" s="41">
        <f t="shared" si="30"/>
        <v>1.8965551440030197</v>
      </c>
      <c r="V179" s="43">
        <f t="shared" si="37"/>
        <v>47.413878600075492</v>
      </c>
      <c r="W179" s="44">
        <f t="shared" si="35"/>
        <v>55</v>
      </c>
      <c r="X179" s="44">
        <f t="shared" si="31"/>
        <v>1.8965551440030197</v>
      </c>
      <c r="Y179" s="166">
        <f t="shared" si="36"/>
        <v>104.31053292016608</v>
      </c>
      <c r="AA179" s="131"/>
      <c r="AB179" s="131"/>
      <c r="AC179" s="191"/>
    </row>
    <row r="180" spans="1:29" customFormat="1" ht="15.5" customHeight="1" x14ac:dyDescent="0.25">
      <c r="A180" s="168" t="s">
        <v>78</v>
      </c>
      <c r="B180" s="140" t="s">
        <v>79</v>
      </c>
      <c r="C180" s="113">
        <v>40</v>
      </c>
      <c r="D180" s="141">
        <v>2.0309072928987004</v>
      </c>
      <c r="E180" s="113">
        <f t="shared" si="32"/>
        <v>81.236291715948013</v>
      </c>
      <c r="F180" s="41"/>
      <c r="G180" s="41"/>
      <c r="H180" s="41">
        <f t="shared" si="33"/>
        <v>0</v>
      </c>
      <c r="I180" s="96">
        <f t="shared" si="26"/>
        <v>0</v>
      </c>
      <c r="J180" s="41"/>
      <c r="K180" s="41"/>
      <c r="L180" s="41"/>
      <c r="M180" s="96">
        <f t="shared" si="34"/>
        <v>0</v>
      </c>
      <c r="N180" s="96"/>
      <c r="O180" s="96"/>
      <c r="P180" s="96"/>
      <c r="Q180" s="42">
        <f t="shared" si="27"/>
        <v>40</v>
      </c>
      <c r="R180" s="42">
        <f t="shared" si="28"/>
        <v>2.0309072928987004</v>
      </c>
      <c r="S180" s="42">
        <f t="shared" si="29"/>
        <v>81.236291715948013</v>
      </c>
      <c r="T180" s="93">
        <v>25</v>
      </c>
      <c r="U180" s="41">
        <f t="shared" si="30"/>
        <v>2.0309072928987004</v>
      </c>
      <c r="V180" s="43">
        <f t="shared" si="37"/>
        <v>50.77268232246751</v>
      </c>
      <c r="W180" s="44">
        <f t="shared" si="35"/>
        <v>15</v>
      </c>
      <c r="X180" s="44">
        <f t="shared" si="31"/>
        <v>2.0309072928987004</v>
      </c>
      <c r="Y180" s="166">
        <f t="shared" si="36"/>
        <v>30.463609393480507</v>
      </c>
      <c r="AA180" s="131"/>
      <c r="AB180" s="131"/>
      <c r="AC180" s="191"/>
    </row>
    <row r="181" spans="1:29" customFormat="1" ht="15" customHeight="1" x14ac:dyDescent="0.25">
      <c r="A181" s="168" t="s">
        <v>241</v>
      </c>
      <c r="B181" s="140" t="s">
        <v>79</v>
      </c>
      <c r="C181" s="113">
        <v>15</v>
      </c>
      <c r="D181" s="141">
        <v>1.4962843695813723</v>
      </c>
      <c r="E181" s="113">
        <f t="shared" si="32"/>
        <v>22.444265543720586</v>
      </c>
      <c r="F181" s="41"/>
      <c r="G181" s="41"/>
      <c r="H181" s="41">
        <f t="shared" si="33"/>
        <v>0</v>
      </c>
      <c r="I181" s="96">
        <f t="shared" si="26"/>
        <v>0</v>
      </c>
      <c r="J181" s="41"/>
      <c r="K181" s="41"/>
      <c r="L181" s="41"/>
      <c r="M181" s="96">
        <f t="shared" si="34"/>
        <v>0</v>
      </c>
      <c r="N181" s="96"/>
      <c r="O181" s="96"/>
      <c r="P181" s="96"/>
      <c r="Q181" s="42">
        <f t="shared" si="27"/>
        <v>15</v>
      </c>
      <c r="R181" s="42">
        <f t="shared" si="28"/>
        <v>1.4962843695813723</v>
      </c>
      <c r="S181" s="42">
        <f t="shared" si="29"/>
        <v>22.444265543720586</v>
      </c>
      <c r="T181" s="93">
        <v>0</v>
      </c>
      <c r="U181" s="41">
        <f t="shared" si="30"/>
        <v>1.4962843695813723</v>
      </c>
      <c r="V181" s="43">
        <f t="shared" si="37"/>
        <v>0</v>
      </c>
      <c r="W181" s="44">
        <f t="shared" si="35"/>
        <v>15</v>
      </c>
      <c r="X181" s="44">
        <f t="shared" si="31"/>
        <v>1.4962843695813723</v>
      </c>
      <c r="Y181" s="166">
        <f t="shared" si="36"/>
        <v>22.444265543720586</v>
      </c>
      <c r="AA181" s="131"/>
      <c r="AB181" s="131"/>
      <c r="AC181" s="191"/>
    </row>
    <row r="182" spans="1:29" customFormat="1" ht="15.5" customHeight="1" x14ac:dyDescent="0.25">
      <c r="A182" s="168" t="s">
        <v>242</v>
      </c>
      <c r="B182" s="140" t="s">
        <v>79</v>
      </c>
      <c r="C182" s="113">
        <v>20</v>
      </c>
      <c r="D182" s="141">
        <v>4.9615384615384617</v>
      </c>
      <c r="E182" s="113">
        <f t="shared" si="32"/>
        <v>99.230769230769226</v>
      </c>
      <c r="F182" s="41"/>
      <c r="G182" s="41"/>
      <c r="H182" s="41">
        <f t="shared" si="33"/>
        <v>0</v>
      </c>
      <c r="I182" s="96">
        <f t="shared" si="26"/>
        <v>0</v>
      </c>
      <c r="J182" s="41"/>
      <c r="K182" s="41"/>
      <c r="L182" s="41"/>
      <c r="M182" s="96">
        <f t="shared" si="34"/>
        <v>0</v>
      </c>
      <c r="N182" s="96"/>
      <c r="O182" s="96"/>
      <c r="P182" s="96"/>
      <c r="Q182" s="42">
        <f t="shared" si="27"/>
        <v>20</v>
      </c>
      <c r="R182" s="42">
        <f t="shared" si="28"/>
        <v>4.9615384615384617</v>
      </c>
      <c r="S182" s="42">
        <f t="shared" si="29"/>
        <v>99.230769230769226</v>
      </c>
      <c r="T182" s="93">
        <v>0</v>
      </c>
      <c r="U182" s="41">
        <f t="shared" si="30"/>
        <v>4.9615384615384617</v>
      </c>
      <c r="V182" s="43">
        <f t="shared" si="37"/>
        <v>0</v>
      </c>
      <c r="W182" s="44">
        <f t="shared" si="35"/>
        <v>20</v>
      </c>
      <c r="X182" s="44">
        <f t="shared" si="31"/>
        <v>4.9615384615384617</v>
      </c>
      <c r="Y182" s="166">
        <f t="shared" si="36"/>
        <v>99.230769230769226</v>
      </c>
      <c r="AA182" s="131"/>
      <c r="AB182" s="131"/>
      <c r="AC182" s="191"/>
    </row>
    <row r="183" spans="1:29" customFormat="1" ht="15.5" customHeight="1" x14ac:dyDescent="0.25">
      <c r="A183" s="168" t="s">
        <v>169</v>
      </c>
      <c r="B183" s="140" t="s">
        <v>79</v>
      </c>
      <c r="C183" s="113">
        <v>40</v>
      </c>
      <c r="D183" s="141">
        <v>1.520769638324134</v>
      </c>
      <c r="E183" s="113">
        <f t="shared" si="32"/>
        <v>60.830785532965365</v>
      </c>
      <c r="F183" s="41"/>
      <c r="G183" s="41"/>
      <c r="H183" s="41">
        <f t="shared" si="33"/>
        <v>0</v>
      </c>
      <c r="I183" s="96">
        <f t="shared" si="26"/>
        <v>0</v>
      </c>
      <c r="J183" s="41"/>
      <c r="K183" s="41"/>
      <c r="L183" s="41"/>
      <c r="M183" s="96">
        <f t="shared" si="34"/>
        <v>0</v>
      </c>
      <c r="N183" s="96"/>
      <c r="O183" s="96"/>
      <c r="P183" s="96"/>
      <c r="Q183" s="42">
        <f t="shared" si="27"/>
        <v>40</v>
      </c>
      <c r="R183" s="42">
        <f t="shared" si="28"/>
        <v>1.520769638324134</v>
      </c>
      <c r="S183" s="42">
        <f t="shared" si="29"/>
        <v>60.830785532965365</v>
      </c>
      <c r="T183" s="93">
        <v>20</v>
      </c>
      <c r="U183" s="41">
        <f t="shared" si="30"/>
        <v>1.520769638324134</v>
      </c>
      <c r="V183" s="43">
        <f t="shared" si="37"/>
        <v>30.415392766482682</v>
      </c>
      <c r="W183" s="44">
        <f t="shared" si="35"/>
        <v>20</v>
      </c>
      <c r="X183" s="44">
        <f t="shared" si="31"/>
        <v>1.520769638324134</v>
      </c>
      <c r="Y183" s="166">
        <f t="shared" si="36"/>
        <v>30.415392766482682</v>
      </c>
      <c r="AA183" s="131"/>
      <c r="AB183" s="131"/>
      <c r="AC183" s="191"/>
    </row>
    <row r="184" spans="1:29" customFormat="1" ht="15.5" customHeight="1" x14ac:dyDescent="0.25">
      <c r="A184" s="168" t="s">
        <v>245</v>
      </c>
      <c r="B184" s="140" t="s">
        <v>79</v>
      </c>
      <c r="C184" s="113">
        <v>40</v>
      </c>
      <c r="D184" s="141">
        <v>1.2927727706746781</v>
      </c>
      <c r="E184" s="113">
        <f t="shared" si="32"/>
        <v>51.710910826987124</v>
      </c>
      <c r="F184" s="41"/>
      <c r="G184" s="41"/>
      <c r="H184" s="41">
        <f t="shared" si="33"/>
        <v>0</v>
      </c>
      <c r="I184" s="96">
        <f t="shared" si="26"/>
        <v>0</v>
      </c>
      <c r="J184" s="41"/>
      <c r="K184" s="41"/>
      <c r="L184" s="41"/>
      <c r="M184" s="96">
        <f t="shared" si="34"/>
        <v>0</v>
      </c>
      <c r="N184" s="96"/>
      <c r="O184" s="96"/>
      <c r="P184" s="96"/>
      <c r="Q184" s="42">
        <f t="shared" si="27"/>
        <v>40</v>
      </c>
      <c r="R184" s="42">
        <f t="shared" si="28"/>
        <v>1.2927727706746781</v>
      </c>
      <c r="S184" s="42">
        <f t="shared" si="29"/>
        <v>51.710910826987124</v>
      </c>
      <c r="T184" s="93">
        <v>20</v>
      </c>
      <c r="U184" s="41">
        <f t="shared" si="30"/>
        <v>1.2927727706746781</v>
      </c>
      <c r="V184" s="43">
        <f t="shared" si="37"/>
        <v>25.855455413493562</v>
      </c>
      <c r="W184" s="44">
        <f t="shared" si="35"/>
        <v>20</v>
      </c>
      <c r="X184" s="44">
        <f t="shared" si="31"/>
        <v>1.2927727706746781</v>
      </c>
      <c r="Y184" s="166">
        <f t="shared" si="36"/>
        <v>25.855455413493562</v>
      </c>
      <c r="AA184" s="131"/>
      <c r="AB184" s="131"/>
      <c r="AC184" s="191"/>
    </row>
    <row r="185" spans="1:29" customFormat="1" ht="15.65" customHeight="1" x14ac:dyDescent="0.25">
      <c r="A185" s="168" t="s">
        <v>170</v>
      </c>
      <c r="B185" s="140" t="s">
        <v>79</v>
      </c>
      <c r="C185" s="113">
        <v>20</v>
      </c>
      <c r="D185" s="141">
        <v>1.1345166647426841</v>
      </c>
      <c r="E185" s="113">
        <f t="shared" si="32"/>
        <v>22.69033329485368</v>
      </c>
      <c r="F185" s="41"/>
      <c r="G185" s="41"/>
      <c r="H185" s="41">
        <f t="shared" si="33"/>
        <v>0</v>
      </c>
      <c r="I185" s="96">
        <f t="shared" si="26"/>
        <v>0</v>
      </c>
      <c r="J185" s="41"/>
      <c r="K185" s="41"/>
      <c r="L185" s="41"/>
      <c r="M185" s="96">
        <f t="shared" si="34"/>
        <v>0</v>
      </c>
      <c r="N185" s="96"/>
      <c r="O185" s="96"/>
      <c r="P185" s="96"/>
      <c r="Q185" s="42">
        <f t="shared" si="27"/>
        <v>20</v>
      </c>
      <c r="R185" s="42">
        <f t="shared" si="28"/>
        <v>1.1345166647426841</v>
      </c>
      <c r="S185" s="42">
        <f t="shared" si="29"/>
        <v>22.69033329485368</v>
      </c>
      <c r="T185" s="93">
        <v>5</v>
      </c>
      <c r="U185" s="41">
        <f t="shared" si="30"/>
        <v>1.1345166647426841</v>
      </c>
      <c r="V185" s="43">
        <f t="shared" si="37"/>
        <v>5.67258332371342</v>
      </c>
      <c r="W185" s="44">
        <f t="shared" si="35"/>
        <v>15</v>
      </c>
      <c r="X185" s="44">
        <f t="shared" si="31"/>
        <v>1.1345166647426841</v>
      </c>
      <c r="Y185" s="166">
        <f t="shared" si="36"/>
        <v>17.017749971140262</v>
      </c>
      <c r="AA185" s="131"/>
      <c r="AB185" s="131"/>
      <c r="AC185" s="191"/>
    </row>
    <row r="186" spans="1:29" customFormat="1" ht="15.65" customHeight="1" x14ac:dyDescent="0.25">
      <c r="A186" s="168" t="s">
        <v>71</v>
      </c>
      <c r="B186" s="140" t="s">
        <v>79</v>
      </c>
      <c r="C186" s="113">
        <v>20</v>
      </c>
      <c r="D186" s="141">
        <v>1.5037447109148583</v>
      </c>
      <c r="E186" s="113">
        <f t="shared" si="32"/>
        <v>30.074894218297167</v>
      </c>
      <c r="F186" s="41"/>
      <c r="G186" s="41"/>
      <c r="H186" s="41">
        <f t="shared" si="33"/>
        <v>0</v>
      </c>
      <c r="I186" s="96">
        <f t="shared" si="26"/>
        <v>0</v>
      </c>
      <c r="J186" s="41"/>
      <c r="K186" s="41"/>
      <c r="L186" s="41"/>
      <c r="M186" s="96">
        <f t="shared" si="34"/>
        <v>0</v>
      </c>
      <c r="N186" s="96"/>
      <c r="O186" s="96"/>
      <c r="P186" s="96"/>
      <c r="Q186" s="42">
        <f t="shared" si="27"/>
        <v>20</v>
      </c>
      <c r="R186" s="42">
        <f t="shared" si="28"/>
        <v>1.5037447109148583</v>
      </c>
      <c r="S186" s="42">
        <f t="shared" si="29"/>
        <v>30.074894218297167</v>
      </c>
      <c r="T186" s="93">
        <v>10</v>
      </c>
      <c r="U186" s="41">
        <f t="shared" si="30"/>
        <v>1.5037447109148583</v>
      </c>
      <c r="V186" s="43">
        <f t="shared" si="37"/>
        <v>15.037447109148584</v>
      </c>
      <c r="W186" s="44">
        <f t="shared" si="35"/>
        <v>10</v>
      </c>
      <c r="X186" s="44">
        <f t="shared" si="31"/>
        <v>1.5037447109148583</v>
      </c>
      <c r="Y186" s="166">
        <f t="shared" si="36"/>
        <v>15.037447109148584</v>
      </c>
      <c r="AA186" s="131"/>
      <c r="AB186" s="131"/>
      <c r="AC186" s="191"/>
    </row>
    <row r="187" spans="1:29" customFormat="1" ht="15.5" customHeight="1" x14ac:dyDescent="0.25">
      <c r="A187" s="168" t="s">
        <v>76</v>
      </c>
      <c r="B187" s="140" t="s">
        <v>79</v>
      </c>
      <c r="C187" s="113">
        <v>0</v>
      </c>
      <c r="D187" s="141" t="s">
        <v>248</v>
      </c>
      <c r="E187" s="113">
        <f t="shared" si="32"/>
        <v>0</v>
      </c>
      <c r="F187" s="41"/>
      <c r="G187" s="41"/>
      <c r="H187" s="41">
        <f t="shared" si="33"/>
        <v>0</v>
      </c>
      <c r="I187" s="96">
        <f t="shared" si="26"/>
        <v>0</v>
      </c>
      <c r="J187" s="41"/>
      <c r="K187" s="41"/>
      <c r="L187" s="41"/>
      <c r="M187" s="96">
        <f t="shared" si="34"/>
        <v>0</v>
      </c>
      <c r="N187" s="96"/>
      <c r="O187" s="96"/>
      <c r="P187" s="96"/>
      <c r="Q187" s="42">
        <f t="shared" si="27"/>
        <v>0</v>
      </c>
      <c r="R187" s="42" t="str">
        <f t="shared" si="28"/>
        <v>0.00</v>
      </c>
      <c r="S187" s="42">
        <f t="shared" si="29"/>
        <v>0</v>
      </c>
      <c r="T187" s="93">
        <v>0</v>
      </c>
      <c r="U187" s="41" t="str">
        <f t="shared" si="30"/>
        <v>0.00</v>
      </c>
      <c r="V187" s="43">
        <f t="shared" si="37"/>
        <v>0</v>
      </c>
      <c r="W187" s="44">
        <f t="shared" si="35"/>
        <v>0</v>
      </c>
      <c r="X187" s="44" t="str">
        <f t="shared" si="31"/>
        <v>0.00</v>
      </c>
      <c r="Y187" s="166">
        <f t="shared" si="36"/>
        <v>0</v>
      </c>
      <c r="AA187" s="131"/>
      <c r="AB187" s="131"/>
      <c r="AC187" s="191"/>
    </row>
    <row r="188" spans="1:29" customFormat="1" ht="15.5" customHeight="1" x14ac:dyDescent="0.25">
      <c r="A188" s="168" t="s">
        <v>273</v>
      </c>
      <c r="B188" s="140" t="s">
        <v>79</v>
      </c>
      <c r="C188" s="113">
        <v>30</v>
      </c>
      <c r="D188" s="141">
        <v>2.2125562725042243</v>
      </c>
      <c r="E188" s="113">
        <f t="shared" si="32"/>
        <v>66.376688175126731</v>
      </c>
      <c r="F188" s="41"/>
      <c r="G188" s="41"/>
      <c r="H188" s="41">
        <f t="shared" si="33"/>
        <v>0</v>
      </c>
      <c r="I188" s="96">
        <f t="shared" si="26"/>
        <v>0</v>
      </c>
      <c r="J188" s="41"/>
      <c r="K188" s="41"/>
      <c r="L188" s="41"/>
      <c r="M188" s="96">
        <f t="shared" si="34"/>
        <v>0</v>
      </c>
      <c r="N188" s="96"/>
      <c r="O188" s="96"/>
      <c r="P188" s="96"/>
      <c r="Q188" s="42">
        <f t="shared" si="27"/>
        <v>30</v>
      </c>
      <c r="R188" s="42">
        <f t="shared" si="28"/>
        <v>2.2125562725042243</v>
      </c>
      <c r="S188" s="42">
        <f t="shared" si="29"/>
        <v>66.376688175126731</v>
      </c>
      <c r="T188" s="93">
        <v>12</v>
      </c>
      <c r="U188" s="41">
        <f t="shared" si="30"/>
        <v>2.2125562725042243</v>
      </c>
      <c r="V188" s="43">
        <f t="shared" si="37"/>
        <v>26.550675270050689</v>
      </c>
      <c r="W188" s="44">
        <f t="shared" si="35"/>
        <v>18</v>
      </c>
      <c r="X188" s="44">
        <f t="shared" si="31"/>
        <v>2.2125562725042243</v>
      </c>
      <c r="Y188" s="166">
        <f t="shared" si="36"/>
        <v>39.826012905076034</v>
      </c>
      <c r="AA188" s="131"/>
      <c r="AB188" s="131"/>
      <c r="AC188" s="191"/>
    </row>
    <row r="189" spans="1:29" customFormat="1" ht="15.5" customHeight="1" x14ac:dyDescent="0.25">
      <c r="A189" s="168" t="s">
        <v>171</v>
      </c>
      <c r="B189" s="140" t="s">
        <v>79</v>
      </c>
      <c r="C189" s="113">
        <v>30</v>
      </c>
      <c r="D189" s="141">
        <v>1.977042984795339</v>
      </c>
      <c r="E189" s="113">
        <f t="shared" si="32"/>
        <v>59.31128954386017</v>
      </c>
      <c r="F189" s="41"/>
      <c r="G189" s="41"/>
      <c r="H189" s="41">
        <f t="shared" si="33"/>
        <v>0</v>
      </c>
      <c r="I189" s="96">
        <f t="shared" si="26"/>
        <v>0</v>
      </c>
      <c r="J189" s="41"/>
      <c r="K189" s="41"/>
      <c r="L189" s="41"/>
      <c r="M189" s="96">
        <f t="shared" si="34"/>
        <v>0</v>
      </c>
      <c r="N189" s="96"/>
      <c r="O189" s="96"/>
      <c r="P189" s="96"/>
      <c r="Q189" s="42">
        <f t="shared" si="27"/>
        <v>30</v>
      </c>
      <c r="R189" s="42">
        <f t="shared" si="28"/>
        <v>1.977042984795339</v>
      </c>
      <c r="S189" s="42">
        <f t="shared" si="29"/>
        <v>59.31128954386017</v>
      </c>
      <c r="T189" s="93">
        <v>12</v>
      </c>
      <c r="U189" s="41">
        <f t="shared" si="30"/>
        <v>1.977042984795339</v>
      </c>
      <c r="V189" s="43">
        <f t="shared" si="37"/>
        <v>23.724515817544066</v>
      </c>
      <c r="W189" s="44">
        <f t="shared" si="35"/>
        <v>18</v>
      </c>
      <c r="X189" s="44">
        <f t="shared" si="31"/>
        <v>1.977042984795339</v>
      </c>
      <c r="Y189" s="166">
        <f t="shared" si="36"/>
        <v>35.586773726316103</v>
      </c>
      <c r="AA189" s="131"/>
      <c r="AB189" s="131"/>
      <c r="AC189" s="191"/>
    </row>
    <row r="190" spans="1:29" customFormat="1" ht="13.5" customHeight="1" x14ac:dyDescent="0.25">
      <c r="A190" s="197" t="s">
        <v>243</v>
      </c>
      <c r="B190" s="140" t="s">
        <v>79</v>
      </c>
      <c r="C190" s="113">
        <v>3</v>
      </c>
      <c r="D190" s="141">
        <v>4.8846153846153841</v>
      </c>
      <c r="E190" s="113">
        <f t="shared" si="32"/>
        <v>14.653846153846153</v>
      </c>
      <c r="F190" s="41"/>
      <c r="G190" s="41"/>
      <c r="H190" s="41">
        <f t="shared" si="33"/>
        <v>0</v>
      </c>
      <c r="I190" s="96">
        <f t="shared" si="26"/>
        <v>0</v>
      </c>
      <c r="J190" s="41"/>
      <c r="K190" s="41"/>
      <c r="L190" s="41"/>
      <c r="M190" s="96">
        <f t="shared" si="34"/>
        <v>0</v>
      </c>
      <c r="N190" s="96"/>
      <c r="O190" s="96"/>
      <c r="P190" s="96"/>
      <c r="Q190" s="42">
        <f t="shared" si="27"/>
        <v>3</v>
      </c>
      <c r="R190" s="42">
        <f t="shared" si="28"/>
        <v>4.8846153846153841</v>
      </c>
      <c r="S190" s="42">
        <f t="shared" si="29"/>
        <v>14.653846153846153</v>
      </c>
      <c r="T190" s="93">
        <v>0</v>
      </c>
      <c r="U190" s="41">
        <f t="shared" si="30"/>
        <v>4.8846153846153841</v>
      </c>
      <c r="V190" s="43">
        <f t="shared" si="37"/>
        <v>0</v>
      </c>
      <c r="W190" s="44">
        <f t="shared" si="35"/>
        <v>3</v>
      </c>
      <c r="X190" s="44">
        <f t="shared" si="31"/>
        <v>4.8846153846153841</v>
      </c>
      <c r="Y190" s="166">
        <f t="shared" si="36"/>
        <v>14.653846153846153</v>
      </c>
      <c r="AA190" s="131"/>
      <c r="AB190" s="131"/>
      <c r="AC190" s="191"/>
    </row>
    <row r="191" spans="1:29" customFormat="1" ht="15.5" customHeight="1" x14ac:dyDescent="0.25">
      <c r="A191" s="197" t="s">
        <v>244</v>
      </c>
      <c r="B191" s="140" t="s">
        <v>79</v>
      </c>
      <c r="C191" s="113">
        <v>3</v>
      </c>
      <c r="D191" s="141">
        <v>5.0769230769230766</v>
      </c>
      <c r="E191" s="113">
        <f t="shared" si="32"/>
        <v>15.23076923076923</v>
      </c>
      <c r="F191" s="41"/>
      <c r="G191" s="41"/>
      <c r="H191" s="41">
        <f t="shared" si="33"/>
        <v>0</v>
      </c>
      <c r="I191" s="96">
        <f t="shared" si="26"/>
        <v>0</v>
      </c>
      <c r="J191" s="41"/>
      <c r="K191" s="41"/>
      <c r="L191" s="41"/>
      <c r="M191" s="96">
        <f t="shared" si="34"/>
        <v>0</v>
      </c>
      <c r="N191" s="96"/>
      <c r="O191" s="96"/>
      <c r="P191" s="96"/>
      <c r="Q191" s="42">
        <f t="shared" si="27"/>
        <v>3</v>
      </c>
      <c r="R191" s="42">
        <f t="shared" si="28"/>
        <v>5.0769230769230766</v>
      </c>
      <c r="S191" s="42">
        <f t="shared" si="29"/>
        <v>15.23076923076923</v>
      </c>
      <c r="T191" s="93">
        <v>0</v>
      </c>
      <c r="U191" s="41">
        <f t="shared" si="30"/>
        <v>5.0769230769230766</v>
      </c>
      <c r="V191" s="43">
        <f t="shared" si="37"/>
        <v>0</v>
      </c>
      <c r="W191" s="44">
        <f t="shared" si="35"/>
        <v>3</v>
      </c>
      <c r="X191" s="44">
        <f t="shared" si="31"/>
        <v>5.0769230769230766</v>
      </c>
      <c r="Y191" s="166">
        <f t="shared" si="36"/>
        <v>15.23076923076923</v>
      </c>
      <c r="AA191" s="131"/>
      <c r="AB191" s="131"/>
      <c r="AC191" s="191"/>
    </row>
    <row r="192" spans="1:29" customFormat="1" ht="15.5" customHeight="1" x14ac:dyDescent="0.25">
      <c r="A192" s="197" t="s">
        <v>289</v>
      </c>
      <c r="B192" s="140" t="s">
        <v>79</v>
      </c>
      <c r="C192" s="113">
        <v>0</v>
      </c>
      <c r="D192" s="141" t="s">
        <v>248</v>
      </c>
      <c r="E192" s="113">
        <f t="shared" si="32"/>
        <v>0</v>
      </c>
      <c r="F192" s="41"/>
      <c r="G192" s="41"/>
      <c r="H192" s="41">
        <f t="shared" si="33"/>
        <v>0</v>
      </c>
      <c r="I192" s="96">
        <f t="shared" si="26"/>
        <v>0</v>
      </c>
      <c r="J192" s="41"/>
      <c r="K192" s="41"/>
      <c r="L192" s="41"/>
      <c r="M192" s="96">
        <f t="shared" si="34"/>
        <v>0</v>
      </c>
      <c r="N192" s="96"/>
      <c r="O192" s="96"/>
      <c r="P192" s="96"/>
      <c r="Q192" s="42">
        <f t="shared" si="27"/>
        <v>0</v>
      </c>
      <c r="R192" s="42" t="str">
        <f t="shared" si="28"/>
        <v>0.00</v>
      </c>
      <c r="S192" s="42">
        <f t="shared" si="29"/>
        <v>0</v>
      </c>
      <c r="T192" s="93">
        <v>0</v>
      </c>
      <c r="U192" s="41" t="str">
        <f t="shared" si="30"/>
        <v>0.00</v>
      </c>
      <c r="V192" s="43">
        <f t="shared" si="37"/>
        <v>0</v>
      </c>
      <c r="W192" s="44">
        <f t="shared" si="35"/>
        <v>0</v>
      </c>
      <c r="X192" s="44" t="str">
        <f t="shared" si="31"/>
        <v>0.00</v>
      </c>
      <c r="Y192" s="166">
        <f t="shared" si="36"/>
        <v>0</v>
      </c>
      <c r="AA192" s="131"/>
      <c r="AB192" s="131"/>
      <c r="AC192" s="191"/>
    </row>
    <row r="193" spans="1:29" customFormat="1" ht="15.5" customHeight="1" x14ac:dyDescent="0.25">
      <c r="A193" s="197" t="s">
        <v>346</v>
      </c>
      <c r="B193" s="140" t="s">
        <v>79</v>
      </c>
      <c r="C193" s="113">
        <v>0</v>
      </c>
      <c r="D193" s="141" t="s">
        <v>248</v>
      </c>
      <c r="E193" s="113">
        <f t="shared" ref="E193:E194" si="45">C193*D193</f>
        <v>0</v>
      </c>
      <c r="F193" s="41"/>
      <c r="G193" s="41"/>
      <c r="H193" s="41">
        <f t="shared" si="33"/>
        <v>0</v>
      </c>
      <c r="I193" s="96">
        <f t="shared" si="26"/>
        <v>0</v>
      </c>
      <c r="J193" s="41"/>
      <c r="K193" s="41"/>
      <c r="L193" s="41"/>
      <c r="M193" s="96">
        <f t="shared" si="34"/>
        <v>0</v>
      </c>
      <c r="N193" s="96"/>
      <c r="O193" s="96"/>
      <c r="P193" s="96"/>
      <c r="Q193" s="42">
        <f t="shared" si="27"/>
        <v>0</v>
      </c>
      <c r="R193" s="42" t="str">
        <f t="shared" ref="R193" si="46">IF(Q193=0,"0.00",S193/Q193)</f>
        <v>0.00</v>
      </c>
      <c r="S193" s="42">
        <f t="shared" si="29"/>
        <v>0</v>
      </c>
      <c r="T193" s="93">
        <v>0</v>
      </c>
      <c r="U193" s="41" t="str">
        <f t="shared" ref="U193" si="47">R193</f>
        <v>0.00</v>
      </c>
      <c r="V193" s="43">
        <f t="shared" ref="V193" si="48">T193*U193</f>
        <v>0</v>
      </c>
      <c r="W193" s="44">
        <f t="shared" ref="W193" si="49">Q193-T193</f>
        <v>0</v>
      </c>
      <c r="X193" s="44" t="str">
        <f t="shared" ref="X193" si="50">R193</f>
        <v>0.00</v>
      </c>
      <c r="Y193" s="166">
        <f t="shared" ref="Y193" si="51">W193*X193</f>
        <v>0</v>
      </c>
      <c r="AA193" s="131"/>
      <c r="AB193" s="131"/>
      <c r="AC193" s="191"/>
    </row>
    <row r="194" spans="1:29" customFormat="1" ht="15.5" customHeight="1" x14ac:dyDescent="0.25">
      <c r="A194" s="197" t="s">
        <v>321</v>
      </c>
      <c r="B194" s="140" t="s">
        <v>79</v>
      </c>
      <c r="C194" s="113">
        <v>0</v>
      </c>
      <c r="D194" s="141" t="s">
        <v>248</v>
      </c>
      <c r="E194" s="113">
        <f t="shared" si="45"/>
        <v>0</v>
      </c>
      <c r="F194" s="41"/>
      <c r="G194" s="41"/>
      <c r="H194" s="41">
        <f t="shared" si="33"/>
        <v>0</v>
      </c>
      <c r="I194" s="96">
        <f t="shared" si="26"/>
        <v>0</v>
      </c>
      <c r="J194" s="41"/>
      <c r="K194" s="41"/>
      <c r="L194" s="41"/>
      <c r="M194" s="96">
        <f t="shared" si="34"/>
        <v>0</v>
      </c>
      <c r="N194" s="96"/>
      <c r="O194" s="96"/>
      <c r="P194" s="96"/>
      <c r="Q194" s="42">
        <f t="shared" si="27"/>
        <v>0</v>
      </c>
      <c r="R194" s="42" t="str">
        <f t="shared" ref="R194" si="52">IF(Q194=0,"0.00",S194/Q194)</f>
        <v>0.00</v>
      </c>
      <c r="S194" s="42">
        <f t="shared" si="29"/>
        <v>0</v>
      </c>
      <c r="T194" s="93">
        <v>0</v>
      </c>
      <c r="U194" s="41" t="str">
        <f t="shared" ref="U194" si="53">R194</f>
        <v>0.00</v>
      </c>
      <c r="V194" s="43">
        <f t="shared" ref="V194" si="54">T194*U194</f>
        <v>0</v>
      </c>
      <c r="W194" s="44">
        <f t="shared" ref="W194" si="55">Q194-T194</f>
        <v>0</v>
      </c>
      <c r="X194" s="44" t="str">
        <f t="shared" ref="X194" si="56">R194</f>
        <v>0.00</v>
      </c>
      <c r="Y194" s="166">
        <f t="shared" ref="Y194" si="57">W194*X194</f>
        <v>0</v>
      </c>
      <c r="AA194" s="131"/>
      <c r="AB194" s="131"/>
      <c r="AC194" s="191"/>
    </row>
    <row r="195" spans="1:29" customFormat="1" ht="15.5" customHeight="1" x14ac:dyDescent="0.25">
      <c r="A195" s="197" t="s">
        <v>322</v>
      </c>
      <c r="B195" s="140" t="s">
        <v>79</v>
      </c>
      <c r="C195" s="113">
        <v>0</v>
      </c>
      <c r="D195" s="141" t="s">
        <v>248</v>
      </c>
      <c r="E195" s="113">
        <f t="shared" ref="E195" si="58">C195*D195</f>
        <v>0</v>
      </c>
      <c r="F195" s="41"/>
      <c r="G195" s="41"/>
      <c r="H195" s="41">
        <f t="shared" si="33"/>
        <v>0</v>
      </c>
      <c r="I195" s="96">
        <f t="shared" si="26"/>
        <v>0</v>
      </c>
      <c r="J195" s="41"/>
      <c r="K195" s="41"/>
      <c r="L195" s="41"/>
      <c r="M195" s="96">
        <f t="shared" si="34"/>
        <v>0</v>
      </c>
      <c r="N195" s="96"/>
      <c r="O195" s="96"/>
      <c r="P195" s="96"/>
      <c r="Q195" s="42">
        <f t="shared" si="27"/>
        <v>0</v>
      </c>
      <c r="R195" s="42" t="str">
        <f t="shared" ref="R195" si="59">IF(Q195=0,"0.00",S195/Q195)</f>
        <v>0.00</v>
      </c>
      <c r="S195" s="42">
        <f t="shared" si="29"/>
        <v>0</v>
      </c>
      <c r="T195" s="93">
        <v>0</v>
      </c>
      <c r="U195" s="41" t="str">
        <f t="shared" ref="U195" si="60">R195</f>
        <v>0.00</v>
      </c>
      <c r="V195" s="43">
        <f t="shared" ref="V195" si="61">T195*U195</f>
        <v>0</v>
      </c>
      <c r="W195" s="44">
        <f t="shared" ref="W195" si="62">Q195-T195</f>
        <v>0</v>
      </c>
      <c r="X195" s="44" t="str">
        <f t="shared" ref="X195" si="63">R195</f>
        <v>0.00</v>
      </c>
      <c r="Y195" s="166">
        <f t="shared" ref="Y195" si="64">W195*X195</f>
        <v>0</v>
      </c>
      <c r="AA195" s="131"/>
      <c r="AB195" s="131"/>
      <c r="AC195" s="191"/>
    </row>
    <row r="196" spans="1:29" customFormat="1" ht="15.5" customHeight="1" x14ac:dyDescent="0.25">
      <c r="A196" s="168" t="s">
        <v>172</v>
      </c>
      <c r="B196" s="140" t="s">
        <v>77</v>
      </c>
      <c r="C196" s="113">
        <v>180</v>
      </c>
      <c r="D196" s="141">
        <v>1.2346505373185863</v>
      </c>
      <c r="E196" s="113">
        <f t="shared" si="32"/>
        <v>222.23709671734554</v>
      </c>
      <c r="F196" s="41"/>
      <c r="G196" s="41"/>
      <c r="H196" s="41">
        <f t="shared" si="33"/>
        <v>0</v>
      </c>
      <c r="I196" s="96">
        <f t="shared" si="26"/>
        <v>0</v>
      </c>
      <c r="J196" s="41"/>
      <c r="K196" s="41"/>
      <c r="L196" s="41"/>
      <c r="M196" s="96">
        <f t="shared" si="34"/>
        <v>0</v>
      </c>
      <c r="N196" s="96"/>
      <c r="O196" s="96"/>
      <c r="P196" s="96"/>
      <c r="Q196" s="42">
        <f t="shared" si="27"/>
        <v>180</v>
      </c>
      <c r="R196" s="42">
        <f t="shared" si="28"/>
        <v>1.2346505373185863</v>
      </c>
      <c r="S196" s="42">
        <f t="shared" si="29"/>
        <v>222.23709671734554</v>
      </c>
      <c r="T196" s="93">
        <v>48</v>
      </c>
      <c r="U196" s="41">
        <f t="shared" si="30"/>
        <v>1.2346505373185863</v>
      </c>
      <c r="V196" s="43">
        <f t="shared" si="37"/>
        <v>59.263225791292143</v>
      </c>
      <c r="W196" s="44">
        <f t="shared" si="35"/>
        <v>132</v>
      </c>
      <c r="X196" s="44">
        <f t="shared" si="31"/>
        <v>1.2346505373185863</v>
      </c>
      <c r="Y196" s="166">
        <f t="shared" si="36"/>
        <v>162.97387092605339</v>
      </c>
      <c r="AA196" s="131"/>
      <c r="AB196" s="131"/>
      <c r="AC196" s="191"/>
    </row>
    <row r="197" spans="1:29" customFormat="1" ht="15.5" customHeight="1" x14ac:dyDescent="0.25">
      <c r="A197" s="175" t="s">
        <v>191</v>
      </c>
      <c r="B197" s="142" t="s">
        <v>70</v>
      </c>
      <c r="C197" s="113">
        <v>30</v>
      </c>
      <c r="D197" s="141">
        <v>5.4535619365788408</v>
      </c>
      <c r="E197" s="113">
        <f t="shared" si="32"/>
        <v>163.60685809736523</v>
      </c>
      <c r="F197" s="41"/>
      <c r="G197" s="41"/>
      <c r="H197" s="41">
        <f t="shared" si="33"/>
        <v>0</v>
      </c>
      <c r="I197" s="96">
        <f t="shared" si="26"/>
        <v>0</v>
      </c>
      <c r="J197" s="41"/>
      <c r="K197" s="41"/>
      <c r="L197" s="41"/>
      <c r="M197" s="96">
        <f t="shared" si="34"/>
        <v>0</v>
      </c>
      <c r="N197" s="96"/>
      <c r="O197" s="96"/>
      <c r="P197" s="96"/>
      <c r="Q197" s="42">
        <f t="shared" si="27"/>
        <v>30</v>
      </c>
      <c r="R197" s="42">
        <f t="shared" si="28"/>
        <v>5.4535619365788408</v>
      </c>
      <c r="S197" s="42">
        <f t="shared" si="29"/>
        <v>163.60685809736523</v>
      </c>
      <c r="T197" s="93">
        <v>20</v>
      </c>
      <c r="U197" s="41">
        <f t="shared" si="30"/>
        <v>5.4535619365788408</v>
      </c>
      <c r="V197" s="43">
        <f t="shared" si="37"/>
        <v>109.07123873157681</v>
      </c>
      <c r="W197" s="44">
        <f t="shared" si="35"/>
        <v>10</v>
      </c>
      <c r="X197" s="44">
        <f t="shared" si="31"/>
        <v>5.4535619365788408</v>
      </c>
      <c r="Y197" s="166">
        <f t="shared" si="36"/>
        <v>54.535619365788406</v>
      </c>
      <c r="AA197" s="131"/>
      <c r="AB197" s="131"/>
      <c r="AC197" s="191"/>
    </row>
    <row r="198" spans="1:29" customFormat="1" ht="15.65" customHeight="1" x14ac:dyDescent="0.25">
      <c r="A198" s="168" t="s">
        <v>173</v>
      </c>
      <c r="B198" s="140" t="s">
        <v>70</v>
      </c>
      <c r="C198" s="113">
        <v>40</v>
      </c>
      <c r="D198" s="141">
        <v>1.8304149539740793</v>
      </c>
      <c r="E198" s="113">
        <f t="shared" si="32"/>
        <v>73.216598158963166</v>
      </c>
      <c r="F198" s="41"/>
      <c r="G198" s="41"/>
      <c r="H198" s="41">
        <f t="shared" si="33"/>
        <v>0</v>
      </c>
      <c r="I198" s="96">
        <f t="shared" si="26"/>
        <v>0</v>
      </c>
      <c r="J198" s="41"/>
      <c r="K198" s="41"/>
      <c r="L198" s="41"/>
      <c r="M198" s="96">
        <f t="shared" si="34"/>
        <v>0</v>
      </c>
      <c r="N198" s="96"/>
      <c r="O198" s="96"/>
      <c r="P198" s="96"/>
      <c r="Q198" s="42">
        <f t="shared" si="27"/>
        <v>40</v>
      </c>
      <c r="R198" s="42">
        <f t="shared" si="28"/>
        <v>1.8304149539740791</v>
      </c>
      <c r="S198" s="42">
        <f t="shared" si="29"/>
        <v>73.216598158963166</v>
      </c>
      <c r="T198" s="93">
        <v>20</v>
      </c>
      <c r="U198" s="41">
        <f t="shared" si="30"/>
        <v>1.8304149539740791</v>
      </c>
      <c r="V198" s="43">
        <f t="shared" si="37"/>
        <v>36.608299079481583</v>
      </c>
      <c r="W198" s="44">
        <f t="shared" si="35"/>
        <v>20</v>
      </c>
      <c r="X198" s="44">
        <f t="shared" si="31"/>
        <v>1.8304149539740791</v>
      </c>
      <c r="Y198" s="166">
        <f t="shared" si="36"/>
        <v>36.608299079481583</v>
      </c>
      <c r="AA198" s="131"/>
      <c r="AB198" s="131"/>
      <c r="AC198" s="191"/>
    </row>
    <row r="199" spans="1:29" customFormat="1" ht="15.5" customHeight="1" x14ac:dyDescent="0.25">
      <c r="A199" s="168" t="s">
        <v>174</v>
      </c>
      <c r="B199" s="140" t="s">
        <v>79</v>
      </c>
      <c r="C199" s="113">
        <v>35</v>
      </c>
      <c r="D199" s="141">
        <v>6.7404832713283556</v>
      </c>
      <c r="E199" s="113">
        <f t="shared" si="32"/>
        <v>235.91691449649244</v>
      </c>
      <c r="F199" s="41"/>
      <c r="G199" s="41"/>
      <c r="H199" s="41">
        <f t="shared" si="33"/>
        <v>0</v>
      </c>
      <c r="I199" s="96">
        <f t="shared" si="26"/>
        <v>0</v>
      </c>
      <c r="J199" s="41"/>
      <c r="K199" s="41"/>
      <c r="L199" s="41"/>
      <c r="M199" s="96">
        <f t="shared" si="34"/>
        <v>0</v>
      </c>
      <c r="N199" s="96"/>
      <c r="O199" s="96"/>
      <c r="P199" s="96"/>
      <c r="Q199" s="42">
        <f t="shared" si="27"/>
        <v>35</v>
      </c>
      <c r="R199" s="42">
        <f t="shared" si="28"/>
        <v>6.7404832713283556</v>
      </c>
      <c r="S199" s="42">
        <f t="shared" si="29"/>
        <v>235.91691449649244</v>
      </c>
      <c r="T199" s="93">
        <v>15</v>
      </c>
      <c r="U199" s="41">
        <f t="shared" si="30"/>
        <v>6.7404832713283556</v>
      </c>
      <c r="V199" s="43">
        <f t="shared" si="37"/>
        <v>101.10724906992533</v>
      </c>
      <c r="W199" s="44">
        <f t="shared" si="35"/>
        <v>20</v>
      </c>
      <c r="X199" s="44">
        <f t="shared" si="31"/>
        <v>6.7404832713283556</v>
      </c>
      <c r="Y199" s="166">
        <f t="shared" si="36"/>
        <v>134.80966542656711</v>
      </c>
      <c r="AA199" s="131"/>
      <c r="AB199" s="131"/>
      <c r="AC199" s="191"/>
    </row>
    <row r="200" spans="1:29" customFormat="1" ht="15.5" customHeight="1" x14ac:dyDescent="0.25">
      <c r="A200" s="168" t="s">
        <v>175</v>
      </c>
      <c r="B200" s="140" t="s">
        <v>77</v>
      </c>
      <c r="C200" s="113">
        <v>40</v>
      </c>
      <c r="D200" s="141">
        <v>3.2790943973136395</v>
      </c>
      <c r="E200" s="113">
        <f t="shared" si="32"/>
        <v>131.16377589254557</v>
      </c>
      <c r="F200" s="41"/>
      <c r="G200" s="41"/>
      <c r="H200" s="41">
        <f t="shared" si="33"/>
        <v>0</v>
      </c>
      <c r="I200" s="96">
        <f t="shared" ref="I200:I263" si="65">F200*H200</f>
        <v>0</v>
      </c>
      <c r="J200" s="41"/>
      <c r="K200" s="41"/>
      <c r="L200" s="41"/>
      <c r="M200" s="96">
        <f t="shared" si="34"/>
        <v>0</v>
      </c>
      <c r="N200" s="96"/>
      <c r="O200" s="96"/>
      <c r="P200" s="96"/>
      <c r="Q200" s="42">
        <f t="shared" ref="Q200:Q263" si="66">C200+F200+J200+N200</f>
        <v>40</v>
      </c>
      <c r="R200" s="42">
        <f t="shared" si="28"/>
        <v>3.2790943973136395</v>
      </c>
      <c r="S200" s="42">
        <f t="shared" ref="S200:S263" si="67">E200+I200+M200+P200</f>
        <v>131.16377589254557</v>
      </c>
      <c r="T200" s="93">
        <v>10</v>
      </c>
      <c r="U200" s="41">
        <f t="shared" si="30"/>
        <v>3.2790943973136395</v>
      </c>
      <c r="V200" s="43">
        <f t="shared" si="37"/>
        <v>32.790943973136393</v>
      </c>
      <c r="W200" s="44">
        <f t="shared" si="35"/>
        <v>30</v>
      </c>
      <c r="X200" s="44">
        <f t="shared" si="31"/>
        <v>3.2790943973136395</v>
      </c>
      <c r="Y200" s="166">
        <f t="shared" si="36"/>
        <v>98.37283191940918</v>
      </c>
      <c r="AA200" s="131"/>
      <c r="AB200" s="131"/>
      <c r="AC200" s="191"/>
    </row>
    <row r="201" spans="1:29" customFormat="1" ht="15.5" customHeight="1" x14ac:dyDescent="0.25">
      <c r="A201" s="175" t="s">
        <v>192</v>
      </c>
      <c r="B201" s="142" t="s">
        <v>70</v>
      </c>
      <c r="C201" s="113">
        <v>5</v>
      </c>
      <c r="D201" s="141">
        <v>4.0769230769230766</v>
      </c>
      <c r="E201" s="113">
        <f t="shared" si="32"/>
        <v>20.384615384615383</v>
      </c>
      <c r="F201" s="41"/>
      <c r="G201" s="41"/>
      <c r="H201" s="41">
        <f t="shared" ref="H201:H264" si="68">G201/1.3</f>
        <v>0</v>
      </c>
      <c r="I201" s="96">
        <f t="shared" si="65"/>
        <v>0</v>
      </c>
      <c r="J201" s="41"/>
      <c r="K201" s="41"/>
      <c r="L201" s="41"/>
      <c r="M201" s="96">
        <f t="shared" ref="M201:M264" si="69">J201*L201</f>
        <v>0</v>
      </c>
      <c r="N201" s="96"/>
      <c r="O201" s="96"/>
      <c r="P201" s="96"/>
      <c r="Q201" s="42">
        <f t="shared" si="66"/>
        <v>5</v>
      </c>
      <c r="R201" s="42">
        <f t="shared" si="28"/>
        <v>4.0769230769230766</v>
      </c>
      <c r="S201" s="42">
        <f t="shared" si="67"/>
        <v>20.384615384615383</v>
      </c>
      <c r="T201" s="93">
        <v>2</v>
      </c>
      <c r="U201" s="41">
        <f t="shared" si="30"/>
        <v>4.0769230769230766</v>
      </c>
      <c r="V201" s="43">
        <f t="shared" si="37"/>
        <v>8.1538461538461533</v>
      </c>
      <c r="W201" s="44">
        <f t="shared" si="35"/>
        <v>3</v>
      </c>
      <c r="X201" s="44">
        <f t="shared" si="31"/>
        <v>4.0769230769230766</v>
      </c>
      <c r="Y201" s="166">
        <f t="shared" si="36"/>
        <v>12.23076923076923</v>
      </c>
      <c r="AA201" s="131"/>
      <c r="AB201" s="131"/>
      <c r="AC201" s="191"/>
    </row>
    <row r="202" spans="1:29" customFormat="1" ht="15.5" customHeight="1" x14ac:dyDescent="0.25">
      <c r="A202" s="168" t="s">
        <v>80</v>
      </c>
      <c r="B202" s="140" t="s">
        <v>77</v>
      </c>
      <c r="C202" s="113">
        <v>9</v>
      </c>
      <c r="D202" s="141">
        <v>4.0317913629634541</v>
      </c>
      <c r="E202" s="113">
        <f t="shared" si="32"/>
        <v>36.286122266671086</v>
      </c>
      <c r="F202" s="41"/>
      <c r="G202" s="41"/>
      <c r="H202" s="41">
        <f t="shared" si="68"/>
        <v>0</v>
      </c>
      <c r="I202" s="96">
        <f t="shared" si="65"/>
        <v>0</v>
      </c>
      <c r="J202" s="41"/>
      <c r="K202" s="41"/>
      <c r="L202" s="41"/>
      <c r="M202" s="96">
        <f t="shared" si="69"/>
        <v>0</v>
      </c>
      <c r="N202" s="96"/>
      <c r="O202" s="96"/>
      <c r="P202" s="96"/>
      <c r="Q202" s="42">
        <f t="shared" si="66"/>
        <v>9</v>
      </c>
      <c r="R202" s="42">
        <f t="shared" si="28"/>
        <v>4.0317913629634541</v>
      </c>
      <c r="S202" s="42">
        <f t="shared" si="67"/>
        <v>36.286122266671086</v>
      </c>
      <c r="T202" s="93">
        <v>5</v>
      </c>
      <c r="U202" s="41">
        <f t="shared" si="30"/>
        <v>4.0317913629634541</v>
      </c>
      <c r="V202" s="43">
        <f t="shared" si="37"/>
        <v>20.15895681481727</v>
      </c>
      <c r="W202" s="44">
        <f t="shared" si="35"/>
        <v>4</v>
      </c>
      <c r="X202" s="44">
        <f t="shared" si="31"/>
        <v>4.0317913629634541</v>
      </c>
      <c r="Y202" s="166">
        <f t="shared" si="36"/>
        <v>16.127165451853816</v>
      </c>
      <c r="AA202" s="131"/>
      <c r="AB202" s="131"/>
      <c r="AC202" s="191"/>
    </row>
    <row r="203" spans="1:29" customFormat="1" ht="15.5" customHeight="1" x14ac:dyDescent="0.25">
      <c r="A203" s="168" t="s">
        <v>297</v>
      </c>
      <c r="B203" s="140" t="s">
        <v>79</v>
      </c>
      <c r="C203" s="113">
        <v>7</v>
      </c>
      <c r="D203" s="141">
        <v>8.9926963263118989</v>
      </c>
      <c r="E203" s="113">
        <f t="shared" si="32"/>
        <v>62.94887428418329</v>
      </c>
      <c r="F203" s="41"/>
      <c r="G203" s="41"/>
      <c r="H203" s="41">
        <f t="shared" si="68"/>
        <v>0</v>
      </c>
      <c r="I203" s="96">
        <f t="shared" si="65"/>
        <v>0</v>
      </c>
      <c r="J203" s="41"/>
      <c r="K203" s="41"/>
      <c r="L203" s="41"/>
      <c r="M203" s="96">
        <f t="shared" si="69"/>
        <v>0</v>
      </c>
      <c r="N203" s="96"/>
      <c r="O203" s="96"/>
      <c r="P203" s="96"/>
      <c r="Q203" s="42">
        <f t="shared" si="66"/>
        <v>7</v>
      </c>
      <c r="R203" s="42">
        <f t="shared" si="28"/>
        <v>8.9926963263118989</v>
      </c>
      <c r="S203" s="42">
        <f t="shared" si="67"/>
        <v>62.94887428418329</v>
      </c>
      <c r="T203" s="93">
        <v>5</v>
      </c>
      <c r="U203" s="41">
        <f t="shared" si="30"/>
        <v>8.9926963263118989</v>
      </c>
      <c r="V203" s="43">
        <f t="shared" si="37"/>
        <v>44.963481631559496</v>
      </c>
      <c r="W203" s="44">
        <f t="shared" si="35"/>
        <v>2</v>
      </c>
      <c r="X203" s="44">
        <f t="shared" si="31"/>
        <v>8.9926963263118989</v>
      </c>
      <c r="Y203" s="166">
        <f t="shared" si="36"/>
        <v>17.985392652623798</v>
      </c>
      <c r="AA203" s="131"/>
      <c r="AB203" s="131"/>
      <c r="AC203" s="191"/>
    </row>
    <row r="204" spans="1:29" customFormat="1" ht="15.65" customHeight="1" x14ac:dyDescent="0.25">
      <c r="A204" s="168" t="s">
        <v>348</v>
      </c>
      <c r="B204" s="140" t="s">
        <v>77</v>
      </c>
      <c r="C204" s="113">
        <v>0</v>
      </c>
      <c r="D204" s="141">
        <v>1.3279248642965951</v>
      </c>
      <c r="E204" s="113">
        <f t="shared" si="32"/>
        <v>0</v>
      </c>
      <c r="F204" s="41"/>
      <c r="G204" s="41"/>
      <c r="H204" s="41">
        <f t="shared" si="68"/>
        <v>0</v>
      </c>
      <c r="I204" s="96">
        <f t="shared" si="65"/>
        <v>0</v>
      </c>
      <c r="J204" s="41"/>
      <c r="K204" s="41"/>
      <c r="L204" s="41"/>
      <c r="M204" s="96">
        <f t="shared" si="69"/>
        <v>0</v>
      </c>
      <c r="N204" s="96"/>
      <c r="O204" s="96"/>
      <c r="P204" s="96"/>
      <c r="Q204" s="42">
        <f t="shared" si="66"/>
        <v>0</v>
      </c>
      <c r="R204" s="42" t="str">
        <f t="shared" ref="R204:R266" si="70">IF(Q204=0,"0.00",S204/Q204)</f>
        <v>0.00</v>
      </c>
      <c r="S204" s="42">
        <f t="shared" si="67"/>
        <v>0</v>
      </c>
      <c r="T204" s="93">
        <v>0</v>
      </c>
      <c r="U204" s="41" t="str">
        <f t="shared" ref="U204:U266" si="71">R204</f>
        <v>0.00</v>
      </c>
      <c r="V204" s="43">
        <f t="shared" si="37"/>
        <v>0</v>
      </c>
      <c r="W204" s="44">
        <f t="shared" si="35"/>
        <v>0</v>
      </c>
      <c r="X204" s="44" t="str">
        <f t="shared" ref="X204:X266" si="72">R204</f>
        <v>0.00</v>
      </c>
      <c r="Y204" s="166">
        <f t="shared" si="36"/>
        <v>0</v>
      </c>
      <c r="AA204" s="131"/>
      <c r="AB204" s="131"/>
      <c r="AC204" s="191"/>
    </row>
    <row r="205" spans="1:29" customFormat="1" ht="15.5" customHeight="1" x14ac:dyDescent="0.25">
      <c r="A205" s="168" t="s">
        <v>176</v>
      </c>
      <c r="B205" s="140" t="s">
        <v>77</v>
      </c>
      <c r="C205" s="113">
        <v>24</v>
      </c>
      <c r="D205" s="141">
        <v>1.0751726176767529</v>
      </c>
      <c r="E205" s="113">
        <f t="shared" ref="E205:E267" si="73">C205*D205</f>
        <v>25.804142824242071</v>
      </c>
      <c r="F205" s="41"/>
      <c r="G205" s="41"/>
      <c r="H205" s="41">
        <f t="shared" si="68"/>
        <v>0</v>
      </c>
      <c r="I205" s="96">
        <f t="shared" si="65"/>
        <v>0</v>
      </c>
      <c r="J205" s="41"/>
      <c r="K205" s="41"/>
      <c r="L205" s="41"/>
      <c r="M205" s="96">
        <f t="shared" si="69"/>
        <v>0</v>
      </c>
      <c r="N205" s="96"/>
      <c r="O205" s="96"/>
      <c r="P205" s="96"/>
      <c r="Q205" s="42">
        <f t="shared" si="66"/>
        <v>24</v>
      </c>
      <c r="R205" s="42">
        <f t="shared" si="70"/>
        <v>1.0751726176767529</v>
      </c>
      <c r="S205" s="42">
        <f t="shared" si="67"/>
        <v>25.804142824242071</v>
      </c>
      <c r="T205" s="93">
        <v>18</v>
      </c>
      <c r="U205" s="41">
        <f t="shared" si="71"/>
        <v>1.0751726176767529</v>
      </c>
      <c r="V205" s="43">
        <f t="shared" si="37"/>
        <v>19.353107118181551</v>
      </c>
      <c r="W205" s="44">
        <f t="shared" ref="W205" si="74">Q205-T205</f>
        <v>6</v>
      </c>
      <c r="X205" s="44">
        <f t="shared" si="72"/>
        <v>1.0751726176767529</v>
      </c>
      <c r="Y205" s="166">
        <f t="shared" si="36"/>
        <v>6.4510357060605177</v>
      </c>
      <c r="AA205" s="131"/>
      <c r="AB205" s="131"/>
      <c r="AC205" s="191"/>
    </row>
    <row r="206" spans="1:29" customFormat="1" ht="15.65" customHeight="1" x14ac:dyDescent="0.25">
      <c r="A206" s="168" t="s">
        <v>177</v>
      </c>
      <c r="B206" s="140" t="s">
        <v>77</v>
      </c>
      <c r="C206" s="113">
        <v>24</v>
      </c>
      <c r="D206" s="141">
        <v>1.1523739551314742</v>
      </c>
      <c r="E206" s="113">
        <f t="shared" si="73"/>
        <v>27.656974923155381</v>
      </c>
      <c r="F206" s="41"/>
      <c r="G206" s="41"/>
      <c r="H206" s="41">
        <f t="shared" si="68"/>
        <v>0</v>
      </c>
      <c r="I206" s="96">
        <f t="shared" si="65"/>
        <v>0</v>
      </c>
      <c r="J206" s="41"/>
      <c r="K206" s="41"/>
      <c r="L206" s="41"/>
      <c r="M206" s="96">
        <f t="shared" si="69"/>
        <v>0</v>
      </c>
      <c r="N206" s="96"/>
      <c r="O206" s="96"/>
      <c r="P206" s="96"/>
      <c r="Q206" s="42">
        <f t="shared" si="66"/>
        <v>24</v>
      </c>
      <c r="R206" s="42">
        <f t="shared" si="70"/>
        <v>1.1523739551314742</v>
      </c>
      <c r="S206" s="42">
        <f t="shared" si="67"/>
        <v>27.656974923155381</v>
      </c>
      <c r="T206" s="93">
        <v>15</v>
      </c>
      <c r="U206" s="41">
        <f t="shared" si="71"/>
        <v>1.1523739551314742</v>
      </c>
      <c r="V206" s="43">
        <f t="shared" si="37"/>
        <v>17.285609326972114</v>
      </c>
      <c r="W206" s="44">
        <f t="shared" ref="W206:W267" si="75">Q206-T206</f>
        <v>9</v>
      </c>
      <c r="X206" s="44">
        <f t="shared" si="72"/>
        <v>1.1523739551314742</v>
      </c>
      <c r="Y206" s="166">
        <f t="shared" ref="Y206:Y242" si="76">W206*X206</f>
        <v>10.371365596183267</v>
      </c>
      <c r="AA206" s="131"/>
      <c r="AB206" s="131"/>
      <c r="AC206" s="191"/>
    </row>
    <row r="207" spans="1:29" customFormat="1" ht="15.5" customHeight="1" x14ac:dyDescent="0.25">
      <c r="A207" s="168" t="s">
        <v>178</v>
      </c>
      <c r="B207" s="140" t="s">
        <v>77</v>
      </c>
      <c r="C207" s="113">
        <v>6</v>
      </c>
      <c r="D207" s="141">
        <v>1.0220247567557932</v>
      </c>
      <c r="E207" s="113">
        <f t="shared" si="73"/>
        <v>6.1321485405347591</v>
      </c>
      <c r="F207" s="41"/>
      <c r="G207" s="41"/>
      <c r="H207" s="41">
        <f t="shared" si="68"/>
        <v>0</v>
      </c>
      <c r="I207" s="96">
        <f t="shared" si="65"/>
        <v>0</v>
      </c>
      <c r="J207" s="41"/>
      <c r="K207" s="41"/>
      <c r="L207" s="41"/>
      <c r="M207" s="96">
        <f t="shared" si="69"/>
        <v>0</v>
      </c>
      <c r="N207" s="96"/>
      <c r="O207" s="96"/>
      <c r="P207" s="96"/>
      <c r="Q207" s="42">
        <f t="shared" si="66"/>
        <v>6</v>
      </c>
      <c r="R207" s="42">
        <f t="shared" si="70"/>
        <v>1.0220247567557932</v>
      </c>
      <c r="S207" s="42">
        <f t="shared" si="67"/>
        <v>6.1321485405347591</v>
      </c>
      <c r="T207" s="93">
        <v>0</v>
      </c>
      <c r="U207" s="41">
        <f t="shared" si="71"/>
        <v>1.0220247567557932</v>
      </c>
      <c r="V207" s="43">
        <f t="shared" ref="V207:V243" si="77">T207*U207</f>
        <v>0</v>
      </c>
      <c r="W207" s="44">
        <f t="shared" si="75"/>
        <v>6</v>
      </c>
      <c r="X207" s="44">
        <f t="shared" si="72"/>
        <v>1.0220247567557932</v>
      </c>
      <c r="Y207" s="166">
        <f t="shared" si="76"/>
        <v>6.1321485405347591</v>
      </c>
      <c r="AA207" s="131"/>
      <c r="AB207" s="131"/>
      <c r="AC207" s="191"/>
    </row>
    <row r="208" spans="1:29" customFormat="1" ht="15.65" customHeight="1" x14ac:dyDescent="0.25">
      <c r="A208" s="168" t="s">
        <v>179</v>
      </c>
      <c r="B208" s="140" t="s">
        <v>77</v>
      </c>
      <c r="C208" s="113">
        <v>20</v>
      </c>
      <c r="D208" s="141">
        <v>1.0696583620999431</v>
      </c>
      <c r="E208" s="113">
        <f t="shared" si="73"/>
        <v>21.393167241998864</v>
      </c>
      <c r="F208" s="41"/>
      <c r="G208" s="41"/>
      <c r="H208" s="41">
        <f t="shared" si="68"/>
        <v>0</v>
      </c>
      <c r="I208" s="96">
        <f>F208*H208</f>
        <v>0</v>
      </c>
      <c r="J208" s="41"/>
      <c r="K208" s="41"/>
      <c r="L208" s="41"/>
      <c r="M208" s="96">
        <f t="shared" si="69"/>
        <v>0</v>
      </c>
      <c r="N208" s="96"/>
      <c r="O208" s="96"/>
      <c r="P208" s="96"/>
      <c r="Q208" s="42">
        <f t="shared" si="66"/>
        <v>20</v>
      </c>
      <c r="R208" s="42">
        <f t="shared" si="70"/>
        <v>1.0696583620999431</v>
      </c>
      <c r="S208" s="42">
        <f t="shared" si="67"/>
        <v>21.393167241998864</v>
      </c>
      <c r="T208" s="93">
        <v>12</v>
      </c>
      <c r="U208" s="41">
        <f t="shared" si="71"/>
        <v>1.0696583620999431</v>
      </c>
      <c r="V208" s="43">
        <f t="shared" si="77"/>
        <v>12.835900345199317</v>
      </c>
      <c r="W208" s="44">
        <f t="shared" si="75"/>
        <v>8</v>
      </c>
      <c r="X208" s="44">
        <f t="shared" si="72"/>
        <v>1.0696583620999431</v>
      </c>
      <c r="Y208" s="166">
        <f t="shared" si="76"/>
        <v>8.5572668967995451</v>
      </c>
      <c r="AA208" s="131"/>
      <c r="AB208" s="131"/>
      <c r="AC208" s="191"/>
    </row>
    <row r="209" spans="1:29" customFormat="1" ht="15.5" customHeight="1" x14ac:dyDescent="0.25">
      <c r="A209" s="168" t="s">
        <v>299</v>
      </c>
      <c r="B209" s="140" t="s">
        <v>77</v>
      </c>
      <c r="C209" s="113">
        <v>24</v>
      </c>
      <c r="D209" s="141">
        <v>1.1383113202038433</v>
      </c>
      <c r="E209" s="113">
        <f t="shared" si="73"/>
        <v>27.319471684892239</v>
      </c>
      <c r="F209" s="41"/>
      <c r="G209" s="41"/>
      <c r="H209" s="41">
        <f t="shared" si="68"/>
        <v>0</v>
      </c>
      <c r="I209" s="96">
        <f t="shared" si="65"/>
        <v>0</v>
      </c>
      <c r="J209" s="41"/>
      <c r="K209" s="41"/>
      <c r="L209" s="41"/>
      <c r="M209" s="96">
        <f t="shared" si="69"/>
        <v>0</v>
      </c>
      <c r="N209" s="96"/>
      <c r="O209" s="96"/>
      <c r="P209" s="96"/>
      <c r="Q209" s="42">
        <f t="shared" si="66"/>
        <v>24</v>
      </c>
      <c r="R209" s="42">
        <f t="shared" si="70"/>
        <v>1.1383113202038433</v>
      </c>
      <c r="S209" s="42">
        <f t="shared" si="67"/>
        <v>27.319471684892239</v>
      </c>
      <c r="T209" s="93">
        <v>12</v>
      </c>
      <c r="U209" s="41">
        <f t="shared" si="71"/>
        <v>1.1383113202038433</v>
      </c>
      <c r="V209" s="43">
        <f t="shared" si="77"/>
        <v>13.659735842446119</v>
      </c>
      <c r="W209" s="44">
        <f t="shared" si="75"/>
        <v>12</v>
      </c>
      <c r="X209" s="44">
        <f t="shared" si="72"/>
        <v>1.1383113202038433</v>
      </c>
      <c r="Y209" s="166">
        <f t="shared" si="76"/>
        <v>13.659735842446119</v>
      </c>
      <c r="AA209" s="131"/>
      <c r="AB209" s="131"/>
      <c r="AC209" s="191"/>
    </row>
    <row r="210" spans="1:29" customFormat="1" ht="15.5" customHeight="1" x14ac:dyDescent="0.25">
      <c r="A210" s="168" t="s">
        <v>379</v>
      </c>
      <c r="B210" s="140" t="s">
        <v>77</v>
      </c>
      <c r="C210" s="113">
        <v>0</v>
      </c>
      <c r="D210" s="141">
        <v>1.1119289129582783</v>
      </c>
      <c r="E210" s="113">
        <f t="shared" si="73"/>
        <v>0</v>
      </c>
      <c r="F210" s="41"/>
      <c r="G210" s="41"/>
      <c r="H210" s="41">
        <f t="shared" si="68"/>
        <v>0</v>
      </c>
      <c r="I210" s="96">
        <f t="shared" si="65"/>
        <v>0</v>
      </c>
      <c r="J210" s="41"/>
      <c r="K210" s="41"/>
      <c r="L210" s="41"/>
      <c r="M210" s="96">
        <f t="shared" si="69"/>
        <v>0</v>
      </c>
      <c r="N210" s="96"/>
      <c r="O210" s="96"/>
      <c r="P210" s="96"/>
      <c r="Q210" s="42">
        <f t="shared" si="66"/>
        <v>0</v>
      </c>
      <c r="R210" s="42" t="str">
        <f t="shared" si="70"/>
        <v>0.00</v>
      </c>
      <c r="S210" s="42">
        <f t="shared" si="67"/>
        <v>0</v>
      </c>
      <c r="T210" s="93">
        <v>0</v>
      </c>
      <c r="U210" s="41" t="str">
        <f t="shared" si="71"/>
        <v>0.00</v>
      </c>
      <c r="V210" s="43">
        <f t="shared" si="77"/>
        <v>0</v>
      </c>
      <c r="W210" s="44">
        <f t="shared" si="75"/>
        <v>0</v>
      </c>
      <c r="X210" s="44" t="str">
        <f t="shared" si="72"/>
        <v>0.00</v>
      </c>
      <c r="Y210" s="166">
        <f t="shared" si="76"/>
        <v>0</v>
      </c>
      <c r="AA210" s="131"/>
      <c r="AB210" s="131"/>
      <c r="AC210" s="191"/>
    </row>
    <row r="211" spans="1:29" customFormat="1" ht="15.5" customHeight="1" x14ac:dyDescent="0.25">
      <c r="A211" s="168" t="s">
        <v>180</v>
      </c>
      <c r="B211" s="140" t="s">
        <v>70</v>
      </c>
      <c r="C211" s="113">
        <v>35</v>
      </c>
      <c r="D211" s="141">
        <v>1.8076923076923077</v>
      </c>
      <c r="E211" s="113">
        <f t="shared" si="73"/>
        <v>63.269230769230766</v>
      </c>
      <c r="F211" s="41"/>
      <c r="G211" s="41"/>
      <c r="H211" s="41">
        <f t="shared" si="68"/>
        <v>0</v>
      </c>
      <c r="I211" s="96">
        <f t="shared" si="65"/>
        <v>0</v>
      </c>
      <c r="J211" s="41"/>
      <c r="K211" s="41"/>
      <c r="L211" s="41"/>
      <c r="M211" s="96">
        <f t="shared" si="69"/>
        <v>0</v>
      </c>
      <c r="N211" s="96"/>
      <c r="O211" s="96"/>
      <c r="P211" s="96"/>
      <c r="Q211" s="42">
        <f t="shared" si="66"/>
        <v>35</v>
      </c>
      <c r="R211" s="42">
        <f t="shared" si="70"/>
        <v>1.8076923076923077</v>
      </c>
      <c r="S211" s="42">
        <f t="shared" si="67"/>
        <v>63.269230769230766</v>
      </c>
      <c r="T211" s="93">
        <v>15</v>
      </c>
      <c r="U211" s="41">
        <f t="shared" si="71"/>
        <v>1.8076923076923077</v>
      </c>
      <c r="V211" s="43">
        <f t="shared" si="77"/>
        <v>27.115384615384617</v>
      </c>
      <c r="W211" s="44">
        <f t="shared" si="75"/>
        <v>20</v>
      </c>
      <c r="X211" s="44">
        <f t="shared" si="72"/>
        <v>1.8076923076923077</v>
      </c>
      <c r="Y211" s="166">
        <f t="shared" si="76"/>
        <v>36.153846153846153</v>
      </c>
      <c r="AA211" s="131"/>
      <c r="AB211" s="131"/>
      <c r="AC211" s="191"/>
    </row>
    <row r="212" spans="1:29" customFormat="1" ht="15.5" customHeight="1" x14ac:dyDescent="0.25">
      <c r="A212" s="175" t="s">
        <v>193</v>
      </c>
      <c r="B212" s="142" t="s">
        <v>77</v>
      </c>
      <c r="C212" s="113">
        <v>30</v>
      </c>
      <c r="D212" s="141">
        <v>1.346153846153846</v>
      </c>
      <c r="E212" s="113">
        <f t="shared" si="73"/>
        <v>40.38461538461538</v>
      </c>
      <c r="F212" s="41"/>
      <c r="G212" s="41"/>
      <c r="H212" s="41">
        <f t="shared" si="68"/>
        <v>0</v>
      </c>
      <c r="I212" s="96">
        <f t="shared" si="65"/>
        <v>0</v>
      </c>
      <c r="J212" s="41"/>
      <c r="K212" s="41"/>
      <c r="L212" s="41"/>
      <c r="M212" s="96">
        <f t="shared" si="69"/>
        <v>0</v>
      </c>
      <c r="N212" s="96"/>
      <c r="O212" s="96"/>
      <c r="P212" s="96"/>
      <c r="Q212" s="42">
        <f t="shared" si="66"/>
        <v>30</v>
      </c>
      <c r="R212" s="42">
        <f t="shared" si="70"/>
        <v>1.346153846153846</v>
      </c>
      <c r="S212" s="42">
        <f t="shared" si="67"/>
        <v>40.38461538461538</v>
      </c>
      <c r="T212" s="93">
        <v>10</v>
      </c>
      <c r="U212" s="41">
        <f t="shared" si="71"/>
        <v>1.346153846153846</v>
      </c>
      <c r="V212" s="43">
        <f t="shared" si="77"/>
        <v>13.46153846153846</v>
      </c>
      <c r="W212" s="44">
        <f t="shared" si="75"/>
        <v>20</v>
      </c>
      <c r="X212" s="44">
        <f t="shared" si="72"/>
        <v>1.346153846153846</v>
      </c>
      <c r="Y212" s="166">
        <f t="shared" si="76"/>
        <v>26.92307692307692</v>
      </c>
      <c r="AA212" s="131"/>
      <c r="AB212" s="131"/>
      <c r="AC212" s="191"/>
    </row>
    <row r="213" spans="1:29" customFormat="1" ht="15.5" customHeight="1" x14ac:dyDescent="0.25">
      <c r="A213" s="168" t="s">
        <v>392</v>
      </c>
      <c r="B213" s="140" t="s">
        <v>79</v>
      </c>
      <c r="C213" s="113">
        <v>100</v>
      </c>
      <c r="D213" s="141">
        <v>0.88404317662954857</v>
      </c>
      <c r="E213" s="113">
        <f t="shared" si="73"/>
        <v>88.404317662954853</v>
      </c>
      <c r="F213" s="41"/>
      <c r="G213" s="41"/>
      <c r="H213" s="41">
        <f t="shared" si="68"/>
        <v>0</v>
      </c>
      <c r="I213" s="96">
        <f t="shared" si="65"/>
        <v>0</v>
      </c>
      <c r="J213" s="41"/>
      <c r="K213" s="41"/>
      <c r="L213" s="41"/>
      <c r="M213" s="96">
        <f t="shared" si="69"/>
        <v>0</v>
      </c>
      <c r="N213" s="96"/>
      <c r="O213" s="96"/>
      <c r="P213" s="96"/>
      <c r="Q213" s="42">
        <f t="shared" si="66"/>
        <v>100</v>
      </c>
      <c r="R213" s="42">
        <f t="shared" si="70"/>
        <v>0.88404317662954857</v>
      </c>
      <c r="S213" s="42">
        <f t="shared" si="67"/>
        <v>88.404317662954853</v>
      </c>
      <c r="T213" s="93">
        <v>55</v>
      </c>
      <c r="U213" s="41">
        <f t="shared" si="71"/>
        <v>0.88404317662954857</v>
      </c>
      <c r="V213" s="43">
        <f t="shared" si="77"/>
        <v>48.622374714625174</v>
      </c>
      <c r="W213" s="44">
        <f t="shared" si="75"/>
        <v>45</v>
      </c>
      <c r="X213" s="44">
        <f t="shared" si="72"/>
        <v>0.88404317662954857</v>
      </c>
      <c r="Y213" s="166">
        <f t="shared" si="76"/>
        <v>39.781942948329686</v>
      </c>
      <c r="AA213" s="131"/>
      <c r="AB213" s="131"/>
      <c r="AC213" s="191"/>
    </row>
    <row r="214" spans="1:29" customFormat="1" ht="15.5" customHeight="1" x14ac:dyDescent="0.25">
      <c r="A214" s="175" t="s">
        <v>194</v>
      </c>
      <c r="B214" s="142" t="s">
        <v>73</v>
      </c>
      <c r="C214" s="113">
        <v>30</v>
      </c>
      <c r="D214" s="141">
        <v>8.1538461538461533</v>
      </c>
      <c r="E214" s="113">
        <f t="shared" si="73"/>
        <v>244.61538461538458</v>
      </c>
      <c r="F214" s="41"/>
      <c r="G214" s="41"/>
      <c r="H214" s="41">
        <f t="shared" si="68"/>
        <v>0</v>
      </c>
      <c r="I214" s="96">
        <f t="shared" si="65"/>
        <v>0</v>
      </c>
      <c r="J214" s="41"/>
      <c r="K214" s="41"/>
      <c r="L214" s="41"/>
      <c r="M214" s="96">
        <f t="shared" si="69"/>
        <v>0</v>
      </c>
      <c r="N214" s="96"/>
      <c r="O214" s="96"/>
      <c r="P214" s="96"/>
      <c r="Q214" s="42">
        <f t="shared" si="66"/>
        <v>30</v>
      </c>
      <c r="R214" s="42">
        <f t="shared" si="70"/>
        <v>8.1538461538461533</v>
      </c>
      <c r="S214" s="42">
        <f t="shared" si="67"/>
        <v>244.61538461538458</v>
      </c>
      <c r="T214" s="93">
        <v>20</v>
      </c>
      <c r="U214" s="41">
        <f t="shared" si="71"/>
        <v>8.1538461538461533</v>
      </c>
      <c r="V214" s="43">
        <f t="shared" si="77"/>
        <v>163.07692307692307</v>
      </c>
      <c r="W214" s="44">
        <f t="shared" si="75"/>
        <v>10</v>
      </c>
      <c r="X214" s="44">
        <f t="shared" si="72"/>
        <v>8.1538461538461533</v>
      </c>
      <c r="Y214" s="166">
        <f t="shared" si="76"/>
        <v>81.538461538461533</v>
      </c>
      <c r="AA214" s="131"/>
      <c r="AB214" s="131"/>
      <c r="AC214" s="191"/>
    </row>
    <row r="215" spans="1:29" customFormat="1" ht="15.65" customHeight="1" x14ac:dyDescent="0.25">
      <c r="A215" s="198" t="s">
        <v>199</v>
      </c>
      <c r="B215" s="136" t="s">
        <v>79</v>
      </c>
      <c r="C215" s="113">
        <v>0</v>
      </c>
      <c r="D215" s="141" t="s">
        <v>248</v>
      </c>
      <c r="E215" s="113">
        <f t="shared" si="73"/>
        <v>0</v>
      </c>
      <c r="F215" s="41"/>
      <c r="G215" s="41"/>
      <c r="H215" s="41">
        <f t="shared" si="68"/>
        <v>0</v>
      </c>
      <c r="I215" s="96">
        <f t="shared" si="65"/>
        <v>0</v>
      </c>
      <c r="J215" s="41"/>
      <c r="K215" s="41"/>
      <c r="L215" s="41"/>
      <c r="M215" s="96">
        <f t="shared" si="69"/>
        <v>0</v>
      </c>
      <c r="N215" s="96"/>
      <c r="O215" s="96"/>
      <c r="P215" s="96"/>
      <c r="Q215" s="42">
        <f t="shared" si="66"/>
        <v>0</v>
      </c>
      <c r="R215" s="42" t="str">
        <f t="shared" si="70"/>
        <v>0.00</v>
      </c>
      <c r="S215" s="42">
        <f t="shared" si="67"/>
        <v>0</v>
      </c>
      <c r="T215" s="93">
        <v>0</v>
      </c>
      <c r="U215" s="41" t="str">
        <f t="shared" si="71"/>
        <v>0.00</v>
      </c>
      <c r="V215" s="43">
        <f t="shared" si="77"/>
        <v>0</v>
      </c>
      <c r="W215" s="44">
        <f t="shared" si="75"/>
        <v>0</v>
      </c>
      <c r="X215" s="44" t="str">
        <f t="shared" si="72"/>
        <v>0.00</v>
      </c>
      <c r="Y215" s="166">
        <f t="shared" si="76"/>
        <v>0</v>
      </c>
      <c r="AA215" s="131"/>
      <c r="AB215" s="131"/>
      <c r="AC215" s="191"/>
    </row>
    <row r="216" spans="1:29" customFormat="1" ht="15.65" customHeight="1" x14ac:dyDescent="0.25">
      <c r="A216" s="203" t="s">
        <v>274</v>
      </c>
      <c r="B216" s="136" t="s">
        <v>82</v>
      </c>
      <c r="C216" s="113">
        <v>25</v>
      </c>
      <c r="D216" s="141">
        <v>0.92307692307692302</v>
      </c>
      <c r="E216" s="113">
        <f t="shared" si="73"/>
        <v>23.076923076923077</v>
      </c>
      <c r="F216" s="41"/>
      <c r="G216" s="41"/>
      <c r="H216" s="41">
        <f t="shared" si="68"/>
        <v>0</v>
      </c>
      <c r="I216" s="96">
        <f t="shared" si="65"/>
        <v>0</v>
      </c>
      <c r="J216" s="41"/>
      <c r="K216" s="41"/>
      <c r="L216" s="41"/>
      <c r="M216" s="96">
        <f t="shared" si="69"/>
        <v>0</v>
      </c>
      <c r="N216" s="96"/>
      <c r="O216" s="96"/>
      <c r="P216" s="96"/>
      <c r="Q216" s="42">
        <f t="shared" si="66"/>
        <v>25</v>
      </c>
      <c r="R216" s="42">
        <f t="shared" si="70"/>
        <v>0.92307692307692302</v>
      </c>
      <c r="S216" s="42">
        <f t="shared" si="67"/>
        <v>23.076923076923077</v>
      </c>
      <c r="T216" s="93">
        <v>25</v>
      </c>
      <c r="U216" s="41">
        <f t="shared" si="71"/>
        <v>0.92307692307692302</v>
      </c>
      <c r="V216" s="43">
        <f t="shared" si="77"/>
        <v>23.076923076923077</v>
      </c>
      <c r="W216" s="44">
        <f t="shared" si="75"/>
        <v>0</v>
      </c>
      <c r="X216" s="44">
        <f t="shared" si="72"/>
        <v>0.92307692307692302</v>
      </c>
      <c r="Y216" s="166">
        <f t="shared" si="76"/>
        <v>0</v>
      </c>
      <c r="AA216" s="131"/>
      <c r="AB216" s="131"/>
      <c r="AC216" s="191"/>
    </row>
    <row r="217" spans="1:29" customFormat="1" ht="15.5" customHeight="1" x14ac:dyDescent="0.25">
      <c r="A217" s="198" t="s">
        <v>200</v>
      </c>
      <c r="B217" s="136" t="s">
        <v>77</v>
      </c>
      <c r="C217" s="113">
        <v>4</v>
      </c>
      <c r="D217" s="141">
        <v>6.7692307692307692</v>
      </c>
      <c r="E217" s="113">
        <f t="shared" si="73"/>
        <v>27.076923076923077</v>
      </c>
      <c r="F217" s="41"/>
      <c r="G217" s="41"/>
      <c r="H217" s="41">
        <f t="shared" si="68"/>
        <v>0</v>
      </c>
      <c r="I217" s="96">
        <f t="shared" si="65"/>
        <v>0</v>
      </c>
      <c r="J217" s="41"/>
      <c r="K217" s="41"/>
      <c r="L217" s="41"/>
      <c r="M217" s="96">
        <f t="shared" si="69"/>
        <v>0</v>
      </c>
      <c r="N217" s="96"/>
      <c r="O217" s="96"/>
      <c r="P217" s="96"/>
      <c r="Q217" s="42">
        <f t="shared" si="66"/>
        <v>4</v>
      </c>
      <c r="R217" s="42">
        <f t="shared" si="70"/>
        <v>6.7692307692307692</v>
      </c>
      <c r="S217" s="42">
        <f t="shared" si="67"/>
        <v>27.076923076923077</v>
      </c>
      <c r="T217" s="93">
        <v>0</v>
      </c>
      <c r="U217" s="41">
        <f t="shared" si="71"/>
        <v>6.7692307692307692</v>
      </c>
      <c r="V217" s="43">
        <f t="shared" si="77"/>
        <v>0</v>
      </c>
      <c r="W217" s="44">
        <f t="shared" si="75"/>
        <v>4</v>
      </c>
      <c r="X217" s="44">
        <f t="shared" si="72"/>
        <v>6.7692307692307692</v>
      </c>
      <c r="Y217" s="166">
        <f t="shared" si="76"/>
        <v>27.076923076923077</v>
      </c>
      <c r="AA217" s="131"/>
      <c r="AB217" s="131"/>
      <c r="AC217" s="191"/>
    </row>
    <row r="218" spans="1:29" customFormat="1" ht="15.5" customHeight="1" x14ac:dyDescent="0.25">
      <c r="A218" s="198" t="s">
        <v>201</v>
      </c>
      <c r="B218" s="143" t="s">
        <v>74</v>
      </c>
      <c r="C218" s="113">
        <v>80</v>
      </c>
      <c r="D218" s="141">
        <v>0.40447961836864937</v>
      </c>
      <c r="E218" s="113">
        <f t="shared" si="73"/>
        <v>32.358369469491947</v>
      </c>
      <c r="F218" s="41"/>
      <c r="G218" s="41"/>
      <c r="H218" s="41">
        <f t="shared" si="68"/>
        <v>0</v>
      </c>
      <c r="I218" s="96">
        <f t="shared" si="65"/>
        <v>0</v>
      </c>
      <c r="J218" s="41"/>
      <c r="K218" s="41"/>
      <c r="L218" s="41"/>
      <c r="M218" s="96">
        <f t="shared" si="69"/>
        <v>0</v>
      </c>
      <c r="N218" s="96"/>
      <c r="O218" s="96"/>
      <c r="P218" s="96"/>
      <c r="Q218" s="42">
        <f t="shared" si="66"/>
        <v>80</v>
      </c>
      <c r="R218" s="42">
        <f t="shared" si="70"/>
        <v>0.40447961836864932</v>
      </c>
      <c r="S218" s="42">
        <f t="shared" si="67"/>
        <v>32.358369469491947</v>
      </c>
      <c r="T218" s="93">
        <v>50</v>
      </c>
      <c r="U218" s="41">
        <f t="shared" si="71"/>
        <v>0.40447961836864932</v>
      </c>
      <c r="V218" s="43">
        <f t="shared" si="77"/>
        <v>20.223980918432467</v>
      </c>
      <c r="W218" s="44">
        <f t="shared" si="75"/>
        <v>30</v>
      </c>
      <c r="X218" s="44">
        <f t="shared" si="72"/>
        <v>0.40447961836864932</v>
      </c>
      <c r="Y218" s="166">
        <f t="shared" si="76"/>
        <v>12.13438855105948</v>
      </c>
      <c r="AA218" s="131"/>
      <c r="AB218" s="131"/>
      <c r="AC218" s="191"/>
    </row>
    <row r="219" spans="1:29" customFormat="1" ht="15.5" customHeight="1" x14ac:dyDescent="0.25">
      <c r="A219" s="198" t="s">
        <v>202</v>
      </c>
      <c r="B219" s="136" t="s">
        <v>72</v>
      </c>
      <c r="C219" s="113">
        <v>35</v>
      </c>
      <c r="D219" s="141">
        <v>1.4580724162472649</v>
      </c>
      <c r="E219" s="113">
        <f t="shared" si="73"/>
        <v>51.03253456865427</v>
      </c>
      <c r="F219" s="41"/>
      <c r="G219" s="41"/>
      <c r="H219" s="41">
        <f t="shared" si="68"/>
        <v>0</v>
      </c>
      <c r="I219" s="96">
        <f t="shared" si="65"/>
        <v>0</v>
      </c>
      <c r="J219" s="41"/>
      <c r="K219" s="41"/>
      <c r="L219" s="41"/>
      <c r="M219" s="96">
        <f t="shared" si="69"/>
        <v>0</v>
      </c>
      <c r="N219" s="96"/>
      <c r="O219" s="96"/>
      <c r="P219" s="96"/>
      <c r="Q219" s="42">
        <f t="shared" si="66"/>
        <v>35</v>
      </c>
      <c r="R219" s="42">
        <f t="shared" si="70"/>
        <v>1.4580724162472649</v>
      </c>
      <c r="S219" s="42">
        <f t="shared" si="67"/>
        <v>51.03253456865427</v>
      </c>
      <c r="T219" s="93">
        <v>30</v>
      </c>
      <c r="U219" s="41">
        <f t="shared" si="71"/>
        <v>1.4580724162472649</v>
      </c>
      <c r="V219" s="43">
        <f t="shared" si="77"/>
        <v>43.742172487417946</v>
      </c>
      <c r="W219" s="44">
        <f t="shared" si="75"/>
        <v>5</v>
      </c>
      <c r="X219" s="44">
        <f t="shared" si="72"/>
        <v>1.4580724162472649</v>
      </c>
      <c r="Y219" s="166">
        <f t="shared" si="76"/>
        <v>7.2903620812363243</v>
      </c>
      <c r="AA219" s="131"/>
      <c r="AB219" s="131"/>
      <c r="AC219" s="191"/>
    </row>
    <row r="220" spans="1:29" customFormat="1" ht="15.65" customHeight="1" x14ac:dyDescent="0.25">
      <c r="A220" s="198" t="s">
        <v>205</v>
      </c>
      <c r="B220" s="136" t="s">
        <v>73</v>
      </c>
      <c r="C220" s="113">
        <v>15</v>
      </c>
      <c r="D220" s="141">
        <v>2.1588435379763236</v>
      </c>
      <c r="E220" s="113">
        <f t="shared" si="73"/>
        <v>32.382653069644853</v>
      </c>
      <c r="F220" s="41"/>
      <c r="G220" s="41"/>
      <c r="H220" s="41">
        <f t="shared" si="68"/>
        <v>0</v>
      </c>
      <c r="I220" s="96">
        <f t="shared" si="65"/>
        <v>0</v>
      </c>
      <c r="J220" s="41"/>
      <c r="K220" s="41"/>
      <c r="L220" s="41"/>
      <c r="M220" s="96">
        <f t="shared" si="69"/>
        <v>0</v>
      </c>
      <c r="N220" s="96"/>
      <c r="O220" s="96"/>
      <c r="P220" s="96"/>
      <c r="Q220" s="42">
        <f t="shared" si="66"/>
        <v>15</v>
      </c>
      <c r="R220" s="42">
        <f t="shared" si="70"/>
        <v>2.1588435379763236</v>
      </c>
      <c r="S220" s="42">
        <f t="shared" si="67"/>
        <v>32.382653069644853</v>
      </c>
      <c r="T220" s="93">
        <v>10</v>
      </c>
      <c r="U220" s="41">
        <f t="shared" si="71"/>
        <v>2.1588435379763236</v>
      </c>
      <c r="V220" s="43">
        <f t="shared" si="77"/>
        <v>21.588435379763236</v>
      </c>
      <c r="W220" s="44">
        <f t="shared" si="75"/>
        <v>5</v>
      </c>
      <c r="X220" s="44">
        <f t="shared" si="72"/>
        <v>2.1588435379763236</v>
      </c>
      <c r="Y220" s="166">
        <f t="shared" si="76"/>
        <v>10.794217689881618</v>
      </c>
      <c r="AA220" s="131"/>
      <c r="AB220" s="131"/>
      <c r="AC220" s="191"/>
    </row>
    <row r="221" spans="1:29" customFormat="1" ht="15.5" customHeight="1" x14ac:dyDescent="0.25">
      <c r="A221" s="197" t="s">
        <v>206</v>
      </c>
      <c r="B221" s="136" t="s">
        <v>79</v>
      </c>
      <c r="C221" s="113">
        <v>25</v>
      </c>
      <c r="D221" s="141">
        <v>1.5816311656043633</v>
      </c>
      <c r="E221" s="113">
        <f t="shared" si="73"/>
        <v>39.54077914010908</v>
      </c>
      <c r="F221" s="41"/>
      <c r="G221" s="41"/>
      <c r="H221" s="41">
        <f t="shared" si="68"/>
        <v>0</v>
      </c>
      <c r="I221" s="96">
        <f t="shared" si="65"/>
        <v>0</v>
      </c>
      <c r="J221" s="41"/>
      <c r="K221" s="41"/>
      <c r="L221" s="41"/>
      <c r="M221" s="96">
        <f t="shared" si="69"/>
        <v>0</v>
      </c>
      <c r="N221" s="96"/>
      <c r="O221" s="96"/>
      <c r="P221" s="96"/>
      <c r="Q221" s="42">
        <f t="shared" si="66"/>
        <v>25</v>
      </c>
      <c r="R221" s="42">
        <f t="shared" si="70"/>
        <v>1.5816311656043631</v>
      </c>
      <c r="S221" s="42">
        <f t="shared" si="67"/>
        <v>39.54077914010908</v>
      </c>
      <c r="T221" s="93">
        <v>20</v>
      </c>
      <c r="U221" s="41">
        <f t="shared" si="71"/>
        <v>1.5816311656043631</v>
      </c>
      <c r="V221" s="43">
        <f t="shared" si="77"/>
        <v>31.632623312087262</v>
      </c>
      <c r="W221" s="44">
        <f t="shared" si="75"/>
        <v>5</v>
      </c>
      <c r="X221" s="44">
        <f t="shared" si="72"/>
        <v>1.5816311656043631</v>
      </c>
      <c r="Y221" s="166">
        <f t="shared" si="76"/>
        <v>7.9081558280218154</v>
      </c>
      <c r="AA221" s="131"/>
      <c r="AB221" s="131"/>
      <c r="AC221" s="191"/>
    </row>
    <row r="222" spans="1:29" customFormat="1" ht="15.5" customHeight="1" x14ac:dyDescent="0.25">
      <c r="A222" s="198" t="s">
        <v>207</v>
      </c>
      <c r="B222" s="136" t="s">
        <v>72</v>
      </c>
      <c r="C222" s="113">
        <v>10</v>
      </c>
      <c r="D222" s="141">
        <v>0.85762500000000019</v>
      </c>
      <c r="E222" s="113">
        <f t="shared" si="73"/>
        <v>8.5762500000000017</v>
      </c>
      <c r="F222" s="41"/>
      <c r="G222" s="41"/>
      <c r="H222" s="41">
        <f t="shared" si="68"/>
        <v>0</v>
      </c>
      <c r="I222" s="96">
        <f t="shared" si="65"/>
        <v>0</v>
      </c>
      <c r="J222" s="41"/>
      <c r="K222" s="41"/>
      <c r="L222" s="41"/>
      <c r="M222" s="96">
        <f t="shared" si="69"/>
        <v>0</v>
      </c>
      <c r="N222" s="96"/>
      <c r="O222" s="96"/>
      <c r="P222" s="96"/>
      <c r="Q222" s="42">
        <f t="shared" si="66"/>
        <v>10</v>
      </c>
      <c r="R222" s="42">
        <f t="shared" si="70"/>
        <v>0.85762500000000019</v>
      </c>
      <c r="S222" s="42">
        <f t="shared" si="67"/>
        <v>8.5762500000000017</v>
      </c>
      <c r="T222" s="93">
        <v>10</v>
      </c>
      <c r="U222" s="41">
        <f t="shared" si="71"/>
        <v>0.85762500000000019</v>
      </c>
      <c r="V222" s="43">
        <f t="shared" si="77"/>
        <v>8.5762500000000017</v>
      </c>
      <c r="W222" s="44">
        <f t="shared" si="75"/>
        <v>0</v>
      </c>
      <c r="X222" s="44">
        <f t="shared" si="72"/>
        <v>0.85762500000000019</v>
      </c>
      <c r="Y222" s="166">
        <f t="shared" si="76"/>
        <v>0</v>
      </c>
      <c r="AA222" s="131"/>
      <c r="AB222" s="131"/>
      <c r="AC222" s="191"/>
    </row>
    <row r="223" spans="1:29" customFormat="1" ht="15.5" customHeight="1" x14ac:dyDescent="0.25">
      <c r="A223" s="198" t="s">
        <v>208</v>
      </c>
      <c r="B223" s="136" t="s">
        <v>70</v>
      </c>
      <c r="C223" s="113">
        <v>6</v>
      </c>
      <c r="D223" s="141">
        <v>7.0745579164983141</v>
      </c>
      <c r="E223" s="113">
        <f t="shared" si="73"/>
        <v>42.447347498989885</v>
      </c>
      <c r="F223" s="41"/>
      <c r="G223" s="41"/>
      <c r="H223" s="41">
        <f t="shared" si="68"/>
        <v>0</v>
      </c>
      <c r="I223" s="96">
        <f t="shared" si="65"/>
        <v>0</v>
      </c>
      <c r="J223" s="41"/>
      <c r="K223" s="41"/>
      <c r="L223" s="41"/>
      <c r="M223" s="96">
        <f t="shared" si="69"/>
        <v>0</v>
      </c>
      <c r="N223" s="96"/>
      <c r="O223" s="96"/>
      <c r="P223" s="96"/>
      <c r="Q223" s="42">
        <f t="shared" si="66"/>
        <v>6</v>
      </c>
      <c r="R223" s="42">
        <f t="shared" si="70"/>
        <v>7.0745579164983141</v>
      </c>
      <c r="S223" s="42">
        <f t="shared" si="67"/>
        <v>42.447347498989885</v>
      </c>
      <c r="T223" s="93">
        <v>3</v>
      </c>
      <c r="U223" s="41">
        <f t="shared" si="71"/>
        <v>7.0745579164983141</v>
      </c>
      <c r="V223" s="43">
        <f t="shared" si="77"/>
        <v>21.223673749494942</v>
      </c>
      <c r="W223" s="44">
        <f t="shared" si="75"/>
        <v>3</v>
      </c>
      <c r="X223" s="44">
        <f t="shared" si="72"/>
        <v>7.0745579164983141</v>
      </c>
      <c r="Y223" s="166">
        <f t="shared" si="76"/>
        <v>21.223673749494942</v>
      </c>
      <c r="AA223" s="131"/>
      <c r="AB223" s="131"/>
      <c r="AC223" s="191"/>
    </row>
    <row r="224" spans="1:29" customFormat="1" ht="15.65" customHeight="1" x14ac:dyDescent="0.25">
      <c r="A224" s="198" t="s">
        <v>210</v>
      </c>
      <c r="B224" s="136" t="s">
        <v>72</v>
      </c>
      <c r="C224" s="113">
        <v>40</v>
      </c>
      <c r="D224" s="141">
        <v>1.2636281041792852</v>
      </c>
      <c r="E224" s="113">
        <f t="shared" si="73"/>
        <v>50.545124167171409</v>
      </c>
      <c r="F224" s="41"/>
      <c r="G224" s="41"/>
      <c r="H224" s="41">
        <f t="shared" si="68"/>
        <v>0</v>
      </c>
      <c r="I224" s="96">
        <f t="shared" si="65"/>
        <v>0</v>
      </c>
      <c r="J224" s="41"/>
      <c r="K224" s="41"/>
      <c r="L224" s="41"/>
      <c r="M224" s="96">
        <f t="shared" si="69"/>
        <v>0</v>
      </c>
      <c r="N224" s="96"/>
      <c r="O224" s="96"/>
      <c r="P224" s="96"/>
      <c r="Q224" s="42">
        <f t="shared" si="66"/>
        <v>40</v>
      </c>
      <c r="R224" s="42">
        <f t="shared" si="70"/>
        <v>1.2636281041792852</v>
      </c>
      <c r="S224" s="42">
        <f t="shared" si="67"/>
        <v>50.545124167171409</v>
      </c>
      <c r="T224" s="93">
        <v>20</v>
      </c>
      <c r="U224" s="41">
        <f t="shared" si="71"/>
        <v>1.2636281041792852</v>
      </c>
      <c r="V224" s="43">
        <f t="shared" si="77"/>
        <v>25.272562083585704</v>
      </c>
      <c r="W224" s="44">
        <f t="shared" si="75"/>
        <v>20</v>
      </c>
      <c r="X224" s="44">
        <f t="shared" si="72"/>
        <v>1.2636281041792852</v>
      </c>
      <c r="Y224" s="166">
        <f t="shared" si="76"/>
        <v>25.272562083585704</v>
      </c>
      <c r="AA224" s="131"/>
      <c r="AB224" s="131"/>
      <c r="AC224" s="191"/>
    </row>
    <row r="225" spans="1:29" customFormat="1" ht="15.65" customHeight="1" x14ac:dyDescent="0.25">
      <c r="A225" s="198" t="s">
        <v>368</v>
      </c>
      <c r="B225" s="136" t="s">
        <v>79</v>
      </c>
      <c r="C225" s="113">
        <v>3</v>
      </c>
      <c r="D225" s="141">
        <v>10.670559521983616</v>
      </c>
      <c r="E225" s="113">
        <f t="shared" si="73"/>
        <v>32.011678565950845</v>
      </c>
      <c r="F225" s="41"/>
      <c r="G225" s="41"/>
      <c r="H225" s="41">
        <f t="shared" si="68"/>
        <v>0</v>
      </c>
      <c r="I225" s="96">
        <f t="shared" si="65"/>
        <v>0</v>
      </c>
      <c r="J225" s="41"/>
      <c r="K225" s="41"/>
      <c r="L225" s="41"/>
      <c r="M225" s="96">
        <f t="shared" si="69"/>
        <v>0</v>
      </c>
      <c r="N225" s="96"/>
      <c r="O225" s="96"/>
      <c r="P225" s="96"/>
      <c r="Q225" s="42">
        <f t="shared" si="66"/>
        <v>3</v>
      </c>
      <c r="R225" s="42">
        <f t="shared" si="70"/>
        <v>10.670559521983614</v>
      </c>
      <c r="S225" s="42">
        <f t="shared" si="67"/>
        <v>32.011678565950845</v>
      </c>
      <c r="T225" s="93">
        <v>1</v>
      </c>
      <c r="U225" s="41">
        <f t="shared" si="71"/>
        <v>10.670559521983614</v>
      </c>
      <c r="V225" s="43">
        <f t="shared" si="77"/>
        <v>10.670559521983614</v>
      </c>
      <c r="W225" s="44">
        <f t="shared" si="75"/>
        <v>2</v>
      </c>
      <c r="X225" s="44">
        <f t="shared" si="72"/>
        <v>10.670559521983614</v>
      </c>
      <c r="Y225" s="166">
        <f t="shared" si="76"/>
        <v>21.341119043967229</v>
      </c>
      <c r="AA225" s="131"/>
      <c r="AB225" s="131"/>
      <c r="AC225" s="191"/>
    </row>
    <row r="226" spans="1:29" customFormat="1" ht="15.5" customHeight="1" x14ac:dyDescent="0.25">
      <c r="A226" s="198" t="s">
        <v>282</v>
      </c>
      <c r="B226" s="136" t="s">
        <v>72</v>
      </c>
      <c r="C226" s="113">
        <v>0</v>
      </c>
      <c r="D226" s="141" t="s">
        <v>248</v>
      </c>
      <c r="E226" s="113">
        <f t="shared" si="73"/>
        <v>0</v>
      </c>
      <c r="F226" s="41"/>
      <c r="G226" s="41"/>
      <c r="H226" s="41">
        <f t="shared" si="68"/>
        <v>0</v>
      </c>
      <c r="I226" s="96">
        <f t="shared" si="65"/>
        <v>0</v>
      </c>
      <c r="J226" s="41"/>
      <c r="K226" s="41"/>
      <c r="L226" s="41"/>
      <c r="M226" s="96">
        <f t="shared" si="69"/>
        <v>0</v>
      </c>
      <c r="N226" s="96"/>
      <c r="O226" s="96"/>
      <c r="P226" s="96"/>
      <c r="Q226" s="42">
        <f t="shared" si="66"/>
        <v>0</v>
      </c>
      <c r="R226" s="42" t="str">
        <f t="shared" si="70"/>
        <v>0.00</v>
      </c>
      <c r="S226" s="42">
        <f t="shared" si="67"/>
        <v>0</v>
      </c>
      <c r="T226" s="93">
        <v>0</v>
      </c>
      <c r="U226" s="41" t="str">
        <f t="shared" si="71"/>
        <v>0.00</v>
      </c>
      <c r="V226" s="43">
        <f t="shared" si="77"/>
        <v>0</v>
      </c>
      <c r="W226" s="44">
        <f t="shared" si="75"/>
        <v>0</v>
      </c>
      <c r="X226" s="44" t="str">
        <f t="shared" si="72"/>
        <v>0.00</v>
      </c>
      <c r="Y226" s="166">
        <f t="shared" si="76"/>
        <v>0</v>
      </c>
      <c r="AA226" s="131"/>
      <c r="AB226" s="131"/>
      <c r="AC226" s="191"/>
    </row>
    <row r="227" spans="1:29" customFormat="1" ht="15.5" customHeight="1" x14ac:dyDescent="0.25">
      <c r="A227" s="197" t="s">
        <v>211</v>
      </c>
      <c r="B227" s="136" t="s">
        <v>72</v>
      </c>
      <c r="C227" s="113">
        <v>2</v>
      </c>
      <c r="D227" s="141">
        <v>1.2148476331466742</v>
      </c>
      <c r="E227" s="113">
        <f t="shared" si="73"/>
        <v>2.4296952662933484</v>
      </c>
      <c r="F227" s="41"/>
      <c r="G227" s="41"/>
      <c r="H227" s="41">
        <f t="shared" si="68"/>
        <v>0</v>
      </c>
      <c r="I227" s="96">
        <f t="shared" si="65"/>
        <v>0</v>
      </c>
      <c r="J227" s="41"/>
      <c r="K227" s="41"/>
      <c r="L227" s="41"/>
      <c r="M227" s="96">
        <f t="shared" si="69"/>
        <v>0</v>
      </c>
      <c r="N227" s="96"/>
      <c r="O227" s="96"/>
      <c r="P227" s="96"/>
      <c r="Q227" s="42">
        <f t="shared" si="66"/>
        <v>2</v>
      </c>
      <c r="R227" s="42">
        <f t="shared" si="70"/>
        <v>1.2148476331466742</v>
      </c>
      <c r="S227" s="42">
        <f t="shared" si="67"/>
        <v>2.4296952662933484</v>
      </c>
      <c r="T227" s="93">
        <v>1</v>
      </c>
      <c r="U227" s="41">
        <f t="shared" si="71"/>
        <v>1.2148476331466742</v>
      </c>
      <c r="V227" s="43">
        <f t="shared" si="77"/>
        <v>1.2148476331466742</v>
      </c>
      <c r="W227" s="44">
        <f t="shared" si="75"/>
        <v>1</v>
      </c>
      <c r="X227" s="44">
        <f t="shared" si="72"/>
        <v>1.2148476331466742</v>
      </c>
      <c r="Y227" s="166">
        <f t="shared" si="76"/>
        <v>1.2148476331466742</v>
      </c>
      <c r="AA227" s="131"/>
      <c r="AB227" s="131"/>
      <c r="AC227" s="191"/>
    </row>
    <row r="228" spans="1:29" customFormat="1" ht="15.5" customHeight="1" x14ac:dyDescent="0.25">
      <c r="A228" s="197" t="s">
        <v>212</v>
      </c>
      <c r="B228" s="136" t="s">
        <v>72</v>
      </c>
      <c r="C228" s="113">
        <v>2</v>
      </c>
      <c r="D228" s="141">
        <v>1.5225399408389819</v>
      </c>
      <c r="E228" s="113">
        <f t="shared" si="73"/>
        <v>3.0450798816779638</v>
      </c>
      <c r="F228" s="41"/>
      <c r="G228" s="41"/>
      <c r="H228" s="41">
        <f t="shared" si="68"/>
        <v>0</v>
      </c>
      <c r="I228" s="96">
        <f t="shared" si="65"/>
        <v>0</v>
      </c>
      <c r="J228" s="41"/>
      <c r="K228" s="41"/>
      <c r="L228" s="41"/>
      <c r="M228" s="96">
        <f t="shared" si="69"/>
        <v>0</v>
      </c>
      <c r="N228" s="96"/>
      <c r="O228" s="96"/>
      <c r="P228" s="96"/>
      <c r="Q228" s="42">
        <f t="shared" si="66"/>
        <v>2</v>
      </c>
      <c r="R228" s="42">
        <f t="shared" si="70"/>
        <v>1.5225399408389819</v>
      </c>
      <c r="S228" s="42">
        <f t="shared" si="67"/>
        <v>3.0450798816779638</v>
      </c>
      <c r="T228" s="93">
        <v>1</v>
      </c>
      <c r="U228" s="41">
        <f t="shared" si="71"/>
        <v>1.5225399408389819</v>
      </c>
      <c r="V228" s="43">
        <f t="shared" si="77"/>
        <v>1.5225399408389819</v>
      </c>
      <c r="W228" s="44">
        <f t="shared" si="75"/>
        <v>1</v>
      </c>
      <c r="X228" s="44">
        <f t="shared" si="72"/>
        <v>1.5225399408389819</v>
      </c>
      <c r="Y228" s="166">
        <f t="shared" si="76"/>
        <v>1.5225399408389819</v>
      </c>
      <c r="AA228" s="131"/>
      <c r="AB228" s="131"/>
      <c r="AC228" s="191"/>
    </row>
    <row r="229" spans="1:29" customFormat="1" ht="15.5" customHeight="1" x14ac:dyDescent="0.25">
      <c r="A229" s="197" t="s">
        <v>403</v>
      </c>
      <c r="B229" s="136" t="s">
        <v>73</v>
      </c>
      <c r="C229" s="113">
        <v>0</v>
      </c>
      <c r="D229" s="141" t="s">
        <v>248</v>
      </c>
      <c r="E229" s="113">
        <f t="shared" si="73"/>
        <v>0</v>
      </c>
      <c r="F229" s="41"/>
      <c r="G229" s="41"/>
      <c r="H229" s="41">
        <f t="shared" si="68"/>
        <v>0</v>
      </c>
      <c r="I229" s="96">
        <f t="shared" si="65"/>
        <v>0</v>
      </c>
      <c r="J229" s="41"/>
      <c r="K229" s="41"/>
      <c r="L229" s="41"/>
      <c r="M229" s="96">
        <f t="shared" si="69"/>
        <v>0</v>
      </c>
      <c r="N229" s="96"/>
      <c r="O229" s="96"/>
      <c r="P229" s="96"/>
      <c r="Q229" s="42">
        <f t="shared" si="66"/>
        <v>0</v>
      </c>
      <c r="R229" s="42" t="str">
        <f t="shared" si="70"/>
        <v>0.00</v>
      </c>
      <c r="S229" s="42">
        <f t="shared" si="67"/>
        <v>0</v>
      </c>
      <c r="T229" s="93">
        <v>0</v>
      </c>
      <c r="U229" s="41" t="str">
        <f t="shared" si="71"/>
        <v>0.00</v>
      </c>
      <c r="V229" s="43">
        <f t="shared" si="77"/>
        <v>0</v>
      </c>
      <c r="W229" s="44">
        <f t="shared" si="75"/>
        <v>0</v>
      </c>
      <c r="X229" s="44" t="str">
        <f t="shared" si="72"/>
        <v>0.00</v>
      </c>
      <c r="Y229" s="166">
        <f t="shared" si="76"/>
        <v>0</v>
      </c>
      <c r="AA229" s="131"/>
      <c r="AB229" s="131"/>
      <c r="AC229" s="191"/>
    </row>
    <row r="230" spans="1:29" customFormat="1" ht="15.5" customHeight="1" x14ac:dyDescent="0.25">
      <c r="A230" s="197" t="s">
        <v>363</v>
      </c>
      <c r="B230" s="136" t="s">
        <v>73</v>
      </c>
      <c r="C230" s="113">
        <v>10</v>
      </c>
      <c r="D230" s="141">
        <v>2.0014462926990548</v>
      </c>
      <c r="E230" s="113">
        <f t="shared" si="73"/>
        <v>20.014462926990547</v>
      </c>
      <c r="F230" s="41"/>
      <c r="G230" s="41"/>
      <c r="H230" s="41">
        <f t="shared" si="68"/>
        <v>0</v>
      </c>
      <c r="I230" s="96">
        <f t="shared" si="65"/>
        <v>0</v>
      </c>
      <c r="J230" s="41"/>
      <c r="K230" s="41"/>
      <c r="L230" s="41"/>
      <c r="M230" s="96">
        <f t="shared" si="69"/>
        <v>0</v>
      </c>
      <c r="N230" s="96"/>
      <c r="O230" s="96"/>
      <c r="P230" s="96"/>
      <c r="Q230" s="42">
        <f t="shared" si="66"/>
        <v>10</v>
      </c>
      <c r="R230" s="42">
        <f t="shared" si="70"/>
        <v>2.0014462926990548</v>
      </c>
      <c r="S230" s="42">
        <f t="shared" si="67"/>
        <v>20.014462926990547</v>
      </c>
      <c r="T230" s="93">
        <v>5</v>
      </c>
      <c r="U230" s="41">
        <f t="shared" si="71"/>
        <v>2.0014462926990548</v>
      </c>
      <c r="V230" s="43">
        <f t="shared" si="77"/>
        <v>10.007231463495273</v>
      </c>
      <c r="W230" s="44">
        <f t="shared" si="75"/>
        <v>5</v>
      </c>
      <c r="X230" s="44">
        <f t="shared" si="72"/>
        <v>2.0014462926990548</v>
      </c>
      <c r="Y230" s="166">
        <f t="shared" si="76"/>
        <v>10.007231463495273</v>
      </c>
      <c r="AA230" s="131"/>
      <c r="AB230" s="131"/>
      <c r="AC230" s="191"/>
    </row>
    <row r="231" spans="1:29" customFormat="1" ht="15.5" customHeight="1" x14ac:dyDescent="0.25">
      <c r="A231" s="198" t="s">
        <v>215</v>
      </c>
      <c r="B231" s="136" t="s">
        <v>73</v>
      </c>
      <c r="C231" s="113">
        <v>15</v>
      </c>
      <c r="D231" s="141">
        <v>1.2026244343891401</v>
      </c>
      <c r="E231" s="113">
        <f t="shared" si="73"/>
        <v>18.039366515837102</v>
      </c>
      <c r="F231" s="41"/>
      <c r="G231" s="41"/>
      <c r="H231" s="41">
        <f t="shared" si="68"/>
        <v>0</v>
      </c>
      <c r="I231" s="96">
        <f t="shared" si="65"/>
        <v>0</v>
      </c>
      <c r="J231" s="41"/>
      <c r="K231" s="41"/>
      <c r="L231" s="41"/>
      <c r="M231" s="96">
        <f t="shared" si="69"/>
        <v>0</v>
      </c>
      <c r="N231" s="96"/>
      <c r="O231" s="96"/>
      <c r="P231" s="96"/>
      <c r="Q231" s="42">
        <f t="shared" si="66"/>
        <v>15</v>
      </c>
      <c r="R231" s="42">
        <f t="shared" si="70"/>
        <v>1.2026244343891401</v>
      </c>
      <c r="S231" s="42">
        <f t="shared" si="67"/>
        <v>18.039366515837102</v>
      </c>
      <c r="T231" s="93">
        <v>5</v>
      </c>
      <c r="U231" s="41">
        <f t="shared" si="71"/>
        <v>1.2026244343891401</v>
      </c>
      <c r="V231" s="43">
        <f t="shared" si="77"/>
        <v>6.0131221719457004</v>
      </c>
      <c r="W231" s="44">
        <f t="shared" si="75"/>
        <v>10</v>
      </c>
      <c r="X231" s="44">
        <f t="shared" si="72"/>
        <v>1.2026244343891401</v>
      </c>
      <c r="Y231" s="166">
        <f t="shared" si="76"/>
        <v>12.026244343891401</v>
      </c>
      <c r="AA231" s="131"/>
      <c r="AB231" s="131"/>
      <c r="AC231" s="191"/>
    </row>
    <row r="232" spans="1:29" customFormat="1" ht="15.5" customHeight="1" x14ac:dyDescent="0.25">
      <c r="A232" s="198" t="s">
        <v>341</v>
      </c>
      <c r="B232" s="136" t="s">
        <v>70</v>
      </c>
      <c r="C232" s="113">
        <v>8</v>
      </c>
      <c r="D232" s="141">
        <v>0.95949843377888411</v>
      </c>
      <c r="E232" s="113">
        <f t="shared" si="73"/>
        <v>7.6759874702310729</v>
      </c>
      <c r="F232" s="41"/>
      <c r="G232" s="41"/>
      <c r="H232" s="41">
        <f t="shared" si="68"/>
        <v>0</v>
      </c>
      <c r="I232" s="96">
        <f t="shared" si="65"/>
        <v>0</v>
      </c>
      <c r="J232" s="41"/>
      <c r="K232" s="41"/>
      <c r="L232" s="41"/>
      <c r="M232" s="96">
        <f t="shared" si="69"/>
        <v>0</v>
      </c>
      <c r="N232" s="96"/>
      <c r="O232" s="96"/>
      <c r="P232" s="96"/>
      <c r="Q232" s="42">
        <f t="shared" si="66"/>
        <v>8</v>
      </c>
      <c r="R232" s="42">
        <f t="shared" si="70"/>
        <v>0.95949843377888411</v>
      </c>
      <c r="S232" s="42">
        <f t="shared" si="67"/>
        <v>7.6759874702310729</v>
      </c>
      <c r="T232" s="93">
        <v>4</v>
      </c>
      <c r="U232" s="41">
        <f t="shared" si="71"/>
        <v>0.95949843377888411</v>
      </c>
      <c r="V232" s="43">
        <f t="shared" si="77"/>
        <v>3.8379937351155364</v>
      </c>
      <c r="W232" s="44">
        <f t="shared" si="75"/>
        <v>4</v>
      </c>
      <c r="X232" s="44">
        <f t="shared" si="72"/>
        <v>0.95949843377888411</v>
      </c>
      <c r="Y232" s="166">
        <f t="shared" si="76"/>
        <v>3.8379937351155364</v>
      </c>
      <c r="AA232" s="131"/>
      <c r="AB232" s="131"/>
      <c r="AC232" s="191"/>
    </row>
    <row r="233" spans="1:29" customFormat="1" ht="15.5" customHeight="1" x14ac:dyDescent="0.25">
      <c r="A233" s="198" t="s">
        <v>217</v>
      </c>
      <c r="B233" s="136" t="s">
        <v>70</v>
      </c>
      <c r="C233" s="113">
        <v>18</v>
      </c>
      <c r="D233" s="141">
        <v>1.0163636363636364</v>
      </c>
      <c r="E233" s="113">
        <f t="shared" si="73"/>
        <v>18.294545454545453</v>
      </c>
      <c r="F233" s="41"/>
      <c r="G233" s="41"/>
      <c r="H233" s="41">
        <f t="shared" si="68"/>
        <v>0</v>
      </c>
      <c r="I233" s="96">
        <f t="shared" si="65"/>
        <v>0</v>
      </c>
      <c r="J233" s="41"/>
      <c r="K233" s="41"/>
      <c r="L233" s="41"/>
      <c r="M233" s="96">
        <f t="shared" si="69"/>
        <v>0</v>
      </c>
      <c r="N233" s="96"/>
      <c r="O233" s="96"/>
      <c r="P233" s="96"/>
      <c r="Q233" s="42">
        <f t="shared" si="66"/>
        <v>18</v>
      </c>
      <c r="R233" s="42">
        <f t="shared" si="70"/>
        <v>1.0163636363636364</v>
      </c>
      <c r="S233" s="42">
        <f t="shared" si="67"/>
        <v>18.294545454545453</v>
      </c>
      <c r="T233" s="93">
        <v>10</v>
      </c>
      <c r="U233" s="41">
        <f t="shared" si="71"/>
        <v>1.0163636363636364</v>
      </c>
      <c r="V233" s="43">
        <f t="shared" si="77"/>
        <v>10.163636363636364</v>
      </c>
      <c r="W233" s="44">
        <f t="shared" si="75"/>
        <v>8</v>
      </c>
      <c r="X233" s="44">
        <f t="shared" si="72"/>
        <v>1.0163636363636364</v>
      </c>
      <c r="Y233" s="166">
        <f t="shared" si="76"/>
        <v>8.1309090909090909</v>
      </c>
      <c r="AA233" s="131"/>
      <c r="AB233" s="131"/>
      <c r="AC233" s="191"/>
    </row>
    <row r="234" spans="1:29" customFormat="1" ht="15.5" customHeight="1" x14ac:dyDescent="0.25">
      <c r="A234" s="198" t="s">
        <v>218</v>
      </c>
      <c r="B234" s="136" t="s">
        <v>79</v>
      </c>
      <c r="C234" s="113">
        <v>3</v>
      </c>
      <c r="D234" s="141">
        <v>10.423076923076923</v>
      </c>
      <c r="E234" s="113">
        <f t="shared" si="73"/>
        <v>31.26923076923077</v>
      </c>
      <c r="F234" s="41"/>
      <c r="G234" s="41"/>
      <c r="H234" s="41">
        <f t="shared" si="68"/>
        <v>0</v>
      </c>
      <c r="I234" s="96">
        <f t="shared" si="65"/>
        <v>0</v>
      </c>
      <c r="J234" s="41"/>
      <c r="K234" s="41"/>
      <c r="L234" s="41"/>
      <c r="M234" s="96">
        <f t="shared" si="69"/>
        <v>0</v>
      </c>
      <c r="N234" s="96"/>
      <c r="O234" s="96"/>
      <c r="P234" s="96"/>
      <c r="Q234" s="42">
        <f t="shared" si="66"/>
        <v>3</v>
      </c>
      <c r="R234" s="42">
        <f t="shared" si="70"/>
        <v>10.423076923076923</v>
      </c>
      <c r="S234" s="42">
        <f t="shared" si="67"/>
        <v>31.26923076923077</v>
      </c>
      <c r="T234" s="93">
        <v>1</v>
      </c>
      <c r="U234" s="41">
        <f t="shared" si="71"/>
        <v>10.423076923076923</v>
      </c>
      <c r="V234" s="43">
        <f t="shared" si="77"/>
        <v>10.423076923076923</v>
      </c>
      <c r="W234" s="44">
        <f t="shared" si="75"/>
        <v>2</v>
      </c>
      <c r="X234" s="44">
        <f t="shared" si="72"/>
        <v>10.423076923076923</v>
      </c>
      <c r="Y234" s="166">
        <f t="shared" si="76"/>
        <v>20.846153846153847</v>
      </c>
      <c r="AA234" s="131"/>
      <c r="AB234" s="131"/>
      <c r="AC234" s="191"/>
    </row>
    <row r="235" spans="1:29" customFormat="1" ht="15.5" customHeight="1" x14ac:dyDescent="0.25">
      <c r="A235" s="198" t="s">
        <v>219</v>
      </c>
      <c r="B235" s="136" t="s">
        <v>79</v>
      </c>
      <c r="C235" s="113">
        <v>3</v>
      </c>
      <c r="D235" s="141">
        <v>11.307692307692307</v>
      </c>
      <c r="E235" s="113">
        <f t="shared" si="73"/>
        <v>33.92307692307692</v>
      </c>
      <c r="F235" s="41"/>
      <c r="G235" s="41"/>
      <c r="H235" s="41">
        <f t="shared" si="68"/>
        <v>0</v>
      </c>
      <c r="I235" s="96">
        <f t="shared" si="65"/>
        <v>0</v>
      </c>
      <c r="J235" s="41"/>
      <c r="K235" s="41"/>
      <c r="L235" s="41"/>
      <c r="M235" s="96">
        <f t="shared" si="69"/>
        <v>0</v>
      </c>
      <c r="N235" s="96"/>
      <c r="O235" s="96"/>
      <c r="P235" s="96"/>
      <c r="Q235" s="42">
        <f t="shared" si="66"/>
        <v>3</v>
      </c>
      <c r="R235" s="42">
        <f t="shared" si="70"/>
        <v>11.307692307692307</v>
      </c>
      <c r="S235" s="42">
        <f t="shared" si="67"/>
        <v>33.92307692307692</v>
      </c>
      <c r="T235" s="93">
        <v>1</v>
      </c>
      <c r="U235" s="41">
        <f t="shared" si="71"/>
        <v>11.307692307692307</v>
      </c>
      <c r="V235" s="43">
        <f t="shared" si="77"/>
        <v>11.307692307692307</v>
      </c>
      <c r="W235" s="44">
        <f t="shared" si="75"/>
        <v>2</v>
      </c>
      <c r="X235" s="44">
        <f t="shared" si="72"/>
        <v>11.307692307692307</v>
      </c>
      <c r="Y235" s="166">
        <f t="shared" si="76"/>
        <v>22.615384615384613</v>
      </c>
      <c r="AA235" s="131"/>
      <c r="AB235" s="131"/>
      <c r="AC235" s="191"/>
    </row>
    <row r="236" spans="1:29" customFormat="1" ht="15.65" customHeight="1" x14ac:dyDescent="0.25">
      <c r="A236" s="198" t="s">
        <v>220</v>
      </c>
      <c r="B236" s="136" t="s">
        <v>79</v>
      </c>
      <c r="C236" s="113">
        <v>0</v>
      </c>
      <c r="D236" s="141">
        <v>12.23076923076923</v>
      </c>
      <c r="E236" s="113">
        <f t="shared" si="73"/>
        <v>0</v>
      </c>
      <c r="F236" s="41"/>
      <c r="G236" s="41"/>
      <c r="H236" s="41">
        <f t="shared" si="68"/>
        <v>0</v>
      </c>
      <c r="I236" s="96">
        <f t="shared" si="65"/>
        <v>0</v>
      </c>
      <c r="J236" s="41"/>
      <c r="K236" s="41"/>
      <c r="L236" s="41"/>
      <c r="M236" s="96">
        <f t="shared" si="69"/>
        <v>0</v>
      </c>
      <c r="N236" s="96"/>
      <c r="O236" s="96"/>
      <c r="P236" s="96"/>
      <c r="Q236" s="42">
        <f t="shared" si="66"/>
        <v>0</v>
      </c>
      <c r="R236" s="42" t="str">
        <f t="shared" si="70"/>
        <v>0.00</v>
      </c>
      <c r="S236" s="42">
        <f t="shared" si="67"/>
        <v>0</v>
      </c>
      <c r="T236" s="93">
        <v>0</v>
      </c>
      <c r="U236" s="41" t="str">
        <f t="shared" si="71"/>
        <v>0.00</v>
      </c>
      <c r="V236" s="43">
        <f t="shared" si="77"/>
        <v>0</v>
      </c>
      <c r="W236" s="44">
        <f t="shared" si="75"/>
        <v>0</v>
      </c>
      <c r="X236" s="44" t="str">
        <f t="shared" si="72"/>
        <v>0.00</v>
      </c>
      <c r="Y236" s="166">
        <f t="shared" si="76"/>
        <v>0</v>
      </c>
      <c r="AA236" s="131"/>
      <c r="AB236" s="131"/>
      <c r="AC236" s="191"/>
    </row>
    <row r="237" spans="1:29" customFormat="1" ht="15.5" customHeight="1" x14ac:dyDescent="0.25">
      <c r="A237" s="198" t="s">
        <v>221</v>
      </c>
      <c r="B237" s="136" t="s">
        <v>79</v>
      </c>
      <c r="C237" s="113">
        <v>0</v>
      </c>
      <c r="D237" s="141">
        <v>31.692307692307693</v>
      </c>
      <c r="E237" s="113">
        <f t="shared" si="73"/>
        <v>0</v>
      </c>
      <c r="F237" s="41"/>
      <c r="G237" s="41"/>
      <c r="H237" s="41">
        <f t="shared" si="68"/>
        <v>0</v>
      </c>
      <c r="I237" s="96">
        <f t="shared" si="65"/>
        <v>0</v>
      </c>
      <c r="J237" s="41"/>
      <c r="K237" s="41"/>
      <c r="L237" s="41"/>
      <c r="M237" s="96">
        <f t="shared" si="69"/>
        <v>0</v>
      </c>
      <c r="N237" s="96"/>
      <c r="O237" s="96"/>
      <c r="P237" s="96"/>
      <c r="Q237" s="42">
        <f t="shared" si="66"/>
        <v>0</v>
      </c>
      <c r="R237" s="42" t="str">
        <f t="shared" si="70"/>
        <v>0.00</v>
      </c>
      <c r="S237" s="42">
        <f t="shared" si="67"/>
        <v>0</v>
      </c>
      <c r="T237" s="93">
        <v>0</v>
      </c>
      <c r="U237" s="41" t="str">
        <f t="shared" si="71"/>
        <v>0.00</v>
      </c>
      <c r="V237" s="43">
        <f t="shared" si="77"/>
        <v>0</v>
      </c>
      <c r="W237" s="44">
        <f t="shared" si="75"/>
        <v>0</v>
      </c>
      <c r="X237" s="44" t="str">
        <f t="shared" si="72"/>
        <v>0.00</v>
      </c>
      <c r="Y237" s="166">
        <f t="shared" si="76"/>
        <v>0</v>
      </c>
      <c r="AA237" s="131"/>
      <c r="AB237" s="131"/>
      <c r="AC237" s="191"/>
    </row>
    <row r="238" spans="1:29" customFormat="1" ht="15.65" customHeight="1" x14ac:dyDescent="0.25">
      <c r="A238" s="198" t="s">
        <v>222</v>
      </c>
      <c r="B238" s="136" t="s">
        <v>79</v>
      </c>
      <c r="C238" s="113">
        <v>5</v>
      </c>
      <c r="D238" s="141">
        <v>3.7883404146488533</v>
      </c>
      <c r="E238" s="113">
        <f t="shared" si="73"/>
        <v>18.941702073244265</v>
      </c>
      <c r="F238" s="41"/>
      <c r="G238" s="41"/>
      <c r="H238" s="41">
        <f t="shared" si="68"/>
        <v>0</v>
      </c>
      <c r="I238" s="96">
        <f t="shared" si="65"/>
        <v>0</v>
      </c>
      <c r="J238" s="41"/>
      <c r="K238" s="41"/>
      <c r="L238" s="41"/>
      <c r="M238" s="96">
        <f t="shared" si="69"/>
        <v>0</v>
      </c>
      <c r="N238" s="96"/>
      <c r="O238" s="96"/>
      <c r="P238" s="96"/>
      <c r="Q238" s="42">
        <f t="shared" si="66"/>
        <v>5</v>
      </c>
      <c r="R238" s="42">
        <f t="shared" si="70"/>
        <v>3.7883404146488528</v>
      </c>
      <c r="S238" s="42">
        <f t="shared" si="67"/>
        <v>18.941702073244265</v>
      </c>
      <c r="T238" s="93">
        <v>2</v>
      </c>
      <c r="U238" s="41">
        <f t="shared" si="71"/>
        <v>3.7883404146488528</v>
      </c>
      <c r="V238" s="43">
        <f t="shared" si="77"/>
        <v>7.5766808292977057</v>
      </c>
      <c r="W238" s="44">
        <f t="shared" si="75"/>
        <v>3</v>
      </c>
      <c r="X238" s="44">
        <f t="shared" si="72"/>
        <v>3.7883404146488528</v>
      </c>
      <c r="Y238" s="166">
        <f t="shared" si="76"/>
        <v>11.365021243946558</v>
      </c>
      <c r="AA238" s="131"/>
      <c r="AB238" s="131"/>
      <c r="AC238" s="191"/>
    </row>
    <row r="239" spans="1:29" customFormat="1" ht="15.5" customHeight="1" x14ac:dyDescent="0.25">
      <c r="A239" s="198" t="s">
        <v>223</v>
      </c>
      <c r="B239" s="136" t="s">
        <v>195</v>
      </c>
      <c r="C239" s="113">
        <v>8</v>
      </c>
      <c r="D239" s="141">
        <v>3.3076923076923075</v>
      </c>
      <c r="E239" s="113">
        <f t="shared" si="73"/>
        <v>26.46153846153846</v>
      </c>
      <c r="F239" s="41"/>
      <c r="G239" s="41"/>
      <c r="H239" s="41">
        <f t="shared" si="68"/>
        <v>0</v>
      </c>
      <c r="I239" s="96">
        <f t="shared" si="65"/>
        <v>0</v>
      </c>
      <c r="J239" s="41"/>
      <c r="K239" s="41"/>
      <c r="L239" s="41"/>
      <c r="M239" s="96">
        <f t="shared" si="69"/>
        <v>0</v>
      </c>
      <c r="N239" s="96"/>
      <c r="O239" s="96"/>
      <c r="P239" s="96"/>
      <c r="Q239" s="42">
        <f t="shared" si="66"/>
        <v>8</v>
      </c>
      <c r="R239" s="42">
        <f t="shared" si="70"/>
        <v>3.3076923076923075</v>
      </c>
      <c r="S239" s="42">
        <f t="shared" si="67"/>
        <v>26.46153846153846</v>
      </c>
      <c r="T239" s="93">
        <v>2</v>
      </c>
      <c r="U239" s="41">
        <f t="shared" si="71"/>
        <v>3.3076923076923075</v>
      </c>
      <c r="V239" s="43">
        <f t="shared" si="77"/>
        <v>6.615384615384615</v>
      </c>
      <c r="W239" s="44">
        <f t="shared" si="75"/>
        <v>6</v>
      </c>
      <c r="X239" s="44">
        <f t="shared" si="72"/>
        <v>3.3076923076923075</v>
      </c>
      <c r="Y239" s="166">
        <f t="shared" si="76"/>
        <v>19.846153846153847</v>
      </c>
      <c r="AA239" s="131"/>
      <c r="AB239" s="131"/>
      <c r="AC239" s="191"/>
    </row>
    <row r="240" spans="1:29" customFormat="1" ht="15.65" customHeight="1" x14ac:dyDescent="0.25">
      <c r="A240" s="198" t="s">
        <v>246</v>
      </c>
      <c r="B240" s="136" t="s">
        <v>72</v>
      </c>
      <c r="C240" s="113">
        <v>22</v>
      </c>
      <c r="D240" s="141">
        <v>3.2566114771029926</v>
      </c>
      <c r="E240" s="113">
        <f t="shared" si="73"/>
        <v>71.645452496265833</v>
      </c>
      <c r="F240" s="41"/>
      <c r="G240" s="41"/>
      <c r="H240" s="41">
        <f t="shared" si="68"/>
        <v>0</v>
      </c>
      <c r="I240" s="96">
        <f t="shared" si="65"/>
        <v>0</v>
      </c>
      <c r="J240" s="41"/>
      <c r="K240" s="41"/>
      <c r="L240" s="41"/>
      <c r="M240" s="96">
        <f t="shared" si="69"/>
        <v>0</v>
      </c>
      <c r="N240" s="96"/>
      <c r="O240" s="96"/>
      <c r="P240" s="96"/>
      <c r="Q240" s="42">
        <f t="shared" si="66"/>
        <v>22</v>
      </c>
      <c r="R240" s="42">
        <f t="shared" si="70"/>
        <v>3.2566114771029926</v>
      </c>
      <c r="S240" s="42">
        <f t="shared" si="67"/>
        <v>71.645452496265833</v>
      </c>
      <c r="T240" s="93">
        <v>15</v>
      </c>
      <c r="U240" s="41">
        <f t="shared" si="71"/>
        <v>3.2566114771029926</v>
      </c>
      <c r="V240" s="43">
        <f t="shared" si="77"/>
        <v>48.849172156544888</v>
      </c>
      <c r="W240" s="44">
        <f t="shared" si="75"/>
        <v>7</v>
      </c>
      <c r="X240" s="44">
        <f t="shared" si="72"/>
        <v>3.2566114771029926</v>
      </c>
      <c r="Y240" s="166">
        <f t="shared" si="76"/>
        <v>22.796280339720948</v>
      </c>
      <c r="AA240" s="131"/>
      <c r="AB240" s="131"/>
      <c r="AC240" s="191"/>
    </row>
    <row r="241" spans="1:29" customFormat="1" ht="15.5" customHeight="1" x14ac:dyDescent="0.25">
      <c r="A241" s="197" t="s">
        <v>302</v>
      </c>
      <c r="B241" s="136" t="s">
        <v>79</v>
      </c>
      <c r="C241" s="113">
        <v>5</v>
      </c>
      <c r="D241" s="141">
        <v>2.8323762570665085</v>
      </c>
      <c r="E241" s="113">
        <f t="shared" si="73"/>
        <v>14.161881285332543</v>
      </c>
      <c r="F241" s="41"/>
      <c r="G241" s="41"/>
      <c r="H241" s="41">
        <f t="shared" si="68"/>
        <v>0</v>
      </c>
      <c r="I241" s="96">
        <f t="shared" si="65"/>
        <v>0</v>
      </c>
      <c r="J241" s="41"/>
      <c r="K241" s="41"/>
      <c r="L241" s="41"/>
      <c r="M241" s="96">
        <f t="shared" si="69"/>
        <v>0</v>
      </c>
      <c r="N241" s="96"/>
      <c r="O241" s="96"/>
      <c r="P241" s="96"/>
      <c r="Q241" s="42">
        <f t="shared" si="66"/>
        <v>5</v>
      </c>
      <c r="R241" s="42">
        <f t="shared" si="70"/>
        <v>2.8323762570665085</v>
      </c>
      <c r="S241" s="42">
        <f t="shared" si="67"/>
        <v>14.161881285332543</v>
      </c>
      <c r="T241" s="93">
        <v>2</v>
      </c>
      <c r="U241" s="41">
        <f t="shared" si="71"/>
        <v>2.8323762570665085</v>
      </c>
      <c r="V241" s="43">
        <f t="shared" si="77"/>
        <v>5.6647525141330171</v>
      </c>
      <c r="W241" s="44">
        <f t="shared" si="75"/>
        <v>3</v>
      </c>
      <c r="X241" s="44">
        <f t="shared" si="72"/>
        <v>2.8323762570665085</v>
      </c>
      <c r="Y241" s="166">
        <f t="shared" si="76"/>
        <v>8.4971287711995256</v>
      </c>
      <c r="AA241" s="131"/>
      <c r="AB241" s="131"/>
      <c r="AC241" s="191"/>
    </row>
    <row r="242" spans="1:29" customFormat="1" ht="15.5" customHeight="1" x14ac:dyDescent="0.25">
      <c r="A242" s="197" t="s">
        <v>301</v>
      </c>
      <c r="B242" s="136" t="s">
        <v>79</v>
      </c>
      <c r="C242" s="113">
        <v>10</v>
      </c>
      <c r="D242" s="141">
        <v>2.0707527777777779</v>
      </c>
      <c r="E242" s="113">
        <f t="shared" si="73"/>
        <v>20.707527777777777</v>
      </c>
      <c r="F242" s="41"/>
      <c r="G242" s="41"/>
      <c r="H242" s="41">
        <f t="shared" si="68"/>
        <v>0</v>
      </c>
      <c r="I242" s="96">
        <f t="shared" si="65"/>
        <v>0</v>
      </c>
      <c r="J242" s="41"/>
      <c r="K242" s="41"/>
      <c r="L242" s="41"/>
      <c r="M242" s="96">
        <f t="shared" si="69"/>
        <v>0</v>
      </c>
      <c r="N242" s="96"/>
      <c r="O242" s="96"/>
      <c r="P242" s="96"/>
      <c r="Q242" s="42">
        <f t="shared" si="66"/>
        <v>10</v>
      </c>
      <c r="R242" s="42">
        <f t="shared" si="70"/>
        <v>2.0707527777777779</v>
      </c>
      <c r="S242" s="42">
        <f t="shared" si="67"/>
        <v>20.707527777777777</v>
      </c>
      <c r="T242" s="93">
        <v>5</v>
      </c>
      <c r="U242" s="41">
        <f t="shared" si="71"/>
        <v>2.0707527777777779</v>
      </c>
      <c r="V242" s="43">
        <f t="shared" si="77"/>
        <v>10.353763888888889</v>
      </c>
      <c r="W242" s="44">
        <f t="shared" si="75"/>
        <v>5</v>
      </c>
      <c r="X242" s="44">
        <f t="shared" si="72"/>
        <v>2.0707527777777779</v>
      </c>
      <c r="Y242" s="166">
        <f t="shared" si="76"/>
        <v>10.353763888888889</v>
      </c>
      <c r="AA242" s="131"/>
      <c r="AB242" s="131"/>
      <c r="AC242" s="191"/>
    </row>
    <row r="243" spans="1:29" customFormat="1" ht="15.5" customHeight="1" x14ac:dyDescent="0.25">
      <c r="A243" s="198" t="s">
        <v>325</v>
      </c>
      <c r="B243" s="136" t="s">
        <v>79</v>
      </c>
      <c r="C243" s="113">
        <v>20</v>
      </c>
      <c r="D243" s="141">
        <v>0.95225598629986463</v>
      </c>
      <c r="E243" s="113">
        <f t="shared" si="73"/>
        <v>19.045119725997292</v>
      </c>
      <c r="F243" s="41"/>
      <c r="G243" s="41"/>
      <c r="H243" s="41">
        <f t="shared" si="68"/>
        <v>0</v>
      </c>
      <c r="I243" s="96">
        <f t="shared" si="65"/>
        <v>0</v>
      </c>
      <c r="J243" s="41"/>
      <c r="K243" s="41"/>
      <c r="L243" s="41"/>
      <c r="M243" s="96">
        <f t="shared" si="69"/>
        <v>0</v>
      </c>
      <c r="N243" s="96"/>
      <c r="O243" s="96"/>
      <c r="P243" s="96"/>
      <c r="Q243" s="42">
        <f t="shared" si="66"/>
        <v>20</v>
      </c>
      <c r="R243" s="42">
        <f t="shared" si="70"/>
        <v>0.95225598629986463</v>
      </c>
      <c r="S243" s="42">
        <f t="shared" si="67"/>
        <v>19.045119725997292</v>
      </c>
      <c r="T243" s="93">
        <v>0</v>
      </c>
      <c r="U243" s="41">
        <f t="shared" si="71"/>
        <v>0.95225598629986463</v>
      </c>
      <c r="V243" s="43">
        <f t="shared" si="77"/>
        <v>0</v>
      </c>
      <c r="W243" s="44">
        <f t="shared" si="75"/>
        <v>20</v>
      </c>
      <c r="X243" s="44">
        <f t="shared" si="72"/>
        <v>0.95225598629986463</v>
      </c>
      <c r="Y243" s="166">
        <f t="shared" ref="Y243:Y271" si="78">W243*X243</f>
        <v>19.045119725997292</v>
      </c>
      <c r="AA243" s="131"/>
      <c r="AB243" s="131"/>
      <c r="AC243" s="191"/>
    </row>
    <row r="244" spans="1:29" customFormat="1" ht="15.5" customHeight="1" x14ac:dyDescent="0.25">
      <c r="A244" s="198" t="s">
        <v>250</v>
      </c>
      <c r="B244" s="136" t="s">
        <v>70</v>
      </c>
      <c r="C244" s="113">
        <v>0</v>
      </c>
      <c r="D244" s="141" t="s">
        <v>248</v>
      </c>
      <c r="E244" s="113">
        <f t="shared" si="73"/>
        <v>0</v>
      </c>
      <c r="F244" s="41"/>
      <c r="G244" s="41"/>
      <c r="H244" s="41">
        <f t="shared" si="68"/>
        <v>0</v>
      </c>
      <c r="I244" s="96">
        <f t="shared" si="65"/>
        <v>0</v>
      </c>
      <c r="J244" s="41"/>
      <c r="K244" s="41"/>
      <c r="L244" s="41"/>
      <c r="M244" s="96">
        <f t="shared" si="69"/>
        <v>0</v>
      </c>
      <c r="N244" s="96"/>
      <c r="O244" s="96"/>
      <c r="P244" s="96"/>
      <c r="Q244" s="42">
        <f t="shared" si="66"/>
        <v>0</v>
      </c>
      <c r="R244" s="42" t="str">
        <f t="shared" si="70"/>
        <v>0.00</v>
      </c>
      <c r="S244" s="42">
        <f t="shared" si="67"/>
        <v>0</v>
      </c>
      <c r="T244" s="93">
        <v>0</v>
      </c>
      <c r="U244" s="41" t="str">
        <f t="shared" si="71"/>
        <v>0.00</v>
      </c>
      <c r="V244" s="43">
        <f t="shared" ref="V244:V272" si="79">T244*U244</f>
        <v>0</v>
      </c>
      <c r="W244" s="44">
        <f t="shared" si="75"/>
        <v>0</v>
      </c>
      <c r="X244" s="44" t="str">
        <f t="shared" si="72"/>
        <v>0.00</v>
      </c>
      <c r="Y244" s="166">
        <f t="shared" si="78"/>
        <v>0</v>
      </c>
      <c r="AA244" s="131"/>
      <c r="AB244" s="131"/>
      <c r="AC244" s="191"/>
    </row>
    <row r="245" spans="1:29" customFormat="1" ht="15.5" customHeight="1" x14ac:dyDescent="0.25">
      <c r="A245" s="198" t="s">
        <v>361</v>
      </c>
      <c r="B245" s="136" t="s">
        <v>70</v>
      </c>
      <c r="C245" s="113">
        <v>2</v>
      </c>
      <c r="D245" s="141">
        <v>4.5039474603507301</v>
      </c>
      <c r="E245" s="113">
        <f t="shared" si="73"/>
        <v>9.0078949207014603</v>
      </c>
      <c r="F245" s="41"/>
      <c r="G245" s="41"/>
      <c r="H245" s="41">
        <f t="shared" si="68"/>
        <v>0</v>
      </c>
      <c r="I245" s="96">
        <f t="shared" si="65"/>
        <v>0</v>
      </c>
      <c r="J245" s="41"/>
      <c r="K245" s="41"/>
      <c r="L245" s="41"/>
      <c r="M245" s="96">
        <f t="shared" si="69"/>
        <v>0</v>
      </c>
      <c r="N245" s="96"/>
      <c r="O245" s="96"/>
      <c r="P245" s="96"/>
      <c r="Q245" s="42">
        <f t="shared" si="66"/>
        <v>2</v>
      </c>
      <c r="R245" s="42">
        <f t="shared" si="70"/>
        <v>4.5039474603507301</v>
      </c>
      <c r="S245" s="42">
        <f t="shared" si="67"/>
        <v>9.0078949207014603</v>
      </c>
      <c r="T245" s="93">
        <v>1</v>
      </c>
      <c r="U245" s="41">
        <f t="shared" si="71"/>
        <v>4.5039474603507301</v>
      </c>
      <c r="V245" s="43">
        <f t="shared" si="79"/>
        <v>4.5039474603507301</v>
      </c>
      <c r="W245" s="44">
        <f t="shared" si="75"/>
        <v>1</v>
      </c>
      <c r="X245" s="44">
        <f t="shared" si="72"/>
        <v>4.5039474603507301</v>
      </c>
      <c r="Y245" s="166">
        <f t="shared" si="78"/>
        <v>4.5039474603507301</v>
      </c>
      <c r="AA245" s="131"/>
      <c r="AB245" s="131"/>
      <c r="AC245" s="191"/>
    </row>
    <row r="246" spans="1:29" customFormat="1" ht="15.5" customHeight="1" x14ac:dyDescent="0.25">
      <c r="A246" s="198" t="s">
        <v>362</v>
      </c>
      <c r="B246" s="136" t="s">
        <v>73</v>
      </c>
      <c r="C246" s="113">
        <v>2</v>
      </c>
      <c r="D246" s="141">
        <v>1.1896500675835138</v>
      </c>
      <c r="E246" s="113">
        <f t="shared" si="73"/>
        <v>2.3793001351670275</v>
      </c>
      <c r="F246" s="41"/>
      <c r="G246" s="41"/>
      <c r="H246" s="41">
        <f t="shared" si="68"/>
        <v>0</v>
      </c>
      <c r="I246" s="96">
        <f t="shared" si="65"/>
        <v>0</v>
      </c>
      <c r="J246" s="41"/>
      <c r="K246" s="41"/>
      <c r="L246" s="41"/>
      <c r="M246" s="96">
        <f t="shared" si="69"/>
        <v>0</v>
      </c>
      <c r="N246" s="96"/>
      <c r="O246" s="96"/>
      <c r="P246" s="96"/>
      <c r="Q246" s="42">
        <f t="shared" si="66"/>
        <v>2</v>
      </c>
      <c r="R246" s="42">
        <f t="shared" si="70"/>
        <v>1.1896500675835138</v>
      </c>
      <c r="S246" s="42">
        <f t="shared" si="67"/>
        <v>2.3793001351670275</v>
      </c>
      <c r="T246" s="93">
        <v>1</v>
      </c>
      <c r="U246" s="41">
        <f t="shared" si="71"/>
        <v>1.1896500675835138</v>
      </c>
      <c r="V246" s="43">
        <f t="shared" si="79"/>
        <v>1.1896500675835138</v>
      </c>
      <c r="W246" s="44">
        <f t="shared" si="75"/>
        <v>1</v>
      </c>
      <c r="X246" s="44">
        <f t="shared" si="72"/>
        <v>1.1896500675835138</v>
      </c>
      <c r="Y246" s="166">
        <f t="shared" si="78"/>
        <v>1.1896500675835138</v>
      </c>
      <c r="AA246" s="131"/>
      <c r="AB246" s="131"/>
      <c r="AC246" s="191"/>
    </row>
    <row r="247" spans="1:29" customFormat="1" ht="15.5" customHeight="1" x14ac:dyDescent="0.25">
      <c r="A247" s="198" t="s">
        <v>251</v>
      </c>
      <c r="B247" s="136" t="s">
        <v>79</v>
      </c>
      <c r="C247" s="113">
        <v>0</v>
      </c>
      <c r="D247" s="141" t="s">
        <v>248</v>
      </c>
      <c r="E247" s="113">
        <f t="shared" si="73"/>
        <v>0</v>
      </c>
      <c r="F247" s="41"/>
      <c r="G247" s="41"/>
      <c r="H247" s="41">
        <f t="shared" si="68"/>
        <v>0</v>
      </c>
      <c r="I247" s="96">
        <f t="shared" si="65"/>
        <v>0</v>
      </c>
      <c r="J247" s="41"/>
      <c r="K247" s="41"/>
      <c r="L247" s="41"/>
      <c r="M247" s="96">
        <f t="shared" si="69"/>
        <v>0</v>
      </c>
      <c r="N247" s="96"/>
      <c r="O247" s="96"/>
      <c r="P247" s="96"/>
      <c r="Q247" s="42">
        <f t="shared" si="66"/>
        <v>0</v>
      </c>
      <c r="R247" s="42" t="str">
        <f t="shared" si="70"/>
        <v>0.00</v>
      </c>
      <c r="S247" s="42">
        <f t="shared" si="67"/>
        <v>0</v>
      </c>
      <c r="T247" s="93">
        <v>0</v>
      </c>
      <c r="U247" s="41" t="str">
        <f t="shared" si="71"/>
        <v>0.00</v>
      </c>
      <c r="V247" s="43">
        <f t="shared" si="79"/>
        <v>0</v>
      </c>
      <c r="W247" s="44">
        <f t="shared" si="75"/>
        <v>0</v>
      </c>
      <c r="X247" s="44" t="str">
        <f t="shared" si="72"/>
        <v>0.00</v>
      </c>
      <c r="Y247" s="166">
        <f t="shared" si="78"/>
        <v>0</v>
      </c>
      <c r="AA247" s="131"/>
      <c r="AB247" s="131"/>
      <c r="AC247" s="191"/>
    </row>
    <row r="248" spans="1:29" customFormat="1" ht="15.5" customHeight="1" x14ac:dyDescent="0.25">
      <c r="A248" s="198" t="s">
        <v>252</v>
      </c>
      <c r="B248" s="136" t="s">
        <v>73</v>
      </c>
      <c r="C248" s="113">
        <v>5</v>
      </c>
      <c r="D248" s="141">
        <v>0.80087912087912094</v>
      </c>
      <c r="E248" s="113">
        <f t="shared" si="73"/>
        <v>4.0043956043956044</v>
      </c>
      <c r="F248" s="41"/>
      <c r="G248" s="41"/>
      <c r="H248" s="41">
        <f t="shared" si="68"/>
        <v>0</v>
      </c>
      <c r="I248" s="96">
        <f t="shared" si="65"/>
        <v>0</v>
      </c>
      <c r="J248" s="41"/>
      <c r="K248" s="41"/>
      <c r="L248" s="41"/>
      <c r="M248" s="96">
        <f t="shared" si="69"/>
        <v>0</v>
      </c>
      <c r="N248" s="96"/>
      <c r="O248" s="96"/>
      <c r="P248" s="96"/>
      <c r="Q248" s="42">
        <f t="shared" si="66"/>
        <v>5</v>
      </c>
      <c r="R248" s="42">
        <f t="shared" si="70"/>
        <v>0.80087912087912083</v>
      </c>
      <c r="S248" s="42">
        <f t="shared" si="67"/>
        <v>4.0043956043956044</v>
      </c>
      <c r="T248" s="93">
        <v>4</v>
      </c>
      <c r="U248" s="41">
        <f t="shared" si="71"/>
        <v>0.80087912087912083</v>
      </c>
      <c r="V248" s="43">
        <f t="shared" si="79"/>
        <v>3.2035164835164833</v>
      </c>
      <c r="W248" s="44">
        <f t="shared" si="75"/>
        <v>1</v>
      </c>
      <c r="X248" s="44">
        <f t="shared" si="72"/>
        <v>0.80087912087912083</v>
      </c>
      <c r="Y248" s="166">
        <f t="shared" si="78"/>
        <v>0.80087912087912083</v>
      </c>
      <c r="AA248" s="131"/>
      <c r="AB248" s="131"/>
      <c r="AC248" s="191"/>
    </row>
    <row r="249" spans="1:29" customFormat="1" ht="15.5" customHeight="1" x14ac:dyDescent="0.25">
      <c r="A249" s="198" t="s">
        <v>253</v>
      </c>
      <c r="B249" s="136" t="s">
        <v>73</v>
      </c>
      <c r="C249" s="113">
        <v>3</v>
      </c>
      <c r="D249" s="141">
        <v>3.474114441416893</v>
      </c>
      <c r="E249" s="113">
        <f t="shared" si="73"/>
        <v>10.422343324250679</v>
      </c>
      <c r="F249" s="41"/>
      <c r="G249" s="41"/>
      <c r="H249" s="41">
        <f t="shared" si="68"/>
        <v>0</v>
      </c>
      <c r="I249" s="96">
        <f t="shared" si="65"/>
        <v>0</v>
      </c>
      <c r="J249" s="41"/>
      <c r="K249" s="41"/>
      <c r="L249" s="41"/>
      <c r="M249" s="96">
        <f t="shared" si="69"/>
        <v>0</v>
      </c>
      <c r="N249" s="96"/>
      <c r="O249" s="96"/>
      <c r="P249" s="96"/>
      <c r="Q249" s="42">
        <f t="shared" si="66"/>
        <v>3</v>
      </c>
      <c r="R249" s="42">
        <f t="shared" si="70"/>
        <v>3.474114441416893</v>
      </c>
      <c r="S249" s="42">
        <f t="shared" si="67"/>
        <v>10.422343324250679</v>
      </c>
      <c r="T249" s="93">
        <v>2</v>
      </c>
      <c r="U249" s="41">
        <f t="shared" si="71"/>
        <v>3.474114441416893</v>
      </c>
      <c r="V249" s="43">
        <f t="shared" si="79"/>
        <v>6.9482288828337859</v>
      </c>
      <c r="W249" s="44">
        <f t="shared" si="75"/>
        <v>1</v>
      </c>
      <c r="X249" s="44">
        <f t="shared" si="72"/>
        <v>3.474114441416893</v>
      </c>
      <c r="Y249" s="166">
        <f t="shared" si="78"/>
        <v>3.474114441416893</v>
      </c>
      <c r="AA249" s="131"/>
      <c r="AB249" s="131"/>
      <c r="AC249" s="191"/>
    </row>
    <row r="250" spans="1:29" customFormat="1" ht="15.5" customHeight="1" x14ac:dyDescent="0.25">
      <c r="A250" s="198" t="s">
        <v>391</v>
      </c>
      <c r="B250" s="136" t="s">
        <v>73</v>
      </c>
      <c r="C250" s="113">
        <v>1</v>
      </c>
      <c r="D250" s="141">
        <v>7.9230769230769234</v>
      </c>
      <c r="E250" s="113">
        <f t="shared" si="73"/>
        <v>7.9230769230769234</v>
      </c>
      <c r="F250" s="41"/>
      <c r="G250" s="41"/>
      <c r="H250" s="41">
        <f t="shared" si="68"/>
        <v>0</v>
      </c>
      <c r="I250" s="96">
        <f t="shared" si="65"/>
        <v>0</v>
      </c>
      <c r="J250" s="41"/>
      <c r="K250" s="41"/>
      <c r="L250" s="41"/>
      <c r="M250" s="96">
        <f t="shared" si="69"/>
        <v>0</v>
      </c>
      <c r="N250" s="96"/>
      <c r="O250" s="96"/>
      <c r="P250" s="96"/>
      <c r="Q250" s="42">
        <f t="shared" si="66"/>
        <v>1</v>
      </c>
      <c r="R250" s="42">
        <f t="shared" si="70"/>
        <v>7.9230769230769234</v>
      </c>
      <c r="S250" s="42">
        <f t="shared" si="67"/>
        <v>7.9230769230769234</v>
      </c>
      <c r="T250" s="93">
        <v>1</v>
      </c>
      <c r="U250" s="41">
        <f t="shared" si="71"/>
        <v>7.9230769230769234</v>
      </c>
      <c r="V250" s="43">
        <f t="shared" ref="V250" si="80">T250*U250</f>
        <v>7.9230769230769234</v>
      </c>
      <c r="W250" s="44">
        <f t="shared" si="75"/>
        <v>0</v>
      </c>
      <c r="X250" s="44">
        <f t="shared" si="72"/>
        <v>7.9230769230769234</v>
      </c>
      <c r="Y250" s="166">
        <f t="shared" ref="Y250" si="81">W250*X250</f>
        <v>0</v>
      </c>
      <c r="AA250" s="131"/>
      <c r="AB250" s="131"/>
      <c r="AC250" s="191"/>
    </row>
    <row r="251" spans="1:29" customFormat="1" ht="15.5" customHeight="1" x14ac:dyDescent="0.25">
      <c r="A251" s="198" t="s">
        <v>408</v>
      </c>
      <c r="B251" s="136" t="s">
        <v>82</v>
      </c>
      <c r="C251" s="113">
        <v>0</v>
      </c>
      <c r="D251" s="141">
        <v>0.69230769230769229</v>
      </c>
      <c r="E251" s="113">
        <f t="shared" si="73"/>
        <v>0</v>
      </c>
      <c r="F251" s="41"/>
      <c r="G251" s="41"/>
      <c r="H251" s="41">
        <f t="shared" si="68"/>
        <v>0</v>
      </c>
      <c r="I251" s="96">
        <f t="shared" si="65"/>
        <v>0</v>
      </c>
      <c r="J251" s="41"/>
      <c r="K251" s="41"/>
      <c r="L251" s="41"/>
      <c r="M251" s="96">
        <f t="shared" si="69"/>
        <v>0</v>
      </c>
      <c r="N251" s="96"/>
      <c r="O251" s="96"/>
      <c r="P251" s="96"/>
      <c r="Q251" s="42">
        <f t="shared" si="66"/>
        <v>0</v>
      </c>
      <c r="R251" s="42" t="str">
        <f t="shared" si="70"/>
        <v>0.00</v>
      </c>
      <c r="S251" s="42">
        <f t="shared" si="67"/>
        <v>0</v>
      </c>
      <c r="T251" s="93">
        <v>0</v>
      </c>
      <c r="U251" s="41" t="str">
        <f t="shared" si="71"/>
        <v>0.00</v>
      </c>
      <c r="V251" s="43">
        <f t="shared" si="79"/>
        <v>0</v>
      </c>
      <c r="W251" s="44">
        <f t="shared" si="75"/>
        <v>0</v>
      </c>
      <c r="X251" s="44" t="str">
        <f t="shared" si="72"/>
        <v>0.00</v>
      </c>
      <c r="Y251" s="166">
        <f t="shared" si="78"/>
        <v>0</v>
      </c>
      <c r="AA251" s="131"/>
      <c r="AB251" s="131"/>
      <c r="AC251" s="191"/>
    </row>
    <row r="252" spans="1:29" customFormat="1" ht="15.5" customHeight="1" x14ac:dyDescent="0.25">
      <c r="A252" s="198" t="s">
        <v>402</v>
      </c>
      <c r="B252" s="136" t="s">
        <v>73</v>
      </c>
      <c r="C252" s="113">
        <v>10</v>
      </c>
      <c r="D252" s="141">
        <v>7.6923076923076907</v>
      </c>
      <c r="E252" s="113">
        <f t="shared" si="73"/>
        <v>76.923076923076906</v>
      </c>
      <c r="F252" s="41"/>
      <c r="G252" s="41"/>
      <c r="H252" s="41">
        <f t="shared" si="68"/>
        <v>0</v>
      </c>
      <c r="I252" s="96">
        <f t="shared" si="65"/>
        <v>0</v>
      </c>
      <c r="J252" s="41"/>
      <c r="K252" s="41"/>
      <c r="L252" s="41"/>
      <c r="M252" s="96">
        <f t="shared" si="69"/>
        <v>0</v>
      </c>
      <c r="N252" s="96"/>
      <c r="O252" s="96"/>
      <c r="P252" s="96"/>
      <c r="Q252" s="42">
        <f t="shared" si="66"/>
        <v>10</v>
      </c>
      <c r="R252" s="42">
        <f t="shared" si="70"/>
        <v>7.6923076923076907</v>
      </c>
      <c r="S252" s="42">
        <f t="shared" si="67"/>
        <v>76.923076923076906</v>
      </c>
      <c r="T252" s="93">
        <v>5</v>
      </c>
      <c r="U252" s="41">
        <f t="shared" si="71"/>
        <v>7.6923076923076907</v>
      </c>
      <c r="V252" s="43">
        <f t="shared" si="79"/>
        <v>38.461538461538453</v>
      </c>
      <c r="W252" s="44">
        <f t="shared" si="75"/>
        <v>5</v>
      </c>
      <c r="X252" s="44">
        <f t="shared" si="72"/>
        <v>7.6923076923076907</v>
      </c>
      <c r="Y252" s="166">
        <f t="shared" si="78"/>
        <v>38.461538461538453</v>
      </c>
      <c r="AA252" s="131"/>
      <c r="AB252" s="131"/>
      <c r="AC252" s="191"/>
    </row>
    <row r="253" spans="1:29" customFormat="1" ht="15.5" customHeight="1" x14ac:dyDescent="0.25">
      <c r="A253" s="198" t="s">
        <v>339</v>
      </c>
      <c r="B253" s="136" t="s">
        <v>77</v>
      </c>
      <c r="C253" s="113">
        <v>17</v>
      </c>
      <c r="D253" s="141">
        <v>6.0063334149883953</v>
      </c>
      <c r="E253" s="113">
        <f t="shared" si="73"/>
        <v>102.10766805480272</v>
      </c>
      <c r="F253" s="41"/>
      <c r="G253" s="41"/>
      <c r="H253" s="41">
        <f t="shared" si="68"/>
        <v>0</v>
      </c>
      <c r="I253" s="96">
        <f t="shared" si="65"/>
        <v>0</v>
      </c>
      <c r="J253" s="41"/>
      <c r="K253" s="41"/>
      <c r="L253" s="41"/>
      <c r="M253" s="96">
        <f t="shared" si="69"/>
        <v>0</v>
      </c>
      <c r="N253" s="96"/>
      <c r="O253" s="96"/>
      <c r="P253" s="96"/>
      <c r="Q253" s="42">
        <f t="shared" si="66"/>
        <v>17</v>
      </c>
      <c r="R253" s="42">
        <f t="shared" si="70"/>
        <v>6.0063334149883953</v>
      </c>
      <c r="S253" s="42">
        <f t="shared" si="67"/>
        <v>102.10766805480272</v>
      </c>
      <c r="T253" s="93">
        <v>10</v>
      </c>
      <c r="U253" s="41">
        <f t="shared" si="71"/>
        <v>6.0063334149883953</v>
      </c>
      <c r="V253" s="43">
        <f t="shared" si="79"/>
        <v>60.063334149883957</v>
      </c>
      <c r="W253" s="44">
        <f t="shared" si="75"/>
        <v>7</v>
      </c>
      <c r="X253" s="44">
        <f t="shared" si="72"/>
        <v>6.0063334149883953</v>
      </c>
      <c r="Y253" s="166">
        <f t="shared" si="78"/>
        <v>42.044333904918766</v>
      </c>
      <c r="AA253" s="131"/>
      <c r="AB253" s="131"/>
      <c r="AC253" s="191"/>
    </row>
    <row r="254" spans="1:29" customFormat="1" ht="15.5" customHeight="1" x14ac:dyDescent="0.25">
      <c r="A254" s="198" t="s">
        <v>409</v>
      </c>
      <c r="B254" s="136" t="s">
        <v>82</v>
      </c>
      <c r="C254" s="113">
        <v>0</v>
      </c>
      <c r="D254" s="141">
        <v>0.69230769230769229</v>
      </c>
      <c r="E254" s="113">
        <f t="shared" si="73"/>
        <v>0</v>
      </c>
      <c r="F254" s="41"/>
      <c r="G254" s="41"/>
      <c r="H254" s="41">
        <f t="shared" si="68"/>
        <v>0</v>
      </c>
      <c r="I254" s="96">
        <f t="shared" si="65"/>
        <v>0</v>
      </c>
      <c r="J254" s="41"/>
      <c r="K254" s="41"/>
      <c r="L254" s="41"/>
      <c r="M254" s="96">
        <f t="shared" si="69"/>
        <v>0</v>
      </c>
      <c r="N254" s="96"/>
      <c r="O254" s="96"/>
      <c r="P254" s="96"/>
      <c r="Q254" s="42">
        <f t="shared" si="66"/>
        <v>0</v>
      </c>
      <c r="R254" s="42" t="str">
        <f t="shared" si="70"/>
        <v>0.00</v>
      </c>
      <c r="S254" s="42">
        <f t="shared" si="67"/>
        <v>0</v>
      </c>
      <c r="T254" s="93">
        <v>0</v>
      </c>
      <c r="U254" s="41" t="str">
        <f t="shared" si="71"/>
        <v>0.00</v>
      </c>
      <c r="V254" s="43">
        <f t="shared" si="79"/>
        <v>0</v>
      </c>
      <c r="W254" s="44">
        <f t="shared" si="75"/>
        <v>0</v>
      </c>
      <c r="X254" s="44" t="str">
        <f t="shared" si="72"/>
        <v>0.00</v>
      </c>
      <c r="Y254" s="166">
        <f t="shared" si="78"/>
        <v>0</v>
      </c>
      <c r="AA254" s="131"/>
      <c r="AB254" s="131"/>
      <c r="AC254" s="191"/>
    </row>
    <row r="255" spans="1:29" customFormat="1" ht="15.5" customHeight="1" x14ac:dyDescent="0.25">
      <c r="A255" s="198" t="s">
        <v>360</v>
      </c>
      <c r="B255" s="136" t="s">
        <v>73</v>
      </c>
      <c r="C255" s="113">
        <v>15</v>
      </c>
      <c r="D255" s="141">
        <v>2.0485719643901201</v>
      </c>
      <c r="E255" s="113">
        <f t="shared" si="73"/>
        <v>30.728579465851801</v>
      </c>
      <c r="F255" s="41"/>
      <c r="G255" s="41"/>
      <c r="H255" s="41">
        <f t="shared" si="68"/>
        <v>0</v>
      </c>
      <c r="I255" s="96">
        <f t="shared" si="65"/>
        <v>0</v>
      </c>
      <c r="J255" s="41"/>
      <c r="K255" s="41"/>
      <c r="L255" s="41"/>
      <c r="M255" s="96">
        <f t="shared" si="69"/>
        <v>0</v>
      </c>
      <c r="N255" s="96"/>
      <c r="O255" s="96"/>
      <c r="P255" s="96"/>
      <c r="Q255" s="42">
        <f t="shared" si="66"/>
        <v>15</v>
      </c>
      <c r="R255" s="42">
        <f t="shared" si="70"/>
        <v>2.0485719643901201</v>
      </c>
      <c r="S255" s="42">
        <f t="shared" si="67"/>
        <v>30.728579465851801</v>
      </c>
      <c r="T255" s="93">
        <v>10</v>
      </c>
      <c r="U255" s="41">
        <f t="shared" si="71"/>
        <v>2.0485719643901201</v>
      </c>
      <c r="V255" s="43">
        <f t="shared" si="79"/>
        <v>20.485719643901202</v>
      </c>
      <c r="W255" s="44">
        <f t="shared" si="75"/>
        <v>5</v>
      </c>
      <c r="X255" s="44">
        <f t="shared" si="72"/>
        <v>2.0485719643901201</v>
      </c>
      <c r="Y255" s="166">
        <f t="shared" si="78"/>
        <v>10.242859821950601</v>
      </c>
      <c r="AA255" s="131"/>
      <c r="AB255" s="131"/>
      <c r="AC255" s="191"/>
    </row>
    <row r="256" spans="1:29" customFormat="1" ht="15.5" customHeight="1" x14ac:dyDescent="0.25">
      <c r="A256" s="198" t="s">
        <v>254</v>
      </c>
      <c r="B256" s="136" t="s">
        <v>72</v>
      </c>
      <c r="C256" s="113">
        <v>0</v>
      </c>
      <c r="D256" s="141" t="s">
        <v>248</v>
      </c>
      <c r="E256" s="113">
        <f t="shared" si="73"/>
        <v>0</v>
      </c>
      <c r="F256" s="41"/>
      <c r="G256" s="41"/>
      <c r="H256" s="41">
        <f t="shared" si="68"/>
        <v>0</v>
      </c>
      <c r="I256" s="96">
        <f t="shared" si="65"/>
        <v>0</v>
      </c>
      <c r="J256" s="41"/>
      <c r="K256" s="41"/>
      <c r="L256" s="41"/>
      <c r="M256" s="96">
        <f t="shared" si="69"/>
        <v>0</v>
      </c>
      <c r="N256" s="96"/>
      <c r="O256" s="96"/>
      <c r="P256" s="96"/>
      <c r="Q256" s="42">
        <f t="shared" si="66"/>
        <v>0</v>
      </c>
      <c r="R256" s="42" t="str">
        <f t="shared" si="70"/>
        <v>0.00</v>
      </c>
      <c r="S256" s="42">
        <f t="shared" si="67"/>
        <v>0</v>
      </c>
      <c r="T256" s="93">
        <v>0</v>
      </c>
      <c r="U256" s="41" t="str">
        <f t="shared" si="71"/>
        <v>0.00</v>
      </c>
      <c r="V256" s="43">
        <f t="shared" si="79"/>
        <v>0</v>
      </c>
      <c r="W256" s="44">
        <f t="shared" si="75"/>
        <v>0</v>
      </c>
      <c r="X256" s="44" t="str">
        <f t="shared" si="72"/>
        <v>0.00</v>
      </c>
      <c r="Y256" s="166">
        <f t="shared" si="78"/>
        <v>0</v>
      </c>
      <c r="AA256" s="131"/>
      <c r="AB256" s="131"/>
      <c r="AC256" s="191"/>
    </row>
    <row r="257" spans="1:29" customFormat="1" ht="15.5" customHeight="1" x14ac:dyDescent="0.25">
      <c r="A257" s="198" t="s">
        <v>336</v>
      </c>
      <c r="B257" s="136" t="s">
        <v>77</v>
      </c>
      <c r="C257" s="113">
        <v>3</v>
      </c>
      <c r="D257" s="141">
        <v>1.8076923076923077</v>
      </c>
      <c r="E257" s="113">
        <f t="shared" si="73"/>
        <v>5.4230769230769234</v>
      </c>
      <c r="F257" s="41"/>
      <c r="G257" s="41"/>
      <c r="H257" s="41">
        <f t="shared" si="68"/>
        <v>0</v>
      </c>
      <c r="I257" s="96">
        <f t="shared" si="65"/>
        <v>0</v>
      </c>
      <c r="J257" s="41"/>
      <c r="K257" s="41"/>
      <c r="L257" s="41"/>
      <c r="M257" s="96">
        <f t="shared" si="69"/>
        <v>0</v>
      </c>
      <c r="N257" s="96"/>
      <c r="O257" s="96"/>
      <c r="P257" s="96"/>
      <c r="Q257" s="42">
        <f t="shared" si="66"/>
        <v>3</v>
      </c>
      <c r="R257" s="42">
        <f t="shared" si="70"/>
        <v>1.8076923076923077</v>
      </c>
      <c r="S257" s="42">
        <f t="shared" si="67"/>
        <v>5.4230769230769234</v>
      </c>
      <c r="T257" s="93">
        <v>2</v>
      </c>
      <c r="U257" s="41">
        <f t="shared" si="71"/>
        <v>1.8076923076923077</v>
      </c>
      <c r="V257" s="43">
        <f t="shared" si="79"/>
        <v>3.6153846153846154</v>
      </c>
      <c r="W257" s="44">
        <f t="shared" si="75"/>
        <v>1</v>
      </c>
      <c r="X257" s="44">
        <f t="shared" si="72"/>
        <v>1.8076923076923077</v>
      </c>
      <c r="Y257" s="166">
        <f t="shared" si="78"/>
        <v>1.8076923076923077</v>
      </c>
      <c r="AA257" s="131"/>
      <c r="AB257" s="131"/>
      <c r="AC257" s="191"/>
    </row>
    <row r="258" spans="1:29" customFormat="1" ht="15.5" customHeight="1" x14ac:dyDescent="0.25">
      <c r="A258" s="198" t="s">
        <v>255</v>
      </c>
      <c r="B258" s="136" t="s">
        <v>82</v>
      </c>
      <c r="C258" s="113">
        <v>52</v>
      </c>
      <c r="D258" s="141">
        <v>1.5</v>
      </c>
      <c r="E258" s="113">
        <f t="shared" si="73"/>
        <v>78</v>
      </c>
      <c r="F258" s="41"/>
      <c r="G258" s="41"/>
      <c r="H258" s="41">
        <f t="shared" si="68"/>
        <v>0</v>
      </c>
      <c r="I258" s="96">
        <f t="shared" si="65"/>
        <v>0</v>
      </c>
      <c r="J258" s="41"/>
      <c r="K258" s="41"/>
      <c r="L258" s="41"/>
      <c r="M258" s="96">
        <f t="shared" si="69"/>
        <v>0</v>
      </c>
      <c r="N258" s="96"/>
      <c r="O258" s="96"/>
      <c r="P258" s="96"/>
      <c r="Q258" s="42">
        <f t="shared" si="66"/>
        <v>52</v>
      </c>
      <c r="R258" s="42">
        <f t="shared" si="70"/>
        <v>1.5</v>
      </c>
      <c r="S258" s="42">
        <f t="shared" si="67"/>
        <v>78</v>
      </c>
      <c r="T258" s="93">
        <v>30</v>
      </c>
      <c r="U258" s="41">
        <f t="shared" si="71"/>
        <v>1.5</v>
      </c>
      <c r="V258" s="43">
        <f t="shared" si="79"/>
        <v>45</v>
      </c>
      <c r="W258" s="44">
        <f t="shared" si="75"/>
        <v>22</v>
      </c>
      <c r="X258" s="44">
        <f t="shared" si="72"/>
        <v>1.5</v>
      </c>
      <c r="Y258" s="166">
        <f t="shared" si="78"/>
        <v>33</v>
      </c>
      <c r="AA258" s="131"/>
      <c r="AB258" s="131"/>
      <c r="AC258" s="191"/>
    </row>
    <row r="259" spans="1:29" customFormat="1" ht="15.5" customHeight="1" x14ac:dyDescent="0.25">
      <c r="A259" s="198" t="s">
        <v>390</v>
      </c>
      <c r="B259" s="136" t="s">
        <v>73</v>
      </c>
      <c r="C259" s="113">
        <v>0</v>
      </c>
      <c r="D259" s="141" t="s">
        <v>248</v>
      </c>
      <c r="E259" s="113">
        <f t="shared" si="73"/>
        <v>0</v>
      </c>
      <c r="F259" s="41"/>
      <c r="G259" s="41"/>
      <c r="H259" s="41">
        <f t="shared" si="68"/>
        <v>0</v>
      </c>
      <c r="I259" s="96">
        <f t="shared" si="65"/>
        <v>0</v>
      </c>
      <c r="J259" s="41"/>
      <c r="K259" s="41"/>
      <c r="L259" s="41"/>
      <c r="M259" s="96">
        <f t="shared" si="69"/>
        <v>0</v>
      </c>
      <c r="N259" s="96"/>
      <c r="O259" s="96"/>
      <c r="P259" s="96"/>
      <c r="Q259" s="42">
        <f t="shared" si="66"/>
        <v>0</v>
      </c>
      <c r="R259" s="42" t="str">
        <f t="shared" si="70"/>
        <v>0.00</v>
      </c>
      <c r="S259" s="42">
        <f t="shared" si="67"/>
        <v>0</v>
      </c>
      <c r="T259" s="93">
        <v>0</v>
      </c>
      <c r="U259" s="41" t="str">
        <f t="shared" si="71"/>
        <v>0.00</v>
      </c>
      <c r="V259" s="43">
        <f t="shared" si="79"/>
        <v>0</v>
      </c>
      <c r="W259" s="44">
        <f t="shared" si="75"/>
        <v>0</v>
      </c>
      <c r="X259" s="44" t="str">
        <f t="shared" si="72"/>
        <v>0.00</v>
      </c>
      <c r="Y259" s="166">
        <f t="shared" si="78"/>
        <v>0</v>
      </c>
      <c r="AA259" s="131"/>
      <c r="AB259" s="131"/>
      <c r="AC259" s="191"/>
    </row>
    <row r="260" spans="1:29" customFormat="1" ht="15.5" customHeight="1" x14ac:dyDescent="0.25">
      <c r="A260" s="204" t="s">
        <v>375</v>
      </c>
      <c r="B260" s="136" t="s">
        <v>82</v>
      </c>
      <c r="C260" s="113">
        <v>25</v>
      </c>
      <c r="D260" s="141">
        <v>1.5384615384615383</v>
      </c>
      <c r="E260" s="113">
        <f t="shared" si="73"/>
        <v>38.46153846153846</v>
      </c>
      <c r="F260" s="41"/>
      <c r="G260" s="41"/>
      <c r="H260" s="41">
        <f t="shared" si="68"/>
        <v>0</v>
      </c>
      <c r="I260" s="96">
        <f t="shared" si="65"/>
        <v>0</v>
      </c>
      <c r="J260" s="41"/>
      <c r="K260" s="41"/>
      <c r="L260" s="41"/>
      <c r="M260" s="96">
        <f t="shared" si="69"/>
        <v>0</v>
      </c>
      <c r="N260" s="96"/>
      <c r="O260" s="96"/>
      <c r="P260" s="96"/>
      <c r="Q260" s="42">
        <f t="shared" si="66"/>
        <v>25</v>
      </c>
      <c r="R260" s="42">
        <f t="shared" si="70"/>
        <v>1.5384615384615383</v>
      </c>
      <c r="S260" s="42">
        <f t="shared" si="67"/>
        <v>38.46153846153846</v>
      </c>
      <c r="T260" s="93">
        <v>10</v>
      </c>
      <c r="U260" s="41">
        <f t="shared" si="71"/>
        <v>1.5384615384615383</v>
      </c>
      <c r="V260" s="43">
        <f t="shared" si="79"/>
        <v>15.384615384615383</v>
      </c>
      <c r="W260" s="44">
        <f t="shared" si="75"/>
        <v>15</v>
      </c>
      <c r="X260" s="44">
        <f t="shared" si="72"/>
        <v>1.5384615384615383</v>
      </c>
      <c r="Y260" s="166">
        <f t="shared" si="78"/>
        <v>23.076923076923073</v>
      </c>
      <c r="AA260" s="131"/>
      <c r="AB260" s="131"/>
      <c r="AC260" s="191"/>
    </row>
    <row r="261" spans="1:29" customFormat="1" ht="15.5" customHeight="1" x14ac:dyDescent="0.25">
      <c r="A261" s="198" t="s">
        <v>256</v>
      </c>
      <c r="B261" s="136" t="s">
        <v>70</v>
      </c>
      <c r="C261" s="113">
        <v>20</v>
      </c>
      <c r="D261" s="141">
        <v>3.2171165027807169</v>
      </c>
      <c r="E261" s="113">
        <f t="shared" si="73"/>
        <v>64.34233005561434</v>
      </c>
      <c r="F261" s="41"/>
      <c r="G261" s="41"/>
      <c r="H261" s="41">
        <f t="shared" si="68"/>
        <v>0</v>
      </c>
      <c r="I261" s="96">
        <f t="shared" si="65"/>
        <v>0</v>
      </c>
      <c r="J261" s="41"/>
      <c r="K261" s="41"/>
      <c r="L261" s="41"/>
      <c r="M261" s="96">
        <f t="shared" si="69"/>
        <v>0</v>
      </c>
      <c r="N261" s="96"/>
      <c r="O261" s="96"/>
      <c r="P261" s="96"/>
      <c r="Q261" s="42">
        <f t="shared" si="66"/>
        <v>20</v>
      </c>
      <c r="R261" s="42">
        <f t="shared" si="70"/>
        <v>3.2171165027807169</v>
      </c>
      <c r="S261" s="42">
        <f t="shared" si="67"/>
        <v>64.34233005561434</v>
      </c>
      <c r="T261" s="93">
        <v>10</v>
      </c>
      <c r="U261" s="41">
        <f t="shared" si="71"/>
        <v>3.2171165027807169</v>
      </c>
      <c r="V261" s="43">
        <f t="shared" si="79"/>
        <v>32.17116502780717</v>
      </c>
      <c r="W261" s="44">
        <f t="shared" si="75"/>
        <v>10</v>
      </c>
      <c r="X261" s="44">
        <f t="shared" si="72"/>
        <v>3.2171165027807169</v>
      </c>
      <c r="Y261" s="166">
        <f t="shared" si="78"/>
        <v>32.17116502780717</v>
      </c>
      <c r="AA261" s="131"/>
      <c r="AB261" s="131"/>
      <c r="AC261" s="191"/>
    </row>
    <row r="262" spans="1:29" customFormat="1" ht="15.5" customHeight="1" x14ac:dyDescent="0.25">
      <c r="A262" s="198" t="s">
        <v>257</v>
      </c>
      <c r="B262" s="136" t="s">
        <v>70</v>
      </c>
      <c r="C262" s="113">
        <v>20</v>
      </c>
      <c r="D262" s="141">
        <v>5.9152659482208927</v>
      </c>
      <c r="E262" s="113">
        <f t="shared" si="73"/>
        <v>118.30531896441785</v>
      </c>
      <c r="F262" s="41"/>
      <c r="G262" s="41"/>
      <c r="H262" s="41">
        <f t="shared" si="68"/>
        <v>0</v>
      </c>
      <c r="I262" s="96">
        <f t="shared" si="65"/>
        <v>0</v>
      </c>
      <c r="J262" s="41"/>
      <c r="K262" s="41"/>
      <c r="L262" s="41"/>
      <c r="M262" s="96">
        <f t="shared" si="69"/>
        <v>0</v>
      </c>
      <c r="N262" s="96"/>
      <c r="O262" s="96"/>
      <c r="P262" s="96"/>
      <c r="Q262" s="42">
        <f t="shared" si="66"/>
        <v>20</v>
      </c>
      <c r="R262" s="42">
        <f t="shared" si="70"/>
        <v>5.9152659482208927</v>
      </c>
      <c r="S262" s="42">
        <f t="shared" si="67"/>
        <v>118.30531896441785</v>
      </c>
      <c r="T262" s="93">
        <v>10</v>
      </c>
      <c r="U262" s="41">
        <f t="shared" si="71"/>
        <v>5.9152659482208927</v>
      </c>
      <c r="V262" s="43">
        <f t="shared" si="79"/>
        <v>59.152659482208925</v>
      </c>
      <c r="W262" s="44">
        <f t="shared" si="75"/>
        <v>10</v>
      </c>
      <c r="X262" s="44">
        <f t="shared" si="72"/>
        <v>5.9152659482208927</v>
      </c>
      <c r="Y262" s="166">
        <f t="shared" si="78"/>
        <v>59.152659482208925</v>
      </c>
      <c r="AA262" s="131"/>
      <c r="AB262" s="131"/>
      <c r="AC262" s="191"/>
    </row>
    <row r="263" spans="1:29" customFormat="1" ht="15.5" customHeight="1" x14ac:dyDescent="0.25">
      <c r="A263" s="198" t="s">
        <v>258</v>
      </c>
      <c r="B263" s="136" t="s">
        <v>79</v>
      </c>
      <c r="C263" s="113">
        <v>18</v>
      </c>
      <c r="D263" s="141">
        <v>2.3461538461538458</v>
      </c>
      <c r="E263" s="113">
        <f t="shared" si="73"/>
        <v>42.230769230769226</v>
      </c>
      <c r="F263" s="41"/>
      <c r="G263" s="41"/>
      <c r="H263" s="41">
        <f t="shared" si="68"/>
        <v>0</v>
      </c>
      <c r="I263" s="96">
        <f t="shared" si="65"/>
        <v>0</v>
      </c>
      <c r="J263" s="41"/>
      <c r="K263" s="41"/>
      <c r="L263" s="41"/>
      <c r="M263" s="96">
        <f t="shared" si="69"/>
        <v>0</v>
      </c>
      <c r="N263" s="96"/>
      <c r="O263" s="96"/>
      <c r="P263" s="96"/>
      <c r="Q263" s="42">
        <f t="shared" si="66"/>
        <v>18</v>
      </c>
      <c r="R263" s="42">
        <f t="shared" si="70"/>
        <v>2.3461538461538458</v>
      </c>
      <c r="S263" s="42">
        <f t="shared" si="67"/>
        <v>42.230769230769226</v>
      </c>
      <c r="T263" s="93">
        <v>5</v>
      </c>
      <c r="U263" s="41">
        <f t="shared" si="71"/>
        <v>2.3461538461538458</v>
      </c>
      <c r="V263" s="43">
        <f t="shared" si="79"/>
        <v>11.73076923076923</v>
      </c>
      <c r="W263" s="44">
        <f t="shared" si="75"/>
        <v>13</v>
      </c>
      <c r="X263" s="44">
        <f t="shared" si="72"/>
        <v>2.3461538461538458</v>
      </c>
      <c r="Y263" s="166">
        <f t="shared" si="78"/>
        <v>30.499999999999996</v>
      </c>
      <c r="AA263" s="131"/>
      <c r="AB263" s="131"/>
      <c r="AC263" s="191"/>
    </row>
    <row r="264" spans="1:29" customFormat="1" ht="15.5" customHeight="1" x14ac:dyDescent="0.25">
      <c r="A264" s="198" t="s">
        <v>259</v>
      </c>
      <c r="B264" s="136" t="s">
        <v>70</v>
      </c>
      <c r="C264" s="113">
        <v>0</v>
      </c>
      <c r="D264" s="141" t="s">
        <v>248</v>
      </c>
      <c r="E264" s="113">
        <f t="shared" si="73"/>
        <v>0</v>
      </c>
      <c r="F264" s="41"/>
      <c r="G264" s="41"/>
      <c r="H264" s="41">
        <f t="shared" si="68"/>
        <v>0</v>
      </c>
      <c r="I264" s="96">
        <f t="shared" ref="I264:I320" si="82">F264*H264</f>
        <v>0</v>
      </c>
      <c r="J264" s="41"/>
      <c r="K264" s="41"/>
      <c r="L264" s="41"/>
      <c r="M264" s="96">
        <f t="shared" si="69"/>
        <v>0</v>
      </c>
      <c r="N264" s="96"/>
      <c r="O264" s="96"/>
      <c r="P264" s="96"/>
      <c r="Q264" s="42">
        <f t="shared" ref="Q264:Q320" si="83">C264+F264+J264+N264</f>
        <v>0</v>
      </c>
      <c r="R264" s="42" t="str">
        <f t="shared" si="70"/>
        <v>0.00</v>
      </c>
      <c r="S264" s="42">
        <f t="shared" ref="S264:S320" si="84">E264+I264+M264+P264</f>
        <v>0</v>
      </c>
      <c r="T264" s="93">
        <v>0</v>
      </c>
      <c r="U264" s="41" t="str">
        <f t="shared" si="71"/>
        <v>0.00</v>
      </c>
      <c r="V264" s="43">
        <f t="shared" si="79"/>
        <v>0</v>
      </c>
      <c r="W264" s="44">
        <f t="shared" si="75"/>
        <v>0</v>
      </c>
      <c r="X264" s="44" t="str">
        <f t="shared" si="72"/>
        <v>0.00</v>
      </c>
      <c r="Y264" s="166">
        <f t="shared" si="78"/>
        <v>0</v>
      </c>
      <c r="AA264" s="131"/>
      <c r="AB264" s="131"/>
      <c r="AC264" s="191"/>
    </row>
    <row r="265" spans="1:29" customFormat="1" ht="15.5" customHeight="1" x14ac:dyDescent="0.25">
      <c r="A265" s="198" t="s">
        <v>260</v>
      </c>
      <c r="B265" s="136" t="s">
        <v>73</v>
      </c>
      <c r="C265" s="113">
        <v>8</v>
      </c>
      <c r="D265" s="141">
        <v>1.5854095442570291</v>
      </c>
      <c r="E265" s="113">
        <f t="shared" si="73"/>
        <v>12.683276354056233</v>
      </c>
      <c r="F265" s="41"/>
      <c r="G265" s="41"/>
      <c r="H265" s="41">
        <f t="shared" ref="H265:H320" si="85">G265/1.3</f>
        <v>0</v>
      </c>
      <c r="I265" s="96">
        <f t="shared" si="82"/>
        <v>0</v>
      </c>
      <c r="J265" s="41"/>
      <c r="K265" s="41"/>
      <c r="L265" s="41"/>
      <c r="M265" s="96">
        <f t="shared" ref="M265:M320" si="86">J265*L265</f>
        <v>0</v>
      </c>
      <c r="N265" s="96"/>
      <c r="O265" s="96"/>
      <c r="P265" s="96"/>
      <c r="Q265" s="42">
        <f t="shared" si="83"/>
        <v>8</v>
      </c>
      <c r="R265" s="42">
        <f t="shared" si="70"/>
        <v>1.5854095442570291</v>
      </c>
      <c r="S265" s="42">
        <f t="shared" si="84"/>
        <v>12.683276354056233</v>
      </c>
      <c r="T265" s="93">
        <v>4</v>
      </c>
      <c r="U265" s="41">
        <f t="shared" si="71"/>
        <v>1.5854095442570291</v>
      </c>
      <c r="V265" s="43">
        <f t="shared" si="79"/>
        <v>6.3416381770281163</v>
      </c>
      <c r="W265" s="44">
        <f t="shared" si="75"/>
        <v>4</v>
      </c>
      <c r="X265" s="44">
        <f t="shared" si="72"/>
        <v>1.5854095442570291</v>
      </c>
      <c r="Y265" s="166">
        <f t="shared" si="78"/>
        <v>6.3416381770281163</v>
      </c>
      <c r="AA265" s="131"/>
      <c r="AB265" s="131"/>
      <c r="AC265" s="191"/>
    </row>
    <row r="266" spans="1:29" customFormat="1" ht="15.5" customHeight="1" x14ac:dyDescent="0.25">
      <c r="A266" s="198" t="s">
        <v>261</v>
      </c>
      <c r="B266" s="136" t="s">
        <v>70</v>
      </c>
      <c r="C266" s="113">
        <v>2</v>
      </c>
      <c r="D266" s="141">
        <v>2.1473076923076926</v>
      </c>
      <c r="E266" s="113">
        <f t="shared" si="73"/>
        <v>4.2946153846153852</v>
      </c>
      <c r="F266" s="41"/>
      <c r="G266" s="41"/>
      <c r="H266" s="41">
        <f t="shared" si="85"/>
        <v>0</v>
      </c>
      <c r="I266" s="96">
        <f t="shared" si="82"/>
        <v>0</v>
      </c>
      <c r="J266" s="41"/>
      <c r="K266" s="41"/>
      <c r="L266" s="41"/>
      <c r="M266" s="96">
        <f t="shared" si="86"/>
        <v>0</v>
      </c>
      <c r="N266" s="96"/>
      <c r="O266" s="96"/>
      <c r="P266" s="96"/>
      <c r="Q266" s="42">
        <f t="shared" si="83"/>
        <v>2</v>
      </c>
      <c r="R266" s="42">
        <f t="shared" si="70"/>
        <v>2.1473076923076926</v>
      </c>
      <c r="S266" s="42">
        <f t="shared" si="84"/>
        <v>4.2946153846153852</v>
      </c>
      <c r="T266" s="93">
        <v>1</v>
      </c>
      <c r="U266" s="41">
        <f t="shared" si="71"/>
        <v>2.1473076923076926</v>
      </c>
      <c r="V266" s="43">
        <f t="shared" si="79"/>
        <v>2.1473076923076926</v>
      </c>
      <c r="W266" s="44">
        <f t="shared" si="75"/>
        <v>1</v>
      </c>
      <c r="X266" s="44">
        <f t="shared" si="72"/>
        <v>2.1473076923076926</v>
      </c>
      <c r="Y266" s="166">
        <f t="shared" si="78"/>
        <v>2.1473076923076926</v>
      </c>
      <c r="AA266" s="131"/>
      <c r="AB266" s="131"/>
      <c r="AC266" s="191"/>
    </row>
    <row r="267" spans="1:29" customFormat="1" ht="15.5" customHeight="1" x14ac:dyDescent="0.25">
      <c r="A267" s="198" t="s">
        <v>262</v>
      </c>
      <c r="B267" s="136" t="s">
        <v>79</v>
      </c>
      <c r="C267" s="113">
        <v>25</v>
      </c>
      <c r="D267" s="141">
        <v>1.5899454875832826</v>
      </c>
      <c r="E267" s="113">
        <f t="shared" si="73"/>
        <v>39.748637189582062</v>
      </c>
      <c r="F267" s="41"/>
      <c r="G267" s="41"/>
      <c r="H267" s="41">
        <f t="shared" si="85"/>
        <v>0</v>
      </c>
      <c r="I267" s="96">
        <f t="shared" si="82"/>
        <v>0</v>
      </c>
      <c r="J267" s="41"/>
      <c r="K267" s="41"/>
      <c r="L267" s="41"/>
      <c r="M267" s="96">
        <f t="shared" si="86"/>
        <v>0</v>
      </c>
      <c r="N267" s="96"/>
      <c r="O267" s="96"/>
      <c r="P267" s="96"/>
      <c r="Q267" s="42">
        <f t="shared" si="83"/>
        <v>25</v>
      </c>
      <c r="R267" s="42">
        <f t="shared" ref="R267:R320" si="87">IF(Q267=0,"0.00",S267/Q267)</f>
        <v>1.5899454875832826</v>
      </c>
      <c r="S267" s="42">
        <f t="shared" si="84"/>
        <v>39.748637189582062</v>
      </c>
      <c r="T267" s="93">
        <v>10</v>
      </c>
      <c r="U267" s="41">
        <f t="shared" ref="U267:U320" si="88">R267</f>
        <v>1.5899454875832826</v>
      </c>
      <c r="V267" s="43">
        <f t="shared" si="79"/>
        <v>15.899454875832825</v>
      </c>
      <c r="W267" s="44">
        <f t="shared" si="75"/>
        <v>15</v>
      </c>
      <c r="X267" s="44">
        <f t="shared" ref="X267:X320" si="89">R267</f>
        <v>1.5899454875832826</v>
      </c>
      <c r="Y267" s="166">
        <f t="shared" si="78"/>
        <v>23.849182313749239</v>
      </c>
      <c r="AA267" s="131"/>
      <c r="AB267" s="131"/>
      <c r="AC267" s="191"/>
    </row>
    <row r="268" spans="1:29" customFormat="1" ht="15.5" customHeight="1" x14ac:dyDescent="0.25">
      <c r="A268" s="198" t="s">
        <v>263</v>
      </c>
      <c r="B268" s="136" t="s">
        <v>70</v>
      </c>
      <c r="C268" s="113">
        <v>15</v>
      </c>
      <c r="D268" s="141">
        <v>1.1937111196046923</v>
      </c>
      <c r="E268" s="113">
        <f t="shared" ref="E268:E320" si="90">C268*D268</f>
        <v>17.905666794070385</v>
      </c>
      <c r="F268" s="41"/>
      <c r="G268" s="41"/>
      <c r="H268" s="41">
        <f t="shared" si="85"/>
        <v>0</v>
      </c>
      <c r="I268" s="96">
        <f t="shared" si="82"/>
        <v>0</v>
      </c>
      <c r="J268" s="41"/>
      <c r="K268" s="41"/>
      <c r="L268" s="41"/>
      <c r="M268" s="96">
        <f t="shared" si="86"/>
        <v>0</v>
      </c>
      <c r="N268" s="96"/>
      <c r="O268" s="96"/>
      <c r="P268" s="96"/>
      <c r="Q268" s="42">
        <f t="shared" si="83"/>
        <v>15</v>
      </c>
      <c r="R268" s="42">
        <f t="shared" si="87"/>
        <v>1.1937111196046923</v>
      </c>
      <c r="S268" s="42">
        <f t="shared" si="84"/>
        <v>17.905666794070385</v>
      </c>
      <c r="T268" s="93">
        <v>10</v>
      </c>
      <c r="U268" s="41">
        <f t="shared" si="88"/>
        <v>1.1937111196046923</v>
      </c>
      <c r="V268" s="43">
        <f t="shared" si="79"/>
        <v>11.937111196046924</v>
      </c>
      <c r="W268" s="44">
        <f t="shared" ref="W268:W320" si="91">Q268-T268</f>
        <v>5</v>
      </c>
      <c r="X268" s="44">
        <f t="shared" si="89"/>
        <v>1.1937111196046923</v>
      </c>
      <c r="Y268" s="166">
        <f t="shared" si="78"/>
        <v>5.9685555980234621</v>
      </c>
      <c r="AA268" s="131"/>
      <c r="AB268" s="131"/>
      <c r="AC268" s="191"/>
    </row>
    <row r="269" spans="1:29" customFormat="1" ht="15.5" customHeight="1" x14ac:dyDescent="0.25">
      <c r="A269" s="198" t="s">
        <v>264</v>
      </c>
      <c r="B269" s="136" t="s">
        <v>70</v>
      </c>
      <c r="C269" s="113">
        <v>6</v>
      </c>
      <c r="D269" s="141">
        <v>1.2</v>
      </c>
      <c r="E269" s="113">
        <f t="shared" si="90"/>
        <v>7.1999999999999993</v>
      </c>
      <c r="F269" s="41"/>
      <c r="G269" s="41"/>
      <c r="H269" s="41">
        <f t="shared" si="85"/>
        <v>0</v>
      </c>
      <c r="I269" s="96">
        <f t="shared" si="82"/>
        <v>0</v>
      </c>
      <c r="J269" s="41"/>
      <c r="K269" s="41"/>
      <c r="L269" s="41"/>
      <c r="M269" s="96">
        <f t="shared" si="86"/>
        <v>0</v>
      </c>
      <c r="N269" s="96"/>
      <c r="O269" s="96"/>
      <c r="P269" s="96"/>
      <c r="Q269" s="42">
        <f t="shared" si="83"/>
        <v>6</v>
      </c>
      <c r="R269" s="42">
        <f t="shared" si="87"/>
        <v>1.2</v>
      </c>
      <c r="S269" s="42">
        <f t="shared" si="84"/>
        <v>7.1999999999999993</v>
      </c>
      <c r="T269" s="93">
        <v>2</v>
      </c>
      <c r="U269" s="41">
        <f t="shared" si="88"/>
        <v>1.2</v>
      </c>
      <c r="V269" s="43">
        <f t="shared" si="79"/>
        <v>2.4</v>
      </c>
      <c r="W269" s="44">
        <f t="shared" si="91"/>
        <v>4</v>
      </c>
      <c r="X269" s="44">
        <f t="shared" si="89"/>
        <v>1.2</v>
      </c>
      <c r="Y269" s="166">
        <f t="shared" si="78"/>
        <v>4.8</v>
      </c>
      <c r="AA269" s="131"/>
      <c r="AB269" s="131"/>
      <c r="AC269" s="191"/>
    </row>
    <row r="270" spans="1:29" customFormat="1" ht="15.5" customHeight="1" x14ac:dyDescent="0.25">
      <c r="A270" s="198" t="s">
        <v>265</v>
      </c>
      <c r="B270" s="136" t="s">
        <v>70</v>
      </c>
      <c r="C270" s="113">
        <v>15</v>
      </c>
      <c r="D270" s="141">
        <v>2.4083358562922594</v>
      </c>
      <c r="E270" s="113">
        <f t="shared" si="90"/>
        <v>36.12503784438389</v>
      </c>
      <c r="F270" s="41"/>
      <c r="G270" s="41"/>
      <c r="H270" s="41">
        <f t="shared" si="85"/>
        <v>0</v>
      </c>
      <c r="I270" s="96">
        <f t="shared" si="82"/>
        <v>0</v>
      </c>
      <c r="J270" s="41"/>
      <c r="K270" s="41"/>
      <c r="L270" s="41"/>
      <c r="M270" s="96">
        <f t="shared" si="86"/>
        <v>0</v>
      </c>
      <c r="N270" s="96"/>
      <c r="O270" s="96"/>
      <c r="P270" s="96"/>
      <c r="Q270" s="42">
        <f t="shared" si="83"/>
        <v>15</v>
      </c>
      <c r="R270" s="42">
        <f t="shared" si="87"/>
        <v>2.4083358562922594</v>
      </c>
      <c r="S270" s="42">
        <f t="shared" si="84"/>
        <v>36.12503784438389</v>
      </c>
      <c r="T270" s="93">
        <v>5</v>
      </c>
      <c r="U270" s="41">
        <f t="shared" si="88"/>
        <v>2.4083358562922594</v>
      </c>
      <c r="V270" s="43">
        <f t="shared" si="79"/>
        <v>12.041679281461297</v>
      </c>
      <c r="W270" s="44">
        <f t="shared" si="91"/>
        <v>10</v>
      </c>
      <c r="X270" s="44">
        <f t="shared" si="89"/>
        <v>2.4083358562922594</v>
      </c>
      <c r="Y270" s="166">
        <f t="shared" si="78"/>
        <v>24.083358562922594</v>
      </c>
      <c r="AA270" s="131"/>
      <c r="AB270" s="131"/>
      <c r="AC270" s="191"/>
    </row>
    <row r="271" spans="1:29" x14ac:dyDescent="0.25">
      <c r="A271" s="205" t="s">
        <v>266</v>
      </c>
      <c r="B271" s="112" t="s">
        <v>79</v>
      </c>
      <c r="C271" s="113">
        <v>20</v>
      </c>
      <c r="D271" s="139">
        <v>1.3029907709933828</v>
      </c>
      <c r="E271" s="113">
        <f t="shared" si="90"/>
        <v>26.059815419867654</v>
      </c>
      <c r="F271" s="41"/>
      <c r="G271" s="41"/>
      <c r="H271" s="41">
        <f t="shared" si="85"/>
        <v>0</v>
      </c>
      <c r="I271" s="96">
        <f t="shared" si="82"/>
        <v>0</v>
      </c>
      <c r="J271" s="41"/>
      <c r="K271" s="41"/>
      <c r="L271" s="41"/>
      <c r="M271" s="96">
        <f t="shared" si="86"/>
        <v>0</v>
      </c>
      <c r="N271" s="102"/>
      <c r="O271" s="103"/>
      <c r="P271" s="104"/>
      <c r="Q271" s="42">
        <f t="shared" si="83"/>
        <v>20</v>
      </c>
      <c r="R271" s="42">
        <f t="shared" si="87"/>
        <v>1.3029907709933828</v>
      </c>
      <c r="S271" s="42">
        <f t="shared" si="84"/>
        <v>26.059815419867654</v>
      </c>
      <c r="T271" s="93">
        <v>10</v>
      </c>
      <c r="U271" s="41">
        <f t="shared" si="88"/>
        <v>1.3029907709933828</v>
      </c>
      <c r="V271" s="43">
        <f t="shared" si="79"/>
        <v>13.029907709933827</v>
      </c>
      <c r="W271" s="44">
        <f t="shared" si="91"/>
        <v>10</v>
      </c>
      <c r="X271" s="44">
        <f t="shared" si="89"/>
        <v>1.3029907709933828</v>
      </c>
      <c r="Y271" s="166">
        <f t="shared" si="78"/>
        <v>13.029907709933827</v>
      </c>
      <c r="AA271" s="131"/>
      <c r="AC271" s="191"/>
    </row>
    <row r="272" spans="1:29" x14ac:dyDescent="0.25">
      <c r="A272" s="205" t="s">
        <v>383</v>
      </c>
      <c r="B272" s="112" t="s">
        <v>73</v>
      </c>
      <c r="C272" s="113">
        <v>10</v>
      </c>
      <c r="D272" s="139">
        <v>1.6153846153846156</v>
      </c>
      <c r="E272" s="113">
        <f t="shared" si="90"/>
        <v>16.153846153846157</v>
      </c>
      <c r="F272" s="41"/>
      <c r="G272" s="41"/>
      <c r="H272" s="41">
        <f t="shared" si="85"/>
        <v>0</v>
      </c>
      <c r="I272" s="96">
        <f t="shared" si="82"/>
        <v>0</v>
      </c>
      <c r="J272" s="41"/>
      <c r="K272" s="41"/>
      <c r="L272" s="41"/>
      <c r="M272" s="96">
        <f t="shared" si="86"/>
        <v>0</v>
      </c>
      <c r="N272" s="102"/>
      <c r="O272" s="103"/>
      <c r="P272" s="104"/>
      <c r="Q272" s="42">
        <f t="shared" si="83"/>
        <v>10</v>
      </c>
      <c r="R272" s="42">
        <f t="shared" si="87"/>
        <v>1.6153846153846156</v>
      </c>
      <c r="S272" s="42">
        <f t="shared" si="84"/>
        <v>16.153846153846157</v>
      </c>
      <c r="T272" s="93">
        <v>4</v>
      </c>
      <c r="U272" s="41">
        <f t="shared" si="88"/>
        <v>1.6153846153846156</v>
      </c>
      <c r="V272" s="43">
        <f t="shared" si="79"/>
        <v>6.4615384615384626</v>
      </c>
      <c r="W272" s="44">
        <f t="shared" si="91"/>
        <v>6</v>
      </c>
      <c r="X272" s="44">
        <f t="shared" si="89"/>
        <v>1.6153846153846156</v>
      </c>
      <c r="Y272" s="166">
        <f t="shared" ref="Y272" si="92">W272*X272</f>
        <v>9.6923076923076934</v>
      </c>
      <c r="AA272" s="131"/>
      <c r="AC272" s="191"/>
    </row>
    <row r="273" spans="1:29" x14ac:dyDescent="0.25">
      <c r="A273" s="205" t="s">
        <v>268</v>
      </c>
      <c r="B273" s="112" t="s">
        <v>70</v>
      </c>
      <c r="C273" s="113">
        <v>0</v>
      </c>
      <c r="D273" s="139" t="s">
        <v>248</v>
      </c>
      <c r="E273" s="113">
        <f t="shared" si="90"/>
        <v>0</v>
      </c>
      <c r="F273" s="41"/>
      <c r="G273" s="41"/>
      <c r="H273" s="41">
        <f t="shared" si="85"/>
        <v>0</v>
      </c>
      <c r="I273" s="96">
        <f t="shared" si="82"/>
        <v>0</v>
      </c>
      <c r="J273" s="41"/>
      <c r="K273" s="41"/>
      <c r="L273" s="41"/>
      <c r="M273" s="96">
        <f t="shared" si="86"/>
        <v>0</v>
      </c>
      <c r="N273" s="102"/>
      <c r="O273" s="103"/>
      <c r="P273" s="104"/>
      <c r="Q273" s="42">
        <f t="shared" si="83"/>
        <v>0</v>
      </c>
      <c r="R273" s="42" t="str">
        <f t="shared" si="87"/>
        <v>0.00</v>
      </c>
      <c r="S273" s="42">
        <f t="shared" si="84"/>
        <v>0</v>
      </c>
      <c r="T273" s="93">
        <v>0</v>
      </c>
      <c r="U273" s="41" t="str">
        <f t="shared" si="88"/>
        <v>0.00</v>
      </c>
      <c r="V273" s="43">
        <f t="shared" ref="V273:V278" si="93">T273*U273</f>
        <v>0</v>
      </c>
      <c r="W273" s="44">
        <f t="shared" si="91"/>
        <v>0</v>
      </c>
      <c r="X273" s="44" t="str">
        <f t="shared" si="89"/>
        <v>0.00</v>
      </c>
      <c r="Y273" s="166">
        <f t="shared" ref="Y273:Y278" si="94">W273*X273</f>
        <v>0</v>
      </c>
      <c r="AA273" s="131"/>
      <c r="AC273" s="191"/>
    </row>
    <row r="274" spans="1:29" x14ac:dyDescent="0.25">
      <c r="A274" s="205" t="s">
        <v>359</v>
      </c>
      <c r="B274" s="112" t="s">
        <v>70</v>
      </c>
      <c r="C274" s="113">
        <v>75</v>
      </c>
      <c r="D274" s="139">
        <v>0.55724793989935906</v>
      </c>
      <c r="E274" s="113">
        <f t="shared" si="90"/>
        <v>41.793595492451928</v>
      </c>
      <c r="F274" s="41"/>
      <c r="G274" s="41"/>
      <c r="H274" s="41">
        <f t="shared" si="85"/>
        <v>0</v>
      </c>
      <c r="I274" s="96">
        <f t="shared" si="82"/>
        <v>0</v>
      </c>
      <c r="J274" s="41"/>
      <c r="K274" s="41"/>
      <c r="L274" s="41"/>
      <c r="M274" s="96">
        <f t="shared" si="86"/>
        <v>0</v>
      </c>
      <c r="N274" s="102"/>
      <c r="O274" s="103"/>
      <c r="P274" s="104"/>
      <c r="Q274" s="42">
        <f t="shared" si="83"/>
        <v>75</v>
      </c>
      <c r="R274" s="42">
        <f t="shared" si="87"/>
        <v>0.55724793989935906</v>
      </c>
      <c r="S274" s="42">
        <f t="shared" si="84"/>
        <v>41.793595492451928</v>
      </c>
      <c r="T274" s="93">
        <v>30</v>
      </c>
      <c r="U274" s="41">
        <f t="shared" si="88"/>
        <v>0.55724793989935906</v>
      </c>
      <c r="V274" s="43">
        <f t="shared" si="93"/>
        <v>16.717438196980773</v>
      </c>
      <c r="W274" s="44">
        <f t="shared" si="91"/>
        <v>45</v>
      </c>
      <c r="X274" s="44">
        <f t="shared" si="89"/>
        <v>0.55724793989935906</v>
      </c>
      <c r="Y274" s="166">
        <f t="shared" si="94"/>
        <v>25.076157295471159</v>
      </c>
      <c r="AA274" s="131"/>
      <c r="AC274" s="191"/>
    </row>
    <row r="275" spans="1:29" x14ac:dyDescent="0.25">
      <c r="A275" s="205" t="s">
        <v>319</v>
      </c>
      <c r="B275" s="112" t="s">
        <v>73</v>
      </c>
      <c r="C275" s="113">
        <v>2</v>
      </c>
      <c r="D275" s="139">
        <v>1.6376021798365121</v>
      </c>
      <c r="E275" s="113">
        <f t="shared" si="90"/>
        <v>3.2752043596730243</v>
      </c>
      <c r="F275" s="41"/>
      <c r="G275" s="41"/>
      <c r="H275" s="41">
        <f t="shared" si="85"/>
        <v>0</v>
      </c>
      <c r="I275" s="96">
        <f t="shared" si="82"/>
        <v>0</v>
      </c>
      <c r="J275" s="41"/>
      <c r="K275" s="41"/>
      <c r="L275" s="41"/>
      <c r="M275" s="96">
        <f t="shared" si="86"/>
        <v>0</v>
      </c>
      <c r="N275" s="102"/>
      <c r="O275" s="103"/>
      <c r="P275" s="104"/>
      <c r="Q275" s="42">
        <f t="shared" si="83"/>
        <v>2</v>
      </c>
      <c r="R275" s="42">
        <f t="shared" si="87"/>
        <v>1.6376021798365121</v>
      </c>
      <c r="S275" s="42">
        <f t="shared" si="84"/>
        <v>3.2752043596730243</v>
      </c>
      <c r="T275" s="93">
        <v>2</v>
      </c>
      <c r="U275" s="41">
        <f t="shared" si="88"/>
        <v>1.6376021798365121</v>
      </c>
      <c r="V275" s="43">
        <f t="shared" si="93"/>
        <v>3.2752043596730243</v>
      </c>
      <c r="W275" s="44">
        <f t="shared" si="91"/>
        <v>0</v>
      </c>
      <c r="X275" s="44">
        <f t="shared" si="89"/>
        <v>1.6376021798365121</v>
      </c>
      <c r="Y275" s="166">
        <f t="shared" si="94"/>
        <v>0</v>
      </c>
      <c r="AA275" s="131"/>
      <c r="AC275" s="191"/>
    </row>
    <row r="276" spans="1:29" x14ac:dyDescent="0.25">
      <c r="A276" s="205" t="s">
        <v>364</v>
      </c>
      <c r="B276" s="112" t="s">
        <v>70</v>
      </c>
      <c r="C276" s="113">
        <v>2</v>
      </c>
      <c r="D276" s="139">
        <v>1.3551207605700994</v>
      </c>
      <c r="E276" s="113">
        <f t="shared" si="90"/>
        <v>2.7102415211401989</v>
      </c>
      <c r="F276" s="41"/>
      <c r="G276" s="41"/>
      <c r="H276" s="41">
        <f t="shared" si="85"/>
        <v>0</v>
      </c>
      <c r="I276" s="96">
        <f t="shared" si="82"/>
        <v>0</v>
      </c>
      <c r="J276" s="41"/>
      <c r="K276" s="41"/>
      <c r="L276" s="41"/>
      <c r="M276" s="96">
        <f t="shared" si="86"/>
        <v>0</v>
      </c>
      <c r="N276" s="102"/>
      <c r="O276" s="103"/>
      <c r="P276" s="104"/>
      <c r="Q276" s="42">
        <f t="shared" si="83"/>
        <v>2</v>
      </c>
      <c r="R276" s="42">
        <f t="shared" si="87"/>
        <v>1.3551207605700994</v>
      </c>
      <c r="S276" s="42">
        <f t="shared" si="84"/>
        <v>2.7102415211401989</v>
      </c>
      <c r="T276" s="93">
        <v>1</v>
      </c>
      <c r="U276" s="41">
        <f t="shared" si="88"/>
        <v>1.3551207605700994</v>
      </c>
      <c r="V276" s="43">
        <f t="shared" si="93"/>
        <v>1.3551207605700994</v>
      </c>
      <c r="W276" s="44">
        <f t="shared" si="91"/>
        <v>1</v>
      </c>
      <c r="X276" s="44">
        <f t="shared" si="89"/>
        <v>1.3551207605700994</v>
      </c>
      <c r="Y276" s="166">
        <f t="shared" si="94"/>
        <v>1.3551207605700994</v>
      </c>
      <c r="AA276" s="131"/>
      <c r="AC276" s="191"/>
    </row>
    <row r="277" spans="1:29" x14ac:dyDescent="0.25">
      <c r="A277" s="205" t="s">
        <v>389</v>
      </c>
      <c r="B277" s="112" t="s">
        <v>77</v>
      </c>
      <c r="C277" s="113">
        <v>4</v>
      </c>
      <c r="D277" s="139">
        <v>6.6544751432698126</v>
      </c>
      <c r="E277" s="113">
        <f t="shared" si="90"/>
        <v>26.61790057307925</v>
      </c>
      <c r="F277" s="41"/>
      <c r="G277" s="41"/>
      <c r="H277" s="41">
        <f t="shared" si="85"/>
        <v>0</v>
      </c>
      <c r="I277" s="96">
        <f t="shared" si="82"/>
        <v>0</v>
      </c>
      <c r="J277" s="41"/>
      <c r="K277" s="41"/>
      <c r="L277" s="41"/>
      <c r="M277" s="96">
        <f t="shared" si="86"/>
        <v>0</v>
      </c>
      <c r="N277" s="102"/>
      <c r="O277" s="103"/>
      <c r="P277" s="104"/>
      <c r="Q277" s="42">
        <f t="shared" si="83"/>
        <v>4</v>
      </c>
      <c r="R277" s="42">
        <f t="shared" si="87"/>
        <v>6.6544751432698126</v>
      </c>
      <c r="S277" s="42">
        <f t="shared" si="84"/>
        <v>26.61790057307925</v>
      </c>
      <c r="T277" s="93">
        <v>2</v>
      </c>
      <c r="U277" s="41">
        <f t="shared" si="88"/>
        <v>6.6544751432698126</v>
      </c>
      <c r="V277" s="43">
        <f t="shared" si="93"/>
        <v>13.308950286539625</v>
      </c>
      <c r="W277" s="44">
        <f t="shared" si="91"/>
        <v>2</v>
      </c>
      <c r="X277" s="44">
        <f t="shared" si="89"/>
        <v>6.6544751432698126</v>
      </c>
      <c r="Y277" s="166">
        <f t="shared" si="94"/>
        <v>13.308950286539625</v>
      </c>
      <c r="AA277" s="131"/>
      <c r="AC277" s="191"/>
    </row>
    <row r="278" spans="1:29" x14ac:dyDescent="0.25">
      <c r="A278" s="205" t="s">
        <v>315</v>
      </c>
      <c r="B278" s="112" t="s">
        <v>70</v>
      </c>
      <c r="C278" s="113">
        <v>100</v>
      </c>
      <c r="D278" s="139">
        <v>0.96128261388048486</v>
      </c>
      <c r="E278" s="113">
        <f t="shared" si="90"/>
        <v>96.128261388048486</v>
      </c>
      <c r="F278" s="41"/>
      <c r="G278" s="41"/>
      <c r="H278" s="41">
        <f t="shared" si="85"/>
        <v>0</v>
      </c>
      <c r="I278" s="96">
        <f t="shared" si="82"/>
        <v>0</v>
      </c>
      <c r="J278" s="41"/>
      <c r="K278" s="41"/>
      <c r="L278" s="41"/>
      <c r="M278" s="96">
        <f t="shared" si="86"/>
        <v>0</v>
      </c>
      <c r="N278" s="102"/>
      <c r="O278" s="103"/>
      <c r="P278" s="104"/>
      <c r="Q278" s="42">
        <f t="shared" si="83"/>
        <v>100</v>
      </c>
      <c r="R278" s="42">
        <f t="shared" si="87"/>
        <v>0.96128261388048486</v>
      </c>
      <c r="S278" s="42">
        <f t="shared" si="84"/>
        <v>96.128261388048486</v>
      </c>
      <c r="T278" s="93">
        <v>50</v>
      </c>
      <c r="U278" s="41">
        <f t="shared" si="88"/>
        <v>0.96128261388048486</v>
      </c>
      <c r="V278" s="43">
        <f t="shared" si="93"/>
        <v>48.064130694024243</v>
      </c>
      <c r="W278" s="44">
        <f t="shared" si="91"/>
        <v>50</v>
      </c>
      <c r="X278" s="44">
        <f t="shared" si="89"/>
        <v>0.96128261388048486</v>
      </c>
      <c r="Y278" s="166">
        <f t="shared" si="94"/>
        <v>48.064130694024243</v>
      </c>
      <c r="AA278" s="131"/>
      <c r="AC278" s="191"/>
    </row>
    <row r="279" spans="1:29" x14ac:dyDescent="0.25">
      <c r="A279" s="205" t="s">
        <v>357</v>
      </c>
      <c r="B279" s="112" t="s">
        <v>70</v>
      </c>
      <c r="C279" s="113">
        <v>7</v>
      </c>
      <c r="D279" s="139">
        <v>1.7366931994536106</v>
      </c>
      <c r="E279" s="113">
        <f t="shared" si="90"/>
        <v>12.156852396175275</v>
      </c>
      <c r="F279" s="41"/>
      <c r="G279" s="41"/>
      <c r="H279" s="41">
        <f t="shared" si="85"/>
        <v>0</v>
      </c>
      <c r="I279" s="96">
        <f t="shared" si="82"/>
        <v>0</v>
      </c>
      <c r="J279" s="41"/>
      <c r="K279" s="41"/>
      <c r="L279" s="41"/>
      <c r="M279" s="96">
        <f t="shared" si="86"/>
        <v>0</v>
      </c>
      <c r="N279" s="102"/>
      <c r="O279" s="103"/>
      <c r="P279" s="104"/>
      <c r="Q279" s="42">
        <f t="shared" si="83"/>
        <v>7</v>
      </c>
      <c r="R279" s="42">
        <f t="shared" si="87"/>
        <v>1.7366931994536106</v>
      </c>
      <c r="S279" s="42">
        <f t="shared" si="84"/>
        <v>12.156852396175275</v>
      </c>
      <c r="T279" s="93">
        <v>4</v>
      </c>
      <c r="U279" s="41">
        <f t="shared" si="88"/>
        <v>1.7366931994536106</v>
      </c>
      <c r="V279" s="43">
        <f t="shared" ref="V279:V299" si="95">T279*U279</f>
        <v>6.9467727978144422</v>
      </c>
      <c r="W279" s="44">
        <f t="shared" si="91"/>
        <v>3</v>
      </c>
      <c r="X279" s="44">
        <f t="shared" si="89"/>
        <v>1.7366931994536106</v>
      </c>
      <c r="Y279" s="166">
        <f t="shared" ref="Y279:Y299" si="96">W279*X279</f>
        <v>5.2100795983608315</v>
      </c>
      <c r="AA279" s="131"/>
      <c r="AC279" s="191"/>
    </row>
    <row r="280" spans="1:29" x14ac:dyDescent="0.25">
      <c r="A280" s="205" t="s">
        <v>283</v>
      </c>
      <c r="B280" s="112" t="s">
        <v>79</v>
      </c>
      <c r="C280" s="113">
        <v>0</v>
      </c>
      <c r="D280" s="139" t="s">
        <v>248</v>
      </c>
      <c r="E280" s="113">
        <f t="shared" si="90"/>
        <v>0</v>
      </c>
      <c r="F280" s="41"/>
      <c r="G280" s="41"/>
      <c r="H280" s="41">
        <f t="shared" si="85"/>
        <v>0</v>
      </c>
      <c r="I280" s="96">
        <f t="shared" si="82"/>
        <v>0</v>
      </c>
      <c r="J280" s="41"/>
      <c r="K280" s="41"/>
      <c r="L280" s="41"/>
      <c r="M280" s="96">
        <f t="shared" si="86"/>
        <v>0</v>
      </c>
      <c r="N280" s="102"/>
      <c r="O280" s="103"/>
      <c r="P280" s="104"/>
      <c r="Q280" s="42">
        <f t="shared" si="83"/>
        <v>0</v>
      </c>
      <c r="R280" s="42" t="str">
        <f t="shared" si="87"/>
        <v>0.00</v>
      </c>
      <c r="S280" s="42">
        <f t="shared" si="84"/>
        <v>0</v>
      </c>
      <c r="T280" s="93">
        <v>0</v>
      </c>
      <c r="U280" s="41" t="str">
        <f t="shared" si="88"/>
        <v>0.00</v>
      </c>
      <c r="V280" s="43">
        <f t="shared" si="95"/>
        <v>0</v>
      </c>
      <c r="W280" s="44">
        <f t="shared" si="91"/>
        <v>0</v>
      </c>
      <c r="X280" s="44" t="str">
        <f t="shared" si="89"/>
        <v>0.00</v>
      </c>
      <c r="Y280" s="166">
        <f t="shared" si="96"/>
        <v>0</v>
      </c>
      <c r="AA280" s="131"/>
      <c r="AC280" s="191"/>
    </row>
    <row r="281" spans="1:29" x14ac:dyDescent="0.25">
      <c r="A281" s="205" t="s">
        <v>386</v>
      </c>
      <c r="B281" s="112" t="s">
        <v>70</v>
      </c>
      <c r="C281" s="113">
        <v>15</v>
      </c>
      <c r="D281" s="139">
        <v>0.6692913385826772</v>
      </c>
      <c r="E281" s="113">
        <f t="shared" si="90"/>
        <v>10.039370078740157</v>
      </c>
      <c r="F281" s="41"/>
      <c r="G281" s="41"/>
      <c r="H281" s="41">
        <f t="shared" si="85"/>
        <v>0</v>
      </c>
      <c r="I281" s="96">
        <f t="shared" si="82"/>
        <v>0</v>
      </c>
      <c r="J281" s="41"/>
      <c r="K281" s="41"/>
      <c r="L281" s="41"/>
      <c r="M281" s="96">
        <f t="shared" si="86"/>
        <v>0</v>
      </c>
      <c r="N281" s="102"/>
      <c r="O281" s="103"/>
      <c r="P281" s="104"/>
      <c r="Q281" s="42">
        <f t="shared" si="83"/>
        <v>15</v>
      </c>
      <c r="R281" s="42">
        <f t="shared" si="87"/>
        <v>0.6692913385826772</v>
      </c>
      <c r="S281" s="42">
        <f t="shared" si="84"/>
        <v>10.039370078740157</v>
      </c>
      <c r="T281" s="93">
        <v>5</v>
      </c>
      <c r="U281" s="41">
        <f t="shared" si="88"/>
        <v>0.6692913385826772</v>
      </c>
      <c r="V281" s="43">
        <f t="shared" si="95"/>
        <v>3.3464566929133861</v>
      </c>
      <c r="W281" s="44">
        <f t="shared" si="91"/>
        <v>10</v>
      </c>
      <c r="X281" s="44">
        <f t="shared" si="89"/>
        <v>0.6692913385826772</v>
      </c>
      <c r="Y281" s="166">
        <f t="shared" si="96"/>
        <v>6.6929133858267722</v>
      </c>
      <c r="AA281" s="131"/>
      <c r="AC281" s="191"/>
    </row>
    <row r="282" spans="1:29" x14ac:dyDescent="0.25">
      <c r="A282" s="205" t="s">
        <v>388</v>
      </c>
      <c r="B282" s="112" t="s">
        <v>82</v>
      </c>
      <c r="C282" s="113">
        <v>50</v>
      </c>
      <c r="D282" s="139">
        <v>1</v>
      </c>
      <c r="E282" s="113">
        <f t="shared" si="90"/>
        <v>50</v>
      </c>
      <c r="F282" s="41"/>
      <c r="G282" s="41"/>
      <c r="H282" s="41">
        <f t="shared" si="85"/>
        <v>0</v>
      </c>
      <c r="I282" s="96">
        <f t="shared" si="82"/>
        <v>0</v>
      </c>
      <c r="J282" s="41"/>
      <c r="K282" s="41"/>
      <c r="L282" s="41"/>
      <c r="M282" s="96">
        <f t="shared" si="86"/>
        <v>0</v>
      </c>
      <c r="N282" s="102"/>
      <c r="O282" s="103"/>
      <c r="P282" s="104"/>
      <c r="Q282" s="42">
        <f t="shared" si="83"/>
        <v>50</v>
      </c>
      <c r="R282" s="42">
        <f t="shared" si="87"/>
        <v>1</v>
      </c>
      <c r="S282" s="42">
        <f t="shared" si="84"/>
        <v>50</v>
      </c>
      <c r="T282" s="93">
        <v>25</v>
      </c>
      <c r="U282" s="41">
        <f t="shared" si="88"/>
        <v>1</v>
      </c>
      <c r="V282" s="43">
        <f t="shared" si="95"/>
        <v>25</v>
      </c>
      <c r="W282" s="44">
        <f t="shared" si="91"/>
        <v>25</v>
      </c>
      <c r="X282" s="44">
        <f t="shared" si="89"/>
        <v>1</v>
      </c>
      <c r="Y282" s="166">
        <f t="shared" si="96"/>
        <v>25</v>
      </c>
      <c r="AA282" s="131"/>
      <c r="AC282" s="191"/>
    </row>
    <row r="283" spans="1:29" x14ac:dyDescent="0.25">
      <c r="A283" s="205" t="s">
        <v>356</v>
      </c>
      <c r="B283" s="112" t="s">
        <v>70</v>
      </c>
      <c r="C283" s="113">
        <v>8</v>
      </c>
      <c r="D283" s="139">
        <v>2.1089771135556283</v>
      </c>
      <c r="E283" s="113">
        <f t="shared" si="90"/>
        <v>16.871816908445027</v>
      </c>
      <c r="F283" s="41"/>
      <c r="G283" s="41"/>
      <c r="H283" s="41">
        <f t="shared" si="85"/>
        <v>0</v>
      </c>
      <c r="I283" s="96">
        <f t="shared" si="82"/>
        <v>0</v>
      </c>
      <c r="J283" s="41"/>
      <c r="K283" s="41"/>
      <c r="L283" s="41"/>
      <c r="M283" s="96">
        <f t="shared" si="86"/>
        <v>0</v>
      </c>
      <c r="N283" s="102"/>
      <c r="O283" s="103"/>
      <c r="P283" s="104"/>
      <c r="Q283" s="42">
        <f t="shared" si="83"/>
        <v>8</v>
      </c>
      <c r="R283" s="42">
        <f t="shared" si="87"/>
        <v>2.1089771135556283</v>
      </c>
      <c r="S283" s="42">
        <f t="shared" si="84"/>
        <v>16.871816908445027</v>
      </c>
      <c r="T283" s="93">
        <v>4</v>
      </c>
      <c r="U283" s="41">
        <f t="shared" si="88"/>
        <v>2.1089771135556283</v>
      </c>
      <c r="V283" s="43">
        <f t="shared" si="95"/>
        <v>8.4359084542225133</v>
      </c>
      <c r="W283" s="44">
        <f t="shared" si="91"/>
        <v>4</v>
      </c>
      <c r="X283" s="44">
        <f t="shared" si="89"/>
        <v>2.1089771135556283</v>
      </c>
      <c r="Y283" s="166">
        <f t="shared" si="96"/>
        <v>8.4359084542225133</v>
      </c>
      <c r="AA283" s="131"/>
      <c r="AC283" s="191"/>
    </row>
    <row r="284" spans="1:29" x14ac:dyDescent="0.25">
      <c r="A284" s="205" t="s">
        <v>387</v>
      </c>
      <c r="B284" s="112" t="s">
        <v>79</v>
      </c>
      <c r="C284" s="113">
        <v>3</v>
      </c>
      <c r="D284" s="139">
        <v>1.4960629921259843</v>
      </c>
      <c r="E284" s="113">
        <f t="shared" si="90"/>
        <v>4.4881889763779528</v>
      </c>
      <c r="F284" s="41"/>
      <c r="G284" s="41"/>
      <c r="H284" s="41">
        <f t="shared" si="85"/>
        <v>0</v>
      </c>
      <c r="I284" s="96">
        <f t="shared" si="82"/>
        <v>0</v>
      </c>
      <c r="J284" s="41"/>
      <c r="K284" s="41"/>
      <c r="L284" s="41"/>
      <c r="M284" s="96">
        <f t="shared" si="86"/>
        <v>0</v>
      </c>
      <c r="N284" s="102"/>
      <c r="O284" s="103"/>
      <c r="P284" s="104"/>
      <c r="Q284" s="42">
        <f t="shared" si="83"/>
        <v>3</v>
      </c>
      <c r="R284" s="42">
        <f t="shared" si="87"/>
        <v>1.4960629921259843</v>
      </c>
      <c r="S284" s="42">
        <f t="shared" si="84"/>
        <v>4.4881889763779528</v>
      </c>
      <c r="T284" s="93">
        <v>3</v>
      </c>
      <c r="U284" s="41">
        <f t="shared" si="88"/>
        <v>1.4960629921259843</v>
      </c>
      <c r="V284" s="43">
        <f t="shared" si="95"/>
        <v>4.4881889763779528</v>
      </c>
      <c r="W284" s="44">
        <f t="shared" si="91"/>
        <v>0</v>
      </c>
      <c r="X284" s="44">
        <f t="shared" si="89"/>
        <v>1.4960629921259843</v>
      </c>
      <c r="Y284" s="166">
        <f t="shared" si="96"/>
        <v>0</v>
      </c>
      <c r="AA284" s="131"/>
      <c r="AC284" s="191"/>
    </row>
    <row r="285" spans="1:29" x14ac:dyDescent="0.25">
      <c r="A285" s="205" t="s">
        <v>355</v>
      </c>
      <c r="B285" s="112" t="s">
        <v>70</v>
      </c>
      <c r="C285" s="113">
        <v>13</v>
      </c>
      <c r="D285" s="139">
        <v>6.3890255905511806</v>
      </c>
      <c r="E285" s="113">
        <f t="shared" si="90"/>
        <v>83.057332677165348</v>
      </c>
      <c r="F285" s="41"/>
      <c r="G285" s="41"/>
      <c r="H285" s="41">
        <f t="shared" si="85"/>
        <v>0</v>
      </c>
      <c r="I285" s="96">
        <f t="shared" si="82"/>
        <v>0</v>
      </c>
      <c r="J285" s="41"/>
      <c r="K285" s="41"/>
      <c r="L285" s="41"/>
      <c r="M285" s="96">
        <f t="shared" si="86"/>
        <v>0</v>
      </c>
      <c r="N285" s="102"/>
      <c r="O285" s="103"/>
      <c r="P285" s="104"/>
      <c r="Q285" s="42">
        <f t="shared" si="83"/>
        <v>13</v>
      </c>
      <c r="R285" s="42">
        <f t="shared" si="87"/>
        <v>6.3890255905511806</v>
      </c>
      <c r="S285" s="42">
        <f t="shared" si="84"/>
        <v>83.057332677165348</v>
      </c>
      <c r="T285" s="93">
        <v>8</v>
      </c>
      <c r="U285" s="41">
        <f t="shared" si="88"/>
        <v>6.3890255905511806</v>
      </c>
      <c r="V285" s="43">
        <f t="shared" si="95"/>
        <v>51.112204724409445</v>
      </c>
      <c r="W285" s="44">
        <f t="shared" si="91"/>
        <v>5</v>
      </c>
      <c r="X285" s="44">
        <f t="shared" si="89"/>
        <v>6.3890255905511806</v>
      </c>
      <c r="Y285" s="166">
        <f t="shared" si="96"/>
        <v>31.945127952755904</v>
      </c>
      <c r="AA285" s="131"/>
      <c r="AC285" s="191"/>
    </row>
    <row r="286" spans="1:29" x14ac:dyDescent="0.25">
      <c r="A286" s="205" t="s">
        <v>271</v>
      </c>
      <c r="B286" s="112" t="s">
        <v>79</v>
      </c>
      <c r="C286" s="113">
        <v>0</v>
      </c>
      <c r="D286" s="139" t="s">
        <v>248</v>
      </c>
      <c r="E286" s="113">
        <f t="shared" si="90"/>
        <v>0</v>
      </c>
      <c r="F286" s="41"/>
      <c r="G286" s="41"/>
      <c r="H286" s="41">
        <f t="shared" si="85"/>
        <v>0</v>
      </c>
      <c r="I286" s="96">
        <f t="shared" si="82"/>
        <v>0</v>
      </c>
      <c r="J286" s="41"/>
      <c r="K286" s="41"/>
      <c r="L286" s="41"/>
      <c r="M286" s="96">
        <f t="shared" si="86"/>
        <v>0</v>
      </c>
      <c r="N286" s="102"/>
      <c r="O286" s="103"/>
      <c r="P286" s="104"/>
      <c r="Q286" s="42">
        <f t="shared" si="83"/>
        <v>0</v>
      </c>
      <c r="R286" s="42" t="str">
        <f t="shared" si="87"/>
        <v>0.00</v>
      </c>
      <c r="S286" s="42">
        <f t="shared" si="84"/>
        <v>0</v>
      </c>
      <c r="T286" s="93">
        <v>0</v>
      </c>
      <c r="U286" s="41" t="str">
        <f t="shared" si="88"/>
        <v>0.00</v>
      </c>
      <c r="V286" s="43">
        <f t="shared" si="95"/>
        <v>0</v>
      </c>
      <c r="W286" s="44">
        <f t="shared" si="91"/>
        <v>0</v>
      </c>
      <c r="X286" s="44" t="str">
        <f t="shared" si="89"/>
        <v>0.00</v>
      </c>
      <c r="Y286" s="166">
        <f t="shared" si="96"/>
        <v>0</v>
      </c>
      <c r="AA286" s="131"/>
      <c r="AC286" s="191"/>
    </row>
    <row r="287" spans="1:29" x14ac:dyDescent="0.25">
      <c r="A287" s="205" t="s">
        <v>337</v>
      </c>
      <c r="B287" s="112" t="s">
        <v>79</v>
      </c>
      <c r="C287" s="113">
        <v>20</v>
      </c>
      <c r="D287" s="139">
        <v>2.2692307692307692</v>
      </c>
      <c r="E287" s="113">
        <f t="shared" si="90"/>
        <v>45.384615384615387</v>
      </c>
      <c r="F287" s="41"/>
      <c r="G287" s="41"/>
      <c r="H287" s="41">
        <f t="shared" si="85"/>
        <v>0</v>
      </c>
      <c r="I287" s="96">
        <f t="shared" si="82"/>
        <v>0</v>
      </c>
      <c r="J287" s="41"/>
      <c r="K287" s="41"/>
      <c r="L287" s="41"/>
      <c r="M287" s="96">
        <f t="shared" si="86"/>
        <v>0</v>
      </c>
      <c r="N287" s="102"/>
      <c r="O287" s="103"/>
      <c r="P287" s="104"/>
      <c r="Q287" s="42">
        <f t="shared" si="83"/>
        <v>20</v>
      </c>
      <c r="R287" s="42">
        <f t="shared" si="87"/>
        <v>2.2692307692307692</v>
      </c>
      <c r="S287" s="42">
        <f t="shared" si="84"/>
        <v>45.384615384615387</v>
      </c>
      <c r="T287" s="93">
        <v>10</v>
      </c>
      <c r="U287" s="41">
        <f t="shared" si="88"/>
        <v>2.2692307692307692</v>
      </c>
      <c r="V287" s="43">
        <f t="shared" si="95"/>
        <v>22.692307692307693</v>
      </c>
      <c r="W287" s="44">
        <f t="shared" si="91"/>
        <v>10</v>
      </c>
      <c r="X287" s="44">
        <f t="shared" si="89"/>
        <v>2.2692307692307692</v>
      </c>
      <c r="Y287" s="166">
        <f t="shared" si="96"/>
        <v>22.692307692307693</v>
      </c>
      <c r="AA287" s="131"/>
      <c r="AC287" s="191"/>
    </row>
    <row r="288" spans="1:29" x14ac:dyDescent="0.25">
      <c r="A288" s="205" t="s">
        <v>347</v>
      </c>
      <c r="B288" s="112" t="s">
        <v>70</v>
      </c>
      <c r="C288" s="113">
        <v>25</v>
      </c>
      <c r="D288" s="139">
        <v>1.5384615384615383</v>
      </c>
      <c r="E288" s="113">
        <f t="shared" si="90"/>
        <v>38.46153846153846</v>
      </c>
      <c r="F288" s="41"/>
      <c r="G288" s="41"/>
      <c r="H288" s="41">
        <f t="shared" si="85"/>
        <v>0</v>
      </c>
      <c r="I288" s="96">
        <f t="shared" si="82"/>
        <v>0</v>
      </c>
      <c r="J288" s="41"/>
      <c r="K288" s="41"/>
      <c r="L288" s="41"/>
      <c r="M288" s="96">
        <f t="shared" si="86"/>
        <v>0</v>
      </c>
      <c r="N288" s="102"/>
      <c r="O288" s="103"/>
      <c r="P288" s="104"/>
      <c r="Q288" s="42">
        <f t="shared" si="83"/>
        <v>25</v>
      </c>
      <c r="R288" s="42">
        <f t="shared" si="87"/>
        <v>1.5384615384615383</v>
      </c>
      <c r="S288" s="42">
        <f t="shared" si="84"/>
        <v>38.46153846153846</v>
      </c>
      <c r="T288" s="93">
        <v>20</v>
      </c>
      <c r="U288" s="41">
        <f t="shared" si="88"/>
        <v>1.5384615384615383</v>
      </c>
      <c r="V288" s="43">
        <f t="shared" si="95"/>
        <v>30.769230769230766</v>
      </c>
      <c r="W288" s="44">
        <f t="shared" si="91"/>
        <v>5</v>
      </c>
      <c r="X288" s="44">
        <f t="shared" si="89"/>
        <v>1.5384615384615383</v>
      </c>
      <c r="Y288" s="166">
        <f t="shared" si="96"/>
        <v>7.6923076923076916</v>
      </c>
      <c r="AA288" s="131"/>
      <c r="AC288" s="191"/>
    </row>
    <row r="289" spans="1:29" x14ac:dyDescent="0.25">
      <c r="A289" s="205" t="s">
        <v>352</v>
      </c>
      <c r="B289" s="112" t="s">
        <v>70</v>
      </c>
      <c r="C289" s="113">
        <v>0</v>
      </c>
      <c r="D289" s="139" t="s">
        <v>248</v>
      </c>
      <c r="E289" s="113">
        <f t="shared" si="90"/>
        <v>0</v>
      </c>
      <c r="F289" s="41"/>
      <c r="G289" s="41"/>
      <c r="H289" s="41">
        <f t="shared" si="85"/>
        <v>0</v>
      </c>
      <c r="I289" s="96">
        <f t="shared" si="82"/>
        <v>0</v>
      </c>
      <c r="J289" s="41"/>
      <c r="K289" s="41"/>
      <c r="L289" s="41"/>
      <c r="M289" s="96">
        <f t="shared" si="86"/>
        <v>0</v>
      </c>
      <c r="N289" s="102"/>
      <c r="O289" s="103"/>
      <c r="P289" s="104"/>
      <c r="Q289" s="42">
        <f t="shared" si="83"/>
        <v>0</v>
      </c>
      <c r="R289" s="42" t="str">
        <f t="shared" si="87"/>
        <v>0.00</v>
      </c>
      <c r="S289" s="42">
        <f t="shared" si="84"/>
        <v>0</v>
      </c>
      <c r="T289" s="93">
        <v>0</v>
      </c>
      <c r="U289" s="41" t="str">
        <f t="shared" si="88"/>
        <v>0.00</v>
      </c>
      <c r="V289" s="43">
        <f t="shared" si="95"/>
        <v>0</v>
      </c>
      <c r="W289" s="44">
        <f t="shared" si="91"/>
        <v>0</v>
      </c>
      <c r="X289" s="44" t="str">
        <f t="shared" si="89"/>
        <v>0.00</v>
      </c>
      <c r="Y289" s="166">
        <f t="shared" si="96"/>
        <v>0</v>
      </c>
      <c r="AA289" s="131"/>
      <c r="AC289" s="191"/>
    </row>
    <row r="290" spans="1:29" x14ac:dyDescent="0.25">
      <c r="A290" s="205" t="s">
        <v>353</v>
      </c>
      <c r="B290" s="112" t="s">
        <v>79</v>
      </c>
      <c r="C290" s="113">
        <v>0</v>
      </c>
      <c r="D290" s="139" t="s">
        <v>248</v>
      </c>
      <c r="E290" s="113">
        <f t="shared" si="90"/>
        <v>0</v>
      </c>
      <c r="F290" s="41"/>
      <c r="G290" s="41"/>
      <c r="H290" s="41">
        <f t="shared" si="85"/>
        <v>0</v>
      </c>
      <c r="I290" s="96">
        <f t="shared" si="82"/>
        <v>0</v>
      </c>
      <c r="J290" s="41"/>
      <c r="K290" s="41"/>
      <c r="L290" s="41"/>
      <c r="M290" s="96">
        <f t="shared" si="86"/>
        <v>0</v>
      </c>
      <c r="N290" s="102"/>
      <c r="O290" s="103"/>
      <c r="P290" s="104"/>
      <c r="Q290" s="42">
        <f t="shared" si="83"/>
        <v>0</v>
      </c>
      <c r="R290" s="42" t="str">
        <f t="shared" si="87"/>
        <v>0.00</v>
      </c>
      <c r="S290" s="42">
        <f t="shared" si="84"/>
        <v>0</v>
      </c>
      <c r="T290" s="93">
        <v>0</v>
      </c>
      <c r="U290" s="41" t="str">
        <f t="shared" si="88"/>
        <v>0.00</v>
      </c>
      <c r="V290" s="43">
        <f t="shared" si="95"/>
        <v>0</v>
      </c>
      <c r="W290" s="44">
        <f t="shared" si="91"/>
        <v>0</v>
      </c>
      <c r="X290" s="44" t="str">
        <f t="shared" si="89"/>
        <v>0.00</v>
      </c>
      <c r="Y290" s="166">
        <f t="shared" si="96"/>
        <v>0</v>
      </c>
      <c r="AA290" s="131"/>
      <c r="AC290" s="191"/>
    </row>
    <row r="291" spans="1:29" x14ac:dyDescent="0.25">
      <c r="A291" s="205" t="s">
        <v>373</v>
      </c>
      <c r="B291" s="112" t="s">
        <v>79</v>
      </c>
      <c r="C291" s="113">
        <v>0</v>
      </c>
      <c r="D291" s="139" t="s">
        <v>248</v>
      </c>
      <c r="E291" s="113">
        <f t="shared" si="90"/>
        <v>0</v>
      </c>
      <c r="F291" s="41"/>
      <c r="G291" s="41"/>
      <c r="H291" s="41">
        <f t="shared" si="85"/>
        <v>0</v>
      </c>
      <c r="I291" s="96">
        <f t="shared" si="82"/>
        <v>0</v>
      </c>
      <c r="J291" s="41"/>
      <c r="K291" s="41"/>
      <c r="L291" s="41"/>
      <c r="M291" s="96">
        <f t="shared" si="86"/>
        <v>0</v>
      </c>
      <c r="N291" s="102"/>
      <c r="O291" s="103"/>
      <c r="P291" s="104"/>
      <c r="Q291" s="42">
        <f t="shared" si="83"/>
        <v>0</v>
      </c>
      <c r="R291" s="42" t="str">
        <f t="shared" si="87"/>
        <v>0.00</v>
      </c>
      <c r="S291" s="42">
        <f t="shared" si="84"/>
        <v>0</v>
      </c>
      <c r="T291" s="93">
        <v>0</v>
      </c>
      <c r="U291" s="41" t="str">
        <f t="shared" si="88"/>
        <v>0.00</v>
      </c>
      <c r="V291" s="43">
        <f t="shared" si="95"/>
        <v>0</v>
      </c>
      <c r="W291" s="44">
        <f t="shared" si="91"/>
        <v>0</v>
      </c>
      <c r="X291" s="44" t="str">
        <f t="shared" si="89"/>
        <v>0.00</v>
      </c>
      <c r="Y291" s="166">
        <f t="shared" si="96"/>
        <v>0</v>
      </c>
      <c r="AA291" s="131"/>
      <c r="AC291" s="191"/>
    </row>
    <row r="292" spans="1:29" x14ac:dyDescent="0.25">
      <c r="A292" s="205" t="s">
        <v>354</v>
      </c>
      <c r="B292" s="112" t="s">
        <v>70</v>
      </c>
      <c r="C292" s="113">
        <v>3</v>
      </c>
      <c r="D292" s="139">
        <v>1.1923076923076923</v>
      </c>
      <c r="E292" s="113">
        <f t="shared" si="90"/>
        <v>3.5769230769230766</v>
      </c>
      <c r="F292" s="41"/>
      <c r="G292" s="41"/>
      <c r="H292" s="41">
        <f t="shared" si="85"/>
        <v>0</v>
      </c>
      <c r="I292" s="96">
        <f t="shared" si="82"/>
        <v>0</v>
      </c>
      <c r="J292" s="41"/>
      <c r="K292" s="41"/>
      <c r="L292" s="41"/>
      <c r="M292" s="96">
        <f t="shared" si="86"/>
        <v>0</v>
      </c>
      <c r="N292" s="102"/>
      <c r="O292" s="103"/>
      <c r="P292" s="104"/>
      <c r="Q292" s="42">
        <f t="shared" si="83"/>
        <v>3</v>
      </c>
      <c r="R292" s="42">
        <f t="shared" si="87"/>
        <v>1.1923076923076923</v>
      </c>
      <c r="S292" s="42">
        <f t="shared" si="84"/>
        <v>3.5769230769230766</v>
      </c>
      <c r="T292" s="93">
        <v>3</v>
      </c>
      <c r="U292" s="41">
        <f t="shared" si="88"/>
        <v>1.1923076923076923</v>
      </c>
      <c r="V292" s="43">
        <f t="shared" si="95"/>
        <v>3.5769230769230766</v>
      </c>
      <c r="W292" s="44">
        <f t="shared" si="91"/>
        <v>0</v>
      </c>
      <c r="X292" s="44">
        <f t="shared" si="89"/>
        <v>1.1923076923076923</v>
      </c>
      <c r="Y292" s="166">
        <f t="shared" si="96"/>
        <v>0</v>
      </c>
      <c r="AA292" s="131"/>
      <c r="AC292" s="191"/>
    </row>
    <row r="293" spans="1:29" x14ac:dyDescent="0.25">
      <c r="A293" s="205" t="s">
        <v>329</v>
      </c>
      <c r="B293" s="112" t="s">
        <v>79</v>
      </c>
      <c r="C293" s="113">
        <v>3</v>
      </c>
      <c r="D293" s="139">
        <v>3.5605136851114367</v>
      </c>
      <c r="E293" s="113">
        <f t="shared" si="90"/>
        <v>10.681541055334311</v>
      </c>
      <c r="F293" s="41"/>
      <c r="G293" s="41"/>
      <c r="H293" s="41">
        <f t="shared" si="85"/>
        <v>0</v>
      </c>
      <c r="I293" s="96">
        <f t="shared" si="82"/>
        <v>0</v>
      </c>
      <c r="J293" s="41"/>
      <c r="K293" s="41"/>
      <c r="L293" s="41"/>
      <c r="M293" s="96">
        <f t="shared" si="86"/>
        <v>0</v>
      </c>
      <c r="N293" s="102"/>
      <c r="O293" s="103"/>
      <c r="P293" s="104"/>
      <c r="Q293" s="42">
        <f t="shared" si="83"/>
        <v>3</v>
      </c>
      <c r="R293" s="42">
        <f t="shared" si="87"/>
        <v>3.5605136851114367</v>
      </c>
      <c r="S293" s="42">
        <f t="shared" si="84"/>
        <v>10.681541055334311</v>
      </c>
      <c r="T293" s="93">
        <v>0</v>
      </c>
      <c r="U293" s="41">
        <f t="shared" si="88"/>
        <v>3.5605136851114367</v>
      </c>
      <c r="V293" s="43">
        <f t="shared" si="95"/>
        <v>0</v>
      </c>
      <c r="W293" s="44">
        <f t="shared" si="91"/>
        <v>3</v>
      </c>
      <c r="X293" s="44">
        <f t="shared" si="89"/>
        <v>3.5605136851114367</v>
      </c>
      <c r="Y293" s="166">
        <f t="shared" si="96"/>
        <v>10.681541055334311</v>
      </c>
      <c r="AA293" s="131"/>
      <c r="AC293" s="191"/>
    </row>
    <row r="294" spans="1:29" x14ac:dyDescent="0.25">
      <c r="A294" s="205" t="s">
        <v>330</v>
      </c>
      <c r="B294" s="112" t="s">
        <v>79</v>
      </c>
      <c r="C294" s="113">
        <v>0</v>
      </c>
      <c r="D294" s="139" t="s">
        <v>248</v>
      </c>
      <c r="E294" s="113">
        <f t="shared" si="90"/>
        <v>0</v>
      </c>
      <c r="F294" s="41"/>
      <c r="G294" s="41"/>
      <c r="H294" s="41">
        <f t="shared" si="85"/>
        <v>0</v>
      </c>
      <c r="I294" s="96">
        <f t="shared" si="82"/>
        <v>0</v>
      </c>
      <c r="J294" s="41"/>
      <c r="K294" s="41"/>
      <c r="L294" s="41"/>
      <c r="M294" s="96">
        <f t="shared" si="86"/>
        <v>0</v>
      </c>
      <c r="N294" s="102"/>
      <c r="O294" s="103"/>
      <c r="P294" s="104"/>
      <c r="Q294" s="42">
        <f t="shared" si="83"/>
        <v>0</v>
      </c>
      <c r="R294" s="42" t="str">
        <f t="shared" si="87"/>
        <v>0.00</v>
      </c>
      <c r="S294" s="42">
        <f t="shared" si="84"/>
        <v>0</v>
      </c>
      <c r="T294" s="93">
        <v>0</v>
      </c>
      <c r="U294" s="41" t="str">
        <f t="shared" si="88"/>
        <v>0.00</v>
      </c>
      <c r="V294" s="43">
        <f t="shared" si="95"/>
        <v>0</v>
      </c>
      <c r="W294" s="44">
        <f t="shared" si="91"/>
        <v>0</v>
      </c>
      <c r="X294" s="44" t="str">
        <f t="shared" si="89"/>
        <v>0.00</v>
      </c>
      <c r="Y294" s="166">
        <f t="shared" si="96"/>
        <v>0</v>
      </c>
      <c r="AA294" s="131"/>
      <c r="AC294" s="191"/>
    </row>
    <row r="295" spans="1:29" x14ac:dyDescent="0.25">
      <c r="A295" s="205" t="s">
        <v>284</v>
      </c>
      <c r="B295" s="112" t="s">
        <v>72</v>
      </c>
      <c r="C295" s="113">
        <v>8</v>
      </c>
      <c r="D295" s="139">
        <v>0.7</v>
      </c>
      <c r="E295" s="113">
        <f t="shared" si="90"/>
        <v>5.6</v>
      </c>
      <c r="F295" s="41"/>
      <c r="G295" s="41"/>
      <c r="H295" s="41">
        <f t="shared" si="85"/>
        <v>0</v>
      </c>
      <c r="I295" s="96">
        <f t="shared" si="82"/>
        <v>0</v>
      </c>
      <c r="J295" s="41"/>
      <c r="K295" s="41"/>
      <c r="L295" s="41"/>
      <c r="M295" s="96">
        <f t="shared" si="86"/>
        <v>0</v>
      </c>
      <c r="N295" s="102"/>
      <c r="O295" s="103"/>
      <c r="P295" s="104"/>
      <c r="Q295" s="42">
        <f t="shared" si="83"/>
        <v>8</v>
      </c>
      <c r="R295" s="42">
        <f t="shared" si="87"/>
        <v>0.7</v>
      </c>
      <c r="S295" s="42">
        <f t="shared" si="84"/>
        <v>5.6</v>
      </c>
      <c r="T295" s="93">
        <v>4</v>
      </c>
      <c r="U295" s="41">
        <f t="shared" si="88"/>
        <v>0.7</v>
      </c>
      <c r="V295" s="43">
        <f t="shared" si="95"/>
        <v>2.8</v>
      </c>
      <c r="W295" s="44">
        <f t="shared" si="91"/>
        <v>4</v>
      </c>
      <c r="X295" s="44">
        <f t="shared" si="89"/>
        <v>0.7</v>
      </c>
      <c r="Y295" s="166">
        <f t="shared" si="96"/>
        <v>2.8</v>
      </c>
      <c r="AA295" s="131"/>
      <c r="AC295" s="191"/>
    </row>
    <row r="296" spans="1:29" x14ac:dyDescent="0.25">
      <c r="A296" s="205" t="s">
        <v>332</v>
      </c>
      <c r="B296" s="112" t="s">
        <v>70</v>
      </c>
      <c r="C296" s="113">
        <v>0</v>
      </c>
      <c r="D296" s="139" t="s">
        <v>248</v>
      </c>
      <c r="E296" s="113">
        <f t="shared" si="90"/>
        <v>0</v>
      </c>
      <c r="F296" s="41"/>
      <c r="G296" s="41"/>
      <c r="H296" s="41">
        <f t="shared" si="85"/>
        <v>0</v>
      </c>
      <c r="I296" s="96">
        <f t="shared" si="82"/>
        <v>0</v>
      </c>
      <c r="J296" s="41"/>
      <c r="K296" s="41"/>
      <c r="L296" s="41"/>
      <c r="M296" s="96">
        <f t="shared" si="86"/>
        <v>0</v>
      </c>
      <c r="N296" s="102"/>
      <c r="O296" s="103"/>
      <c r="P296" s="104"/>
      <c r="Q296" s="42">
        <f t="shared" si="83"/>
        <v>0</v>
      </c>
      <c r="R296" s="42" t="str">
        <f t="shared" si="87"/>
        <v>0.00</v>
      </c>
      <c r="S296" s="42">
        <f t="shared" si="84"/>
        <v>0</v>
      </c>
      <c r="T296" s="93">
        <v>0</v>
      </c>
      <c r="U296" s="41" t="str">
        <f t="shared" si="88"/>
        <v>0.00</v>
      </c>
      <c r="V296" s="43">
        <f t="shared" si="95"/>
        <v>0</v>
      </c>
      <c r="W296" s="44">
        <f t="shared" si="91"/>
        <v>0</v>
      </c>
      <c r="X296" s="44" t="str">
        <f t="shared" si="89"/>
        <v>0.00</v>
      </c>
      <c r="Y296" s="166">
        <f t="shared" si="96"/>
        <v>0</v>
      </c>
      <c r="AA296" s="131"/>
      <c r="AC296" s="191"/>
    </row>
    <row r="297" spans="1:29" x14ac:dyDescent="0.25">
      <c r="A297" s="205" t="s">
        <v>377</v>
      </c>
      <c r="B297" s="112" t="s">
        <v>79</v>
      </c>
      <c r="C297" s="113">
        <v>2</v>
      </c>
      <c r="D297" s="139">
        <v>13.959890017939751</v>
      </c>
      <c r="E297" s="113">
        <f t="shared" si="90"/>
        <v>27.919780035879501</v>
      </c>
      <c r="F297" s="41"/>
      <c r="G297" s="41"/>
      <c r="H297" s="41">
        <f t="shared" si="85"/>
        <v>0</v>
      </c>
      <c r="I297" s="96">
        <f t="shared" si="82"/>
        <v>0</v>
      </c>
      <c r="J297" s="41"/>
      <c r="K297" s="41"/>
      <c r="L297" s="41"/>
      <c r="M297" s="96">
        <f t="shared" si="86"/>
        <v>0</v>
      </c>
      <c r="N297" s="102"/>
      <c r="O297" s="103"/>
      <c r="P297" s="104"/>
      <c r="Q297" s="42">
        <f t="shared" si="83"/>
        <v>2</v>
      </c>
      <c r="R297" s="42">
        <f t="shared" si="87"/>
        <v>13.959890017939751</v>
      </c>
      <c r="S297" s="42">
        <f t="shared" si="84"/>
        <v>27.919780035879501</v>
      </c>
      <c r="T297" s="93">
        <v>2</v>
      </c>
      <c r="U297" s="41">
        <f t="shared" si="88"/>
        <v>13.959890017939751</v>
      </c>
      <c r="V297" s="43">
        <f t="shared" si="95"/>
        <v>27.919780035879501</v>
      </c>
      <c r="W297" s="44">
        <f t="shared" si="91"/>
        <v>0</v>
      </c>
      <c r="X297" s="44">
        <f t="shared" si="89"/>
        <v>13.959890017939751</v>
      </c>
      <c r="Y297" s="166">
        <f t="shared" si="96"/>
        <v>0</v>
      </c>
      <c r="AA297" s="131"/>
      <c r="AC297" s="191"/>
    </row>
    <row r="298" spans="1:29" ht="24.75" customHeight="1" x14ac:dyDescent="0.25">
      <c r="A298" s="206" t="s">
        <v>374</v>
      </c>
      <c r="B298" s="112" t="s">
        <v>73</v>
      </c>
      <c r="C298" s="113">
        <v>10</v>
      </c>
      <c r="D298" s="113">
        <v>7.2307692307692308</v>
      </c>
      <c r="E298" s="113">
        <f t="shared" si="90"/>
        <v>72.307692307692307</v>
      </c>
      <c r="F298" s="41"/>
      <c r="G298" s="41"/>
      <c r="H298" s="41">
        <f t="shared" si="85"/>
        <v>0</v>
      </c>
      <c r="I298" s="96">
        <f t="shared" si="82"/>
        <v>0</v>
      </c>
      <c r="J298" s="41"/>
      <c r="K298" s="41"/>
      <c r="L298" s="41"/>
      <c r="M298" s="96">
        <f t="shared" si="86"/>
        <v>0</v>
      </c>
      <c r="N298" s="102"/>
      <c r="O298" s="103"/>
      <c r="P298" s="104"/>
      <c r="Q298" s="42">
        <f t="shared" si="83"/>
        <v>10</v>
      </c>
      <c r="R298" s="42">
        <f t="shared" si="87"/>
        <v>7.2307692307692308</v>
      </c>
      <c r="S298" s="42">
        <f t="shared" si="84"/>
        <v>72.307692307692307</v>
      </c>
      <c r="T298" s="93">
        <v>5</v>
      </c>
      <c r="U298" s="41">
        <f t="shared" si="88"/>
        <v>7.2307692307692308</v>
      </c>
      <c r="V298" s="43">
        <f t="shared" si="95"/>
        <v>36.153846153846153</v>
      </c>
      <c r="W298" s="44">
        <f t="shared" si="91"/>
        <v>5</v>
      </c>
      <c r="X298" s="44">
        <f t="shared" si="89"/>
        <v>7.2307692307692308</v>
      </c>
      <c r="Y298" s="166">
        <f t="shared" si="96"/>
        <v>36.153846153846153</v>
      </c>
      <c r="AA298" s="131"/>
      <c r="AC298" s="191"/>
    </row>
    <row r="299" spans="1:29" x14ac:dyDescent="0.25">
      <c r="A299" s="205" t="s">
        <v>343</v>
      </c>
      <c r="B299" s="112" t="s">
        <v>70</v>
      </c>
      <c r="C299" s="113">
        <v>10</v>
      </c>
      <c r="D299" s="139">
        <v>2.0069627534443382</v>
      </c>
      <c r="E299" s="113">
        <f t="shared" si="90"/>
        <v>20.069627534443381</v>
      </c>
      <c r="F299" s="41"/>
      <c r="G299" s="41"/>
      <c r="H299" s="41">
        <f t="shared" si="85"/>
        <v>0</v>
      </c>
      <c r="I299" s="96">
        <f t="shared" si="82"/>
        <v>0</v>
      </c>
      <c r="J299" s="41"/>
      <c r="K299" s="41"/>
      <c r="L299" s="41"/>
      <c r="M299" s="96">
        <f t="shared" si="86"/>
        <v>0</v>
      </c>
      <c r="N299" s="102"/>
      <c r="O299" s="103"/>
      <c r="P299" s="104"/>
      <c r="Q299" s="42">
        <f t="shared" si="83"/>
        <v>10</v>
      </c>
      <c r="R299" s="42">
        <f t="shared" si="87"/>
        <v>2.0069627534443382</v>
      </c>
      <c r="S299" s="42">
        <f t="shared" si="84"/>
        <v>20.069627534443381</v>
      </c>
      <c r="T299" s="93">
        <v>5</v>
      </c>
      <c r="U299" s="41">
        <f t="shared" si="88"/>
        <v>2.0069627534443382</v>
      </c>
      <c r="V299" s="43">
        <f t="shared" si="95"/>
        <v>10.03481376722169</v>
      </c>
      <c r="W299" s="44">
        <f t="shared" si="91"/>
        <v>5</v>
      </c>
      <c r="X299" s="44">
        <f t="shared" si="89"/>
        <v>2.0069627534443382</v>
      </c>
      <c r="Y299" s="166">
        <f t="shared" si="96"/>
        <v>10.03481376722169</v>
      </c>
      <c r="AA299" s="131"/>
      <c r="AC299" s="191"/>
    </row>
    <row r="300" spans="1:29" x14ac:dyDescent="0.25">
      <c r="A300" s="205" t="s">
        <v>275</v>
      </c>
      <c r="B300" s="112" t="s">
        <v>79</v>
      </c>
      <c r="C300" s="113">
        <v>10</v>
      </c>
      <c r="D300" s="139">
        <v>0.95679540082071479</v>
      </c>
      <c r="E300" s="113">
        <f t="shared" si="90"/>
        <v>9.5679540082071473</v>
      </c>
      <c r="F300" s="41"/>
      <c r="G300" s="41"/>
      <c r="H300" s="41">
        <f t="shared" si="85"/>
        <v>0</v>
      </c>
      <c r="I300" s="96">
        <f t="shared" si="82"/>
        <v>0</v>
      </c>
      <c r="J300" s="41"/>
      <c r="K300" s="41"/>
      <c r="L300" s="41"/>
      <c r="M300" s="96">
        <f t="shared" si="86"/>
        <v>0</v>
      </c>
      <c r="N300" s="102"/>
      <c r="O300" s="103"/>
      <c r="P300" s="104"/>
      <c r="Q300" s="42">
        <f t="shared" si="83"/>
        <v>10</v>
      </c>
      <c r="R300" s="42">
        <f t="shared" si="87"/>
        <v>0.95679540082071468</v>
      </c>
      <c r="S300" s="42">
        <f t="shared" si="84"/>
        <v>9.5679540082071473</v>
      </c>
      <c r="T300" s="93">
        <v>6</v>
      </c>
      <c r="U300" s="41">
        <f t="shared" si="88"/>
        <v>0.95679540082071468</v>
      </c>
      <c r="V300" s="43">
        <f t="shared" ref="V300:V305" si="97">T300*U300</f>
        <v>5.7407724049242876</v>
      </c>
      <c r="W300" s="44">
        <f t="shared" si="91"/>
        <v>4</v>
      </c>
      <c r="X300" s="44">
        <f t="shared" si="89"/>
        <v>0.95679540082071468</v>
      </c>
      <c r="Y300" s="166">
        <f t="shared" ref="Y300:Y305" si="98">W300*X300</f>
        <v>3.8271816032828587</v>
      </c>
      <c r="AA300" s="131"/>
      <c r="AC300" s="191"/>
    </row>
    <row r="301" spans="1:29" x14ac:dyDescent="0.25">
      <c r="A301" s="205" t="s">
        <v>358</v>
      </c>
      <c r="B301" s="112" t="s">
        <v>79</v>
      </c>
      <c r="C301" s="113">
        <v>0</v>
      </c>
      <c r="D301" s="139" t="s">
        <v>248</v>
      </c>
      <c r="E301" s="113">
        <f t="shared" si="90"/>
        <v>0</v>
      </c>
      <c r="F301" s="41"/>
      <c r="G301" s="41"/>
      <c r="H301" s="41">
        <f t="shared" si="85"/>
        <v>0</v>
      </c>
      <c r="I301" s="96">
        <f t="shared" si="82"/>
        <v>0</v>
      </c>
      <c r="J301" s="41"/>
      <c r="K301" s="41"/>
      <c r="L301" s="41"/>
      <c r="M301" s="96">
        <f t="shared" si="86"/>
        <v>0</v>
      </c>
      <c r="N301" s="102"/>
      <c r="O301" s="103"/>
      <c r="P301" s="104"/>
      <c r="Q301" s="42">
        <f t="shared" si="83"/>
        <v>0</v>
      </c>
      <c r="R301" s="42" t="str">
        <f t="shared" si="87"/>
        <v>0.00</v>
      </c>
      <c r="S301" s="42">
        <f t="shared" si="84"/>
        <v>0</v>
      </c>
      <c r="T301" s="93">
        <v>0</v>
      </c>
      <c r="U301" s="41" t="str">
        <f t="shared" si="88"/>
        <v>0.00</v>
      </c>
      <c r="V301" s="43">
        <f t="shared" si="97"/>
        <v>0</v>
      </c>
      <c r="W301" s="44">
        <f t="shared" si="91"/>
        <v>0</v>
      </c>
      <c r="X301" s="44" t="str">
        <f t="shared" si="89"/>
        <v>0.00</v>
      </c>
      <c r="Y301" s="166">
        <f t="shared" si="98"/>
        <v>0</v>
      </c>
      <c r="AA301" s="131"/>
      <c r="AC301" s="191"/>
    </row>
    <row r="302" spans="1:29" x14ac:dyDescent="0.25">
      <c r="A302" s="205" t="s">
        <v>276</v>
      </c>
      <c r="B302" s="112" t="s">
        <v>72</v>
      </c>
      <c r="C302" s="113">
        <v>30</v>
      </c>
      <c r="D302" s="139">
        <v>1.9642791609794632</v>
      </c>
      <c r="E302" s="113">
        <f t="shared" si="90"/>
        <v>58.928374829383898</v>
      </c>
      <c r="F302" s="41"/>
      <c r="G302" s="41"/>
      <c r="H302" s="41">
        <f t="shared" si="85"/>
        <v>0</v>
      </c>
      <c r="I302" s="96">
        <f t="shared" si="82"/>
        <v>0</v>
      </c>
      <c r="J302" s="41"/>
      <c r="K302" s="41"/>
      <c r="L302" s="41"/>
      <c r="M302" s="96">
        <f t="shared" si="86"/>
        <v>0</v>
      </c>
      <c r="N302" s="102"/>
      <c r="O302" s="103"/>
      <c r="P302" s="104"/>
      <c r="Q302" s="42">
        <f t="shared" si="83"/>
        <v>30</v>
      </c>
      <c r="R302" s="42">
        <f t="shared" si="87"/>
        <v>1.9642791609794632</v>
      </c>
      <c r="S302" s="42">
        <f t="shared" si="84"/>
        <v>58.928374829383898</v>
      </c>
      <c r="T302" s="93">
        <v>20</v>
      </c>
      <c r="U302" s="41">
        <f t="shared" si="88"/>
        <v>1.9642791609794632</v>
      </c>
      <c r="V302" s="43">
        <f t="shared" si="97"/>
        <v>39.285583219589263</v>
      </c>
      <c r="W302" s="44">
        <f t="shared" si="91"/>
        <v>10</v>
      </c>
      <c r="X302" s="44">
        <f t="shared" si="89"/>
        <v>1.9642791609794632</v>
      </c>
      <c r="Y302" s="166">
        <f t="shared" si="98"/>
        <v>19.642791609794632</v>
      </c>
      <c r="AA302" s="131"/>
      <c r="AC302" s="191"/>
    </row>
    <row r="303" spans="1:29" x14ac:dyDescent="0.25">
      <c r="A303" s="205" t="s">
        <v>277</v>
      </c>
      <c r="B303" s="112" t="s">
        <v>75</v>
      </c>
      <c r="C303" s="113">
        <v>3</v>
      </c>
      <c r="D303" s="139">
        <v>9.0384615384615383</v>
      </c>
      <c r="E303" s="113">
        <f t="shared" si="90"/>
        <v>27.115384615384613</v>
      </c>
      <c r="F303" s="41"/>
      <c r="G303" s="41"/>
      <c r="H303" s="41">
        <f t="shared" si="85"/>
        <v>0</v>
      </c>
      <c r="I303" s="96">
        <f t="shared" si="82"/>
        <v>0</v>
      </c>
      <c r="J303" s="41"/>
      <c r="K303" s="41"/>
      <c r="L303" s="41"/>
      <c r="M303" s="96">
        <f t="shared" si="86"/>
        <v>0</v>
      </c>
      <c r="N303" s="102"/>
      <c r="O303" s="103"/>
      <c r="P303" s="104"/>
      <c r="Q303" s="42">
        <f t="shared" si="83"/>
        <v>3</v>
      </c>
      <c r="R303" s="42">
        <f t="shared" si="87"/>
        <v>9.0384615384615383</v>
      </c>
      <c r="S303" s="42">
        <f t="shared" si="84"/>
        <v>27.115384615384613</v>
      </c>
      <c r="T303" s="93">
        <v>1</v>
      </c>
      <c r="U303" s="41">
        <f t="shared" si="88"/>
        <v>9.0384615384615383</v>
      </c>
      <c r="V303" s="43">
        <f t="shared" si="97"/>
        <v>9.0384615384615383</v>
      </c>
      <c r="W303" s="44">
        <f t="shared" si="91"/>
        <v>2</v>
      </c>
      <c r="X303" s="44">
        <f t="shared" si="89"/>
        <v>9.0384615384615383</v>
      </c>
      <c r="Y303" s="166">
        <f t="shared" si="98"/>
        <v>18.076923076923077</v>
      </c>
      <c r="AA303" s="131"/>
      <c r="AC303" s="191"/>
    </row>
    <row r="304" spans="1:29" x14ac:dyDescent="0.25">
      <c r="A304" s="205" t="s">
        <v>278</v>
      </c>
      <c r="B304" s="112" t="s">
        <v>75</v>
      </c>
      <c r="C304" s="113">
        <v>1</v>
      </c>
      <c r="D304" s="139">
        <v>9.0384615384615383</v>
      </c>
      <c r="E304" s="113">
        <f t="shared" si="90"/>
        <v>9.0384615384615383</v>
      </c>
      <c r="F304" s="41"/>
      <c r="G304" s="41"/>
      <c r="H304" s="41">
        <f t="shared" si="85"/>
        <v>0</v>
      </c>
      <c r="I304" s="96">
        <f t="shared" si="82"/>
        <v>0</v>
      </c>
      <c r="J304" s="41"/>
      <c r="K304" s="41"/>
      <c r="L304" s="41"/>
      <c r="M304" s="96">
        <f t="shared" si="86"/>
        <v>0</v>
      </c>
      <c r="N304" s="102"/>
      <c r="O304" s="103"/>
      <c r="P304" s="104"/>
      <c r="Q304" s="42">
        <f t="shared" si="83"/>
        <v>1</v>
      </c>
      <c r="R304" s="42">
        <f t="shared" si="87"/>
        <v>9.0384615384615383</v>
      </c>
      <c r="S304" s="42">
        <f t="shared" si="84"/>
        <v>9.0384615384615383</v>
      </c>
      <c r="T304" s="93">
        <v>1</v>
      </c>
      <c r="U304" s="41">
        <f t="shared" si="88"/>
        <v>9.0384615384615383</v>
      </c>
      <c r="V304" s="43">
        <f t="shared" si="97"/>
        <v>9.0384615384615383</v>
      </c>
      <c r="W304" s="44">
        <f t="shared" si="91"/>
        <v>0</v>
      </c>
      <c r="X304" s="44">
        <f t="shared" si="89"/>
        <v>9.0384615384615383</v>
      </c>
      <c r="Y304" s="166">
        <f t="shared" si="98"/>
        <v>0</v>
      </c>
      <c r="AA304" s="131"/>
      <c r="AC304" s="191"/>
    </row>
    <row r="305" spans="1:29" x14ac:dyDescent="0.25">
      <c r="A305" s="205" t="s">
        <v>279</v>
      </c>
      <c r="B305" s="112" t="s">
        <v>75</v>
      </c>
      <c r="C305" s="113">
        <v>2</v>
      </c>
      <c r="D305" s="139">
        <v>9.7692307692307683</v>
      </c>
      <c r="E305" s="113">
        <f t="shared" si="90"/>
        <v>19.538461538461537</v>
      </c>
      <c r="F305" s="41"/>
      <c r="G305" s="41"/>
      <c r="H305" s="41">
        <f t="shared" si="85"/>
        <v>0</v>
      </c>
      <c r="I305" s="96">
        <f t="shared" si="82"/>
        <v>0</v>
      </c>
      <c r="J305" s="41"/>
      <c r="K305" s="41"/>
      <c r="L305" s="41"/>
      <c r="M305" s="96">
        <f t="shared" si="86"/>
        <v>0</v>
      </c>
      <c r="N305" s="102"/>
      <c r="O305" s="103"/>
      <c r="P305" s="104"/>
      <c r="Q305" s="42">
        <f t="shared" si="83"/>
        <v>2</v>
      </c>
      <c r="R305" s="42">
        <f t="shared" si="87"/>
        <v>9.7692307692307683</v>
      </c>
      <c r="S305" s="42">
        <f t="shared" si="84"/>
        <v>19.538461538461537</v>
      </c>
      <c r="T305" s="93">
        <v>1</v>
      </c>
      <c r="U305" s="41">
        <f t="shared" si="88"/>
        <v>9.7692307692307683</v>
      </c>
      <c r="V305" s="43">
        <f t="shared" si="97"/>
        <v>9.7692307692307683</v>
      </c>
      <c r="W305" s="44">
        <f t="shared" si="91"/>
        <v>1</v>
      </c>
      <c r="X305" s="44">
        <f t="shared" si="89"/>
        <v>9.7692307692307683</v>
      </c>
      <c r="Y305" s="166">
        <f t="shared" si="98"/>
        <v>9.7692307692307683</v>
      </c>
      <c r="AA305" s="131"/>
      <c r="AC305" s="191"/>
    </row>
    <row r="306" spans="1:29" s="107" customFormat="1" x14ac:dyDescent="0.25">
      <c r="A306" s="205" t="s">
        <v>393</v>
      </c>
      <c r="B306" s="112" t="s">
        <v>75</v>
      </c>
      <c r="C306" s="113">
        <v>0</v>
      </c>
      <c r="D306" s="139" t="s">
        <v>248</v>
      </c>
      <c r="E306" s="113">
        <f t="shared" si="90"/>
        <v>0</v>
      </c>
      <c r="F306" s="41"/>
      <c r="G306" s="41"/>
      <c r="H306" s="41">
        <f t="shared" si="85"/>
        <v>0</v>
      </c>
      <c r="I306" s="96">
        <f t="shared" si="82"/>
        <v>0</v>
      </c>
      <c r="J306" s="41"/>
      <c r="K306" s="41"/>
      <c r="L306" s="41"/>
      <c r="M306" s="96">
        <f t="shared" si="86"/>
        <v>0</v>
      </c>
      <c r="N306" s="155"/>
      <c r="O306" s="156"/>
      <c r="P306" s="157"/>
      <c r="Q306" s="42">
        <f t="shared" si="83"/>
        <v>0</v>
      </c>
      <c r="R306" s="42" t="str">
        <f t="shared" si="87"/>
        <v>0.00</v>
      </c>
      <c r="S306" s="42">
        <f t="shared" si="84"/>
        <v>0</v>
      </c>
      <c r="T306" s="93">
        <v>0</v>
      </c>
      <c r="U306" s="41" t="str">
        <f t="shared" si="88"/>
        <v>0.00</v>
      </c>
      <c r="V306" s="43">
        <f t="shared" ref="V306:V320" si="99">T306*U306</f>
        <v>0</v>
      </c>
      <c r="W306" s="44">
        <f t="shared" si="91"/>
        <v>0</v>
      </c>
      <c r="X306" s="44" t="str">
        <f t="shared" si="89"/>
        <v>0.00</v>
      </c>
      <c r="Y306" s="166">
        <f t="shared" ref="Y306:Y320" si="100">W306*X306</f>
        <v>0</v>
      </c>
      <c r="AA306" s="131"/>
      <c r="AB306" s="131"/>
      <c r="AC306" s="191"/>
    </row>
    <row r="307" spans="1:29" s="107" customFormat="1" x14ac:dyDescent="0.25">
      <c r="A307" s="205" t="s">
        <v>305</v>
      </c>
      <c r="B307" s="112" t="s">
        <v>75</v>
      </c>
      <c r="C307" s="113">
        <v>150</v>
      </c>
      <c r="D307" s="139">
        <v>2.8846153846153846</v>
      </c>
      <c r="E307" s="113">
        <f t="shared" ref="E307" si="101">C307*D307</f>
        <v>432.69230769230768</v>
      </c>
      <c r="F307" s="41"/>
      <c r="G307" s="41"/>
      <c r="H307" s="41">
        <f t="shared" si="85"/>
        <v>0</v>
      </c>
      <c r="I307" s="96">
        <f t="shared" si="82"/>
        <v>0</v>
      </c>
      <c r="J307" s="41"/>
      <c r="K307" s="41"/>
      <c r="L307" s="41"/>
      <c r="M307" s="96">
        <f t="shared" ref="M307" si="102">J307*L307</f>
        <v>0</v>
      </c>
      <c r="N307" s="155"/>
      <c r="O307" s="156"/>
      <c r="P307" s="157"/>
      <c r="Q307" s="42">
        <f t="shared" si="83"/>
        <v>150</v>
      </c>
      <c r="R307" s="42">
        <f t="shared" ref="R307" si="103">IF(Q307=0,"0.00",S307/Q307)</f>
        <v>2.8846153846153846</v>
      </c>
      <c r="S307" s="42">
        <f t="shared" si="84"/>
        <v>432.69230769230768</v>
      </c>
      <c r="T307" s="93">
        <v>100</v>
      </c>
      <c r="U307" s="41">
        <f t="shared" ref="U307" si="104">R307</f>
        <v>2.8846153846153846</v>
      </c>
      <c r="V307" s="43">
        <f t="shared" ref="V307" si="105">T307*U307</f>
        <v>288.46153846153845</v>
      </c>
      <c r="W307" s="44">
        <f t="shared" ref="W307" si="106">Q307-T307</f>
        <v>50</v>
      </c>
      <c r="X307" s="44">
        <f t="shared" ref="X307" si="107">R307</f>
        <v>2.8846153846153846</v>
      </c>
      <c r="Y307" s="166">
        <f t="shared" ref="Y307" si="108">W307*X307</f>
        <v>144.23076923076923</v>
      </c>
      <c r="AA307" s="131"/>
      <c r="AB307" s="131"/>
      <c r="AC307" s="191"/>
    </row>
    <row r="308" spans="1:29" x14ac:dyDescent="0.25">
      <c r="A308" s="205" t="s">
        <v>286</v>
      </c>
      <c r="B308" s="112" t="s">
        <v>82</v>
      </c>
      <c r="C308" s="113">
        <v>20</v>
      </c>
      <c r="D308" s="139">
        <v>2.7780865752246542</v>
      </c>
      <c r="E308" s="113">
        <f t="shared" si="90"/>
        <v>55.561731504493082</v>
      </c>
      <c r="F308" s="41"/>
      <c r="G308" s="41"/>
      <c r="H308" s="41">
        <f t="shared" si="85"/>
        <v>0</v>
      </c>
      <c r="I308" s="96">
        <f t="shared" si="82"/>
        <v>0</v>
      </c>
      <c r="J308" s="41"/>
      <c r="K308" s="41"/>
      <c r="L308" s="41"/>
      <c r="M308" s="96">
        <f t="shared" si="86"/>
        <v>0</v>
      </c>
      <c r="N308" s="102"/>
      <c r="O308" s="103"/>
      <c r="P308" s="104"/>
      <c r="Q308" s="42">
        <f t="shared" si="83"/>
        <v>20</v>
      </c>
      <c r="R308" s="42">
        <f t="shared" si="87"/>
        <v>2.7780865752246542</v>
      </c>
      <c r="S308" s="42">
        <f t="shared" si="84"/>
        <v>55.561731504493082</v>
      </c>
      <c r="T308" s="93">
        <v>15</v>
      </c>
      <c r="U308" s="41">
        <f t="shared" si="88"/>
        <v>2.7780865752246542</v>
      </c>
      <c r="V308" s="43">
        <f t="shared" si="99"/>
        <v>41.671298628369811</v>
      </c>
      <c r="W308" s="44">
        <f t="shared" si="91"/>
        <v>5</v>
      </c>
      <c r="X308" s="44">
        <f t="shared" si="89"/>
        <v>2.7780865752246542</v>
      </c>
      <c r="Y308" s="166">
        <f t="shared" si="100"/>
        <v>13.89043287612327</v>
      </c>
      <c r="AA308" s="131"/>
      <c r="AC308" s="191"/>
    </row>
    <row r="309" spans="1:29" x14ac:dyDescent="0.25">
      <c r="A309" s="205" t="s">
        <v>287</v>
      </c>
      <c r="B309" s="112" t="s">
        <v>79</v>
      </c>
      <c r="C309" s="113">
        <v>19</v>
      </c>
      <c r="D309" s="139">
        <v>1.8566445645763556</v>
      </c>
      <c r="E309" s="113">
        <f t="shared" si="90"/>
        <v>35.27624672695076</v>
      </c>
      <c r="F309" s="41"/>
      <c r="G309" s="41"/>
      <c r="H309" s="41">
        <f t="shared" si="85"/>
        <v>0</v>
      </c>
      <c r="I309" s="96">
        <f t="shared" si="82"/>
        <v>0</v>
      </c>
      <c r="J309" s="41"/>
      <c r="K309" s="41"/>
      <c r="L309" s="41"/>
      <c r="M309" s="96">
        <f t="shared" si="86"/>
        <v>0</v>
      </c>
      <c r="N309" s="102"/>
      <c r="O309" s="103"/>
      <c r="P309" s="104"/>
      <c r="Q309" s="42">
        <f t="shared" si="83"/>
        <v>19</v>
      </c>
      <c r="R309" s="42">
        <f t="shared" si="87"/>
        <v>1.8566445645763558</v>
      </c>
      <c r="S309" s="42">
        <f t="shared" si="84"/>
        <v>35.27624672695076</v>
      </c>
      <c r="T309" s="93">
        <v>12</v>
      </c>
      <c r="U309" s="41">
        <f t="shared" si="88"/>
        <v>1.8566445645763558</v>
      </c>
      <c r="V309" s="43">
        <f t="shared" si="99"/>
        <v>22.279734774916271</v>
      </c>
      <c r="W309" s="44">
        <f t="shared" si="91"/>
        <v>7</v>
      </c>
      <c r="X309" s="44">
        <f t="shared" si="89"/>
        <v>1.8566445645763558</v>
      </c>
      <c r="Y309" s="166">
        <f t="shared" si="100"/>
        <v>12.99651195203449</v>
      </c>
      <c r="AA309" s="131"/>
      <c r="AC309" s="191"/>
    </row>
    <row r="310" spans="1:29" x14ac:dyDescent="0.25">
      <c r="A310" s="205" t="s">
        <v>288</v>
      </c>
      <c r="B310" s="112" t="s">
        <v>79</v>
      </c>
      <c r="C310" s="113">
        <v>20</v>
      </c>
      <c r="D310" s="139">
        <v>1.6230769230769231</v>
      </c>
      <c r="E310" s="113">
        <f t="shared" si="90"/>
        <v>32.46153846153846</v>
      </c>
      <c r="F310" s="41"/>
      <c r="G310" s="41"/>
      <c r="H310" s="41">
        <f t="shared" si="85"/>
        <v>0</v>
      </c>
      <c r="I310" s="96">
        <f t="shared" si="82"/>
        <v>0</v>
      </c>
      <c r="J310" s="41"/>
      <c r="K310" s="41"/>
      <c r="L310" s="41"/>
      <c r="M310" s="96">
        <f t="shared" si="86"/>
        <v>0</v>
      </c>
      <c r="N310" s="102"/>
      <c r="O310" s="103"/>
      <c r="P310" s="104"/>
      <c r="Q310" s="42">
        <f t="shared" si="83"/>
        <v>20</v>
      </c>
      <c r="R310" s="42">
        <f t="shared" si="87"/>
        <v>1.6230769230769231</v>
      </c>
      <c r="S310" s="42">
        <f t="shared" si="84"/>
        <v>32.46153846153846</v>
      </c>
      <c r="T310" s="93">
        <v>12</v>
      </c>
      <c r="U310" s="41">
        <f t="shared" si="88"/>
        <v>1.6230769230769231</v>
      </c>
      <c r="V310" s="43">
        <f t="shared" si="99"/>
        <v>19.476923076923079</v>
      </c>
      <c r="W310" s="44">
        <f t="shared" si="91"/>
        <v>8</v>
      </c>
      <c r="X310" s="44">
        <f t="shared" si="89"/>
        <v>1.6230769230769231</v>
      </c>
      <c r="Y310" s="166">
        <f t="shared" si="100"/>
        <v>12.984615384615385</v>
      </c>
      <c r="AA310" s="131"/>
      <c r="AC310" s="191"/>
    </row>
    <row r="311" spans="1:29" x14ac:dyDescent="0.25">
      <c r="A311" s="205" t="s">
        <v>295</v>
      </c>
      <c r="B311" s="112" t="s">
        <v>79</v>
      </c>
      <c r="C311" s="113">
        <v>15</v>
      </c>
      <c r="D311" s="139">
        <v>1.5087232517482518</v>
      </c>
      <c r="E311" s="113">
        <f t="shared" si="90"/>
        <v>22.630848776223779</v>
      </c>
      <c r="F311" s="41"/>
      <c r="G311" s="41"/>
      <c r="H311" s="41">
        <f t="shared" si="85"/>
        <v>0</v>
      </c>
      <c r="I311" s="96">
        <f t="shared" si="82"/>
        <v>0</v>
      </c>
      <c r="J311" s="41"/>
      <c r="K311" s="41"/>
      <c r="L311" s="41"/>
      <c r="M311" s="96">
        <f t="shared" si="86"/>
        <v>0</v>
      </c>
      <c r="N311" s="102"/>
      <c r="O311" s="103"/>
      <c r="P311" s="104"/>
      <c r="Q311" s="42">
        <f t="shared" si="83"/>
        <v>15</v>
      </c>
      <c r="R311" s="42">
        <f t="shared" si="87"/>
        <v>1.5087232517482518</v>
      </c>
      <c r="S311" s="42">
        <f t="shared" si="84"/>
        <v>22.630848776223779</v>
      </c>
      <c r="T311" s="93">
        <v>12</v>
      </c>
      <c r="U311" s="41">
        <f t="shared" si="88"/>
        <v>1.5087232517482518</v>
      </c>
      <c r="V311" s="43">
        <f t="shared" si="99"/>
        <v>18.10467902097902</v>
      </c>
      <c r="W311" s="44">
        <f t="shared" si="91"/>
        <v>3</v>
      </c>
      <c r="X311" s="44">
        <f t="shared" si="89"/>
        <v>1.5087232517482518</v>
      </c>
      <c r="Y311" s="166">
        <f t="shared" si="100"/>
        <v>4.5261697552447551</v>
      </c>
      <c r="AA311" s="131"/>
      <c r="AC311" s="191"/>
    </row>
    <row r="312" spans="1:29" x14ac:dyDescent="0.25">
      <c r="A312" s="205" t="s">
        <v>401</v>
      </c>
      <c r="B312" s="112" t="s">
        <v>79</v>
      </c>
      <c r="C312" s="113">
        <v>20</v>
      </c>
      <c r="D312" s="139">
        <v>2.135844048762169</v>
      </c>
      <c r="E312" s="113">
        <f t="shared" si="90"/>
        <v>42.716880975243384</v>
      </c>
      <c r="F312" s="41"/>
      <c r="G312" s="41"/>
      <c r="H312" s="41">
        <f t="shared" si="85"/>
        <v>0</v>
      </c>
      <c r="I312" s="96">
        <f t="shared" si="82"/>
        <v>0</v>
      </c>
      <c r="J312" s="41"/>
      <c r="K312" s="41"/>
      <c r="L312" s="41"/>
      <c r="M312" s="96">
        <f t="shared" si="86"/>
        <v>0</v>
      </c>
      <c r="N312" s="102"/>
      <c r="O312" s="103"/>
      <c r="P312" s="104"/>
      <c r="Q312" s="42">
        <f t="shared" si="83"/>
        <v>20</v>
      </c>
      <c r="R312" s="42">
        <f t="shared" si="87"/>
        <v>2.135844048762169</v>
      </c>
      <c r="S312" s="42">
        <f t="shared" si="84"/>
        <v>42.716880975243384</v>
      </c>
      <c r="T312" s="93">
        <v>7</v>
      </c>
      <c r="U312" s="41">
        <f t="shared" si="88"/>
        <v>2.135844048762169</v>
      </c>
      <c r="V312" s="43">
        <f t="shared" si="99"/>
        <v>14.950908341335182</v>
      </c>
      <c r="W312" s="44">
        <f t="shared" si="91"/>
        <v>13</v>
      </c>
      <c r="X312" s="44">
        <f t="shared" si="89"/>
        <v>2.135844048762169</v>
      </c>
      <c r="Y312" s="166">
        <f t="shared" si="100"/>
        <v>27.765972633908198</v>
      </c>
      <c r="AA312" s="131"/>
      <c r="AC312" s="191"/>
    </row>
    <row r="313" spans="1:29" x14ac:dyDescent="0.25">
      <c r="A313" s="205" t="s">
        <v>311</v>
      </c>
      <c r="B313" s="112" t="s">
        <v>79</v>
      </c>
      <c r="C313" s="113">
        <v>4</v>
      </c>
      <c r="D313" s="139">
        <v>2.1310999999999996</v>
      </c>
      <c r="E313" s="113">
        <f t="shared" ref="E313" si="109">C313*D313</f>
        <v>8.5243999999999982</v>
      </c>
      <c r="F313" s="41"/>
      <c r="G313" s="41"/>
      <c r="H313" s="41">
        <f t="shared" si="85"/>
        <v>0</v>
      </c>
      <c r="I313" s="96">
        <f t="shared" si="82"/>
        <v>0</v>
      </c>
      <c r="J313" s="41"/>
      <c r="K313" s="41"/>
      <c r="L313" s="41"/>
      <c r="M313" s="96">
        <f t="shared" si="86"/>
        <v>0</v>
      </c>
      <c r="N313" s="102"/>
      <c r="O313" s="103"/>
      <c r="P313" s="104"/>
      <c r="Q313" s="42">
        <f t="shared" si="83"/>
        <v>4</v>
      </c>
      <c r="R313" s="42">
        <f t="shared" ref="R313" si="110">IF(Q313=0,"0.00",S313/Q313)</f>
        <v>2.1310999999999996</v>
      </c>
      <c r="S313" s="42">
        <f t="shared" si="84"/>
        <v>8.5243999999999982</v>
      </c>
      <c r="T313" s="93">
        <v>4</v>
      </c>
      <c r="U313" s="41">
        <f t="shared" ref="U313" si="111">R313</f>
        <v>2.1310999999999996</v>
      </c>
      <c r="V313" s="43">
        <f t="shared" ref="V313" si="112">T313*U313</f>
        <v>8.5243999999999982</v>
      </c>
      <c r="W313" s="44">
        <f t="shared" ref="W313" si="113">Q313-T313</f>
        <v>0</v>
      </c>
      <c r="X313" s="44">
        <f t="shared" ref="X313" si="114">R313</f>
        <v>2.1310999999999996</v>
      </c>
      <c r="Y313" s="166">
        <f t="shared" ref="Y313" si="115">W313*X313</f>
        <v>0</v>
      </c>
      <c r="AA313" s="131"/>
      <c r="AC313" s="191"/>
    </row>
    <row r="314" spans="1:29" x14ac:dyDescent="0.25">
      <c r="A314" s="205" t="s">
        <v>312</v>
      </c>
      <c r="B314" s="112" t="s">
        <v>79</v>
      </c>
      <c r="C314" s="113">
        <v>5</v>
      </c>
      <c r="D314" s="139">
        <v>1.7716535433070866</v>
      </c>
      <c r="E314" s="113">
        <f t="shared" ref="E314:E315" si="116">C314*D314</f>
        <v>8.8582677165354333</v>
      </c>
      <c r="F314" s="41"/>
      <c r="G314" s="41"/>
      <c r="H314" s="41">
        <f t="shared" si="85"/>
        <v>0</v>
      </c>
      <c r="I314" s="96">
        <f t="shared" si="82"/>
        <v>0</v>
      </c>
      <c r="J314" s="41"/>
      <c r="K314" s="41"/>
      <c r="L314" s="41"/>
      <c r="M314" s="96">
        <f t="shared" si="86"/>
        <v>0</v>
      </c>
      <c r="N314" s="102"/>
      <c r="O314" s="103"/>
      <c r="P314" s="104"/>
      <c r="Q314" s="42">
        <f t="shared" si="83"/>
        <v>5</v>
      </c>
      <c r="R314" s="42">
        <f t="shared" ref="R314" si="117">IF(Q314=0,"0.00",S314/Q314)</f>
        <v>1.7716535433070866</v>
      </c>
      <c r="S314" s="42">
        <f t="shared" si="84"/>
        <v>8.8582677165354333</v>
      </c>
      <c r="T314" s="93">
        <v>3</v>
      </c>
      <c r="U314" s="41">
        <f t="shared" ref="U314" si="118">R314</f>
        <v>1.7716535433070866</v>
      </c>
      <c r="V314" s="43">
        <f t="shared" ref="V314" si="119">T314*U314</f>
        <v>5.3149606299212593</v>
      </c>
      <c r="W314" s="44">
        <f t="shared" ref="W314" si="120">Q314-T314</f>
        <v>2</v>
      </c>
      <c r="X314" s="44">
        <f t="shared" ref="X314" si="121">R314</f>
        <v>1.7716535433070866</v>
      </c>
      <c r="Y314" s="166">
        <f t="shared" ref="Y314" si="122">W314*X314</f>
        <v>3.5433070866141732</v>
      </c>
      <c r="AA314" s="131"/>
      <c r="AC314" s="191"/>
    </row>
    <row r="315" spans="1:29" x14ac:dyDescent="0.25">
      <c r="A315" s="205" t="s">
        <v>313</v>
      </c>
      <c r="B315" s="112" t="s">
        <v>79</v>
      </c>
      <c r="C315" s="113">
        <v>0</v>
      </c>
      <c r="D315" s="139" t="s">
        <v>248</v>
      </c>
      <c r="E315" s="113">
        <f t="shared" si="116"/>
        <v>0</v>
      </c>
      <c r="F315" s="41"/>
      <c r="G315" s="41"/>
      <c r="H315" s="41">
        <f t="shared" si="85"/>
        <v>0</v>
      </c>
      <c r="I315" s="96">
        <f t="shared" si="82"/>
        <v>0</v>
      </c>
      <c r="J315" s="41"/>
      <c r="K315" s="41"/>
      <c r="L315" s="41"/>
      <c r="M315" s="96">
        <f t="shared" si="86"/>
        <v>0</v>
      </c>
      <c r="N315" s="102"/>
      <c r="O315" s="103"/>
      <c r="P315" s="104"/>
      <c r="Q315" s="42">
        <f t="shared" si="83"/>
        <v>0</v>
      </c>
      <c r="R315" s="42" t="str">
        <f t="shared" ref="R315" si="123">IF(Q315=0,"0.00",S315/Q315)</f>
        <v>0.00</v>
      </c>
      <c r="S315" s="42">
        <f t="shared" si="84"/>
        <v>0</v>
      </c>
      <c r="T315" s="93">
        <v>0</v>
      </c>
      <c r="U315" s="41" t="str">
        <f t="shared" ref="U315" si="124">R315</f>
        <v>0.00</v>
      </c>
      <c r="V315" s="43">
        <f t="shared" ref="V315" si="125">T315*U315</f>
        <v>0</v>
      </c>
      <c r="W315" s="44">
        <f>Q315-T315</f>
        <v>0</v>
      </c>
      <c r="X315" s="44" t="str">
        <f t="shared" ref="X315" si="126">R315</f>
        <v>0.00</v>
      </c>
      <c r="Y315" s="166">
        <f t="shared" ref="Y315" si="127">W315*X315</f>
        <v>0</v>
      </c>
      <c r="AA315" s="131"/>
      <c r="AC315" s="191"/>
    </row>
    <row r="316" spans="1:29" x14ac:dyDescent="0.25">
      <c r="A316" s="205" t="s">
        <v>298</v>
      </c>
      <c r="B316" s="112" t="s">
        <v>72</v>
      </c>
      <c r="C316" s="113">
        <v>15</v>
      </c>
      <c r="D316" s="139">
        <v>1.4426965409453771</v>
      </c>
      <c r="E316" s="113">
        <f t="shared" si="90"/>
        <v>21.640448114180657</v>
      </c>
      <c r="F316" s="41"/>
      <c r="G316" s="41"/>
      <c r="H316" s="41">
        <f t="shared" si="85"/>
        <v>0</v>
      </c>
      <c r="I316" s="96">
        <f t="shared" si="82"/>
        <v>0</v>
      </c>
      <c r="J316" s="41"/>
      <c r="K316" s="41"/>
      <c r="L316" s="41"/>
      <c r="M316" s="96">
        <f t="shared" si="86"/>
        <v>0</v>
      </c>
      <c r="N316" s="102"/>
      <c r="O316" s="103"/>
      <c r="P316" s="104"/>
      <c r="Q316" s="42">
        <f t="shared" si="83"/>
        <v>15</v>
      </c>
      <c r="R316" s="42">
        <f t="shared" si="87"/>
        <v>1.4426965409453771</v>
      </c>
      <c r="S316" s="42">
        <f t="shared" si="84"/>
        <v>21.640448114180657</v>
      </c>
      <c r="T316" s="93">
        <v>15</v>
      </c>
      <c r="U316" s="41">
        <f t="shared" si="88"/>
        <v>1.4426965409453771</v>
      </c>
      <c r="V316" s="43">
        <f t="shared" si="99"/>
        <v>21.640448114180657</v>
      </c>
      <c r="W316" s="44">
        <f t="shared" si="91"/>
        <v>0</v>
      </c>
      <c r="X316" s="44">
        <f t="shared" si="89"/>
        <v>1.4426965409453771</v>
      </c>
      <c r="Y316" s="166">
        <f t="shared" si="100"/>
        <v>0</v>
      </c>
      <c r="AA316" s="131"/>
      <c r="AC316" s="191"/>
    </row>
    <row r="317" spans="1:29" x14ac:dyDescent="0.25">
      <c r="A317" s="205" t="s">
        <v>290</v>
      </c>
      <c r="B317" s="112" t="s">
        <v>73</v>
      </c>
      <c r="C317" s="113">
        <v>15</v>
      </c>
      <c r="D317" s="139">
        <v>1.3404130335780249</v>
      </c>
      <c r="E317" s="113">
        <f t="shared" si="90"/>
        <v>20.106195503670374</v>
      </c>
      <c r="F317" s="41"/>
      <c r="G317" s="41"/>
      <c r="H317" s="41">
        <f t="shared" si="85"/>
        <v>0</v>
      </c>
      <c r="I317" s="96">
        <f t="shared" si="82"/>
        <v>0</v>
      </c>
      <c r="J317" s="41"/>
      <c r="K317" s="41"/>
      <c r="L317" s="41"/>
      <c r="M317" s="96">
        <f t="shared" si="86"/>
        <v>0</v>
      </c>
      <c r="N317" s="102"/>
      <c r="O317" s="103"/>
      <c r="P317" s="104"/>
      <c r="Q317" s="42">
        <f t="shared" si="83"/>
        <v>15</v>
      </c>
      <c r="R317" s="42">
        <f t="shared" si="87"/>
        <v>1.3404130335780249</v>
      </c>
      <c r="S317" s="42">
        <f t="shared" si="84"/>
        <v>20.106195503670374</v>
      </c>
      <c r="T317" s="93">
        <v>10</v>
      </c>
      <c r="U317" s="41">
        <f t="shared" si="88"/>
        <v>1.3404130335780249</v>
      </c>
      <c r="V317" s="43">
        <f t="shared" si="99"/>
        <v>13.404130335780248</v>
      </c>
      <c r="W317" s="44">
        <f t="shared" si="91"/>
        <v>5</v>
      </c>
      <c r="X317" s="44">
        <f t="shared" si="89"/>
        <v>1.3404130335780249</v>
      </c>
      <c r="Y317" s="166">
        <f t="shared" si="100"/>
        <v>6.7020651678901242</v>
      </c>
      <c r="AA317" s="131"/>
      <c r="AC317" s="191"/>
    </row>
    <row r="318" spans="1:29" x14ac:dyDescent="0.25">
      <c r="A318" s="205" t="s">
        <v>351</v>
      </c>
      <c r="B318" s="112" t="s">
        <v>70</v>
      </c>
      <c r="C318" s="113">
        <v>5</v>
      </c>
      <c r="D318" s="139">
        <v>1.165101135329401</v>
      </c>
      <c r="E318" s="113">
        <f t="shared" si="90"/>
        <v>5.8255056766470048</v>
      </c>
      <c r="F318" s="41"/>
      <c r="G318" s="41"/>
      <c r="H318" s="41">
        <f t="shared" si="85"/>
        <v>0</v>
      </c>
      <c r="I318" s="96">
        <f t="shared" si="82"/>
        <v>0</v>
      </c>
      <c r="J318" s="41"/>
      <c r="K318" s="41"/>
      <c r="L318" s="41"/>
      <c r="M318" s="96">
        <f t="shared" si="86"/>
        <v>0</v>
      </c>
      <c r="N318" s="102"/>
      <c r="O318" s="103"/>
      <c r="P318" s="104"/>
      <c r="Q318" s="42">
        <f t="shared" si="83"/>
        <v>5</v>
      </c>
      <c r="R318" s="42">
        <f t="shared" si="87"/>
        <v>1.165101135329401</v>
      </c>
      <c r="S318" s="42">
        <f t="shared" si="84"/>
        <v>5.8255056766470048</v>
      </c>
      <c r="T318" s="93">
        <v>3</v>
      </c>
      <c r="U318" s="41">
        <f t="shared" si="88"/>
        <v>1.165101135329401</v>
      </c>
      <c r="V318" s="43">
        <f t="shared" si="99"/>
        <v>3.4953034059882029</v>
      </c>
      <c r="W318" s="44">
        <f t="shared" si="91"/>
        <v>2</v>
      </c>
      <c r="X318" s="44">
        <f t="shared" si="89"/>
        <v>1.165101135329401</v>
      </c>
      <c r="Y318" s="166">
        <f t="shared" si="100"/>
        <v>2.3302022706588019</v>
      </c>
      <c r="AA318" s="131"/>
      <c r="AC318" s="191"/>
    </row>
    <row r="319" spans="1:29" x14ac:dyDescent="0.25">
      <c r="A319" s="205" t="s">
        <v>384</v>
      </c>
      <c r="B319" s="112" t="s">
        <v>79</v>
      </c>
      <c r="C319" s="113">
        <v>45</v>
      </c>
      <c r="D319" s="139">
        <v>1.0130062319133184</v>
      </c>
      <c r="E319" s="113">
        <f t="shared" si="90"/>
        <v>45.585280436099325</v>
      </c>
      <c r="F319" s="41"/>
      <c r="G319" s="41"/>
      <c r="H319" s="41">
        <f t="shared" si="85"/>
        <v>0</v>
      </c>
      <c r="I319" s="96">
        <f t="shared" si="82"/>
        <v>0</v>
      </c>
      <c r="J319" s="41"/>
      <c r="K319" s="41"/>
      <c r="L319" s="41"/>
      <c r="M319" s="96">
        <f t="shared" si="86"/>
        <v>0</v>
      </c>
      <c r="N319" s="102"/>
      <c r="O319" s="103"/>
      <c r="P319" s="104"/>
      <c r="Q319" s="42">
        <f t="shared" si="83"/>
        <v>45</v>
      </c>
      <c r="R319" s="42">
        <f t="shared" si="87"/>
        <v>1.0130062319133184</v>
      </c>
      <c r="S319" s="42">
        <f t="shared" si="84"/>
        <v>45.585280436099325</v>
      </c>
      <c r="T319" s="93">
        <v>35</v>
      </c>
      <c r="U319" s="41">
        <f t="shared" si="88"/>
        <v>1.0130062319133184</v>
      </c>
      <c r="V319" s="43">
        <f t="shared" si="99"/>
        <v>35.455218116966144</v>
      </c>
      <c r="W319" s="44">
        <f t="shared" si="91"/>
        <v>10</v>
      </c>
      <c r="X319" s="44">
        <f t="shared" si="89"/>
        <v>1.0130062319133184</v>
      </c>
      <c r="Y319" s="166">
        <f t="shared" si="100"/>
        <v>10.130062319133184</v>
      </c>
      <c r="AA319" s="131"/>
      <c r="AC319" s="191"/>
    </row>
    <row r="320" spans="1:29" x14ac:dyDescent="0.25">
      <c r="A320" s="205" t="s">
        <v>293</v>
      </c>
      <c r="B320" s="112" t="s">
        <v>79</v>
      </c>
      <c r="C320" s="113">
        <v>2</v>
      </c>
      <c r="D320" s="139">
        <v>4.5159836462749849</v>
      </c>
      <c r="E320" s="113">
        <f t="shared" si="90"/>
        <v>9.0319672925499699</v>
      </c>
      <c r="F320" s="41"/>
      <c r="G320" s="41"/>
      <c r="H320" s="41">
        <f t="shared" si="85"/>
        <v>0</v>
      </c>
      <c r="I320" s="96">
        <f t="shared" si="82"/>
        <v>0</v>
      </c>
      <c r="J320" s="41"/>
      <c r="K320" s="41"/>
      <c r="L320" s="41"/>
      <c r="M320" s="96">
        <f t="shared" si="86"/>
        <v>0</v>
      </c>
      <c r="N320" s="102"/>
      <c r="O320" s="103"/>
      <c r="P320" s="104"/>
      <c r="Q320" s="42">
        <f t="shared" si="83"/>
        <v>2</v>
      </c>
      <c r="R320" s="42">
        <f t="shared" si="87"/>
        <v>4.5159836462749849</v>
      </c>
      <c r="S320" s="42">
        <f t="shared" si="84"/>
        <v>9.0319672925499699</v>
      </c>
      <c r="T320" s="93">
        <v>1</v>
      </c>
      <c r="U320" s="41">
        <f t="shared" si="88"/>
        <v>4.5159836462749849</v>
      </c>
      <c r="V320" s="43">
        <f t="shared" si="99"/>
        <v>4.5159836462749849</v>
      </c>
      <c r="W320" s="44">
        <f t="shared" si="91"/>
        <v>1</v>
      </c>
      <c r="X320" s="44">
        <f t="shared" si="89"/>
        <v>4.5159836462749849</v>
      </c>
      <c r="Y320" s="166">
        <f t="shared" si="100"/>
        <v>4.5159836462749849</v>
      </c>
      <c r="AA320" s="131"/>
      <c r="AC320" s="191"/>
    </row>
    <row r="321" spans="1:29" ht="13" x14ac:dyDescent="0.3">
      <c r="A321" s="207"/>
      <c r="B321" s="112"/>
      <c r="C321" s="114"/>
      <c r="D321" s="113"/>
      <c r="E321" s="113">
        <f>SUM(E8:E320)</f>
        <v>13303.124811850599</v>
      </c>
      <c r="F321" s="100"/>
      <c r="G321" s="100"/>
      <c r="H321" s="40"/>
      <c r="I321" s="40">
        <f>SUM(I8:I320)</f>
        <v>0</v>
      </c>
      <c r="J321" s="45"/>
      <c r="K321" s="45"/>
      <c r="L321" s="45">
        <f>SUM(L8:L320)</f>
        <v>0</v>
      </c>
      <c r="M321" s="40">
        <f>SUM(M8:M320)</f>
        <v>0</v>
      </c>
      <c r="N321" s="40"/>
      <c r="O321" s="45"/>
      <c r="P321" s="40" t="e">
        <f>SUM(#REF!)</f>
        <v>#REF!</v>
      </c>
      <c r="Q321" s="40"/>
      <c r="R321" s="40"/>
      <c r="S321" s="40">
        <f>SUM(S8:S320)</f>
        <v>13303.124811850599</v>
      </c>
      <c r="T321" s="100"/>
      <c r="U321" s="40">
        <f>SUM(U8:U320)</f>
        <v>822.42025526557211</v>
      </c>
      <c r="V321" s="40">
        <f>SUM(V8:V320)</f>
        <v>6082.0456234862186</v>
      </c>
      <c r="W321" s="40"/>
      <c r="X321" s="40">
        <f>SUM(X8:X320)</f>
        <v>822.42025526557211</v>
      </c>
      <c r="Y321" s="169">
        <f>SUM(Y8:Y320)</f>
        <v>7221.079188364386</v>
      </c>
      <c r="Z321" s="54"/>
      <c r="AA321" s="131"/>
      <c r="AC321" s="131"/>
    </row>
    <row r="322" spans="1:29" ht="13" x14ac:dyDescent="0.3">
      <c r="A322" s="174"/>
      <c r="B322" s="112"/>
      <c r="C322" s="114"/>
      <c r="D322" s="114"/>
      <c r="E322" s="113"/>
      <c r="F322" s="245" t="s">
        <v>31</v>
      </c>
      <c r="G322" s="245"/>
      <c r="H322" s="245"/>
      <c r="I322" s="245"/>
      <c r="J322" s="173">
        <f>I321+M321</f>
        <v>0</v>
      </c>
      <c r="K322" s="173"/>
      <c r="L322" s="173"/>
      <c r="M322" s="45"/>
      <c r="N322" s="45"/>
      <c r="O322" s="45"/>
      <c r="P322" s="45"/>
      <c r="Q322" s="40"/>
      <c r="R322" s="40"/>
      <c r="S322" s="40"/>
      <c r="T322" s="100"/>
      <c r="U322" s="40"/>
      <c r="V322" s="40"/>
      <c r="W322" s="40"/>
      <c r="X322" s="40"/>
      <c r="Y322" s="169"/>
    </row>
    <row r="323" spans="1:29" ht="13" thickBot="1" x14ac:dyDescent="0.3">
      <c r="A323" s="178"/>
      <c r="B323" s="170"/>
      <c r="C323" s="171"/>
      <c r="D323" s="171"/>
      <c r="E323" s="172"/>
      <c r="F323" s="97"/>
      <c r="G323" s="97"/>
      <c r="H323" s="97"/>
      <c r="I323" s="48"/>
      <c r="J323" s="48"/>
      <c r="K323" s="48"/>
      <c r="L323" s="48"/>
      <c r="M323" s="48"/>
      <c r="N323" s="48"/>
      <c r="O323" s="48"/>
      <c r="P323" s="48"/>
      <c r="Q323" s="49"/>
      <c r="R323" s="49"/>
      <c r="S323" s="49"/>
      <c r="T323" s="97"/>
      <c r="U323" s="49"/>
      <c r="V323" s="49"/>
      <c r="W323" s="49"/>
      <c r="X323" s="49"/>
      <c r="Y323" s="105"/>
    </row>
    <row r="324" spans="1:29" x14ac:dyDescent="0.25">
      <c r="F324" s="46"/>
      <c r="G324" s="46"/>
      <c r="H324" s="46"/>
    </row>
    <row r="325" spans="1:29" x14ac:dyDescent="0.25">
      <c r="D325" s="115"/>
      <c r="E325" s="115"/>
      <c r="F325" s="82"/>
      <c r="G325" s="82"/>
      <c r="H325" s="82"/>
      <c r="I325" s="82"/>
    </row>
    <row r="326" spans="1:29" x14ac:dyDescent="0.25">
      <c r="F326" s="46"/>
      <c r="G326" s="46"/>
      <c r="H326" s="46"/>
    </row>
    <row r="327" spans="1:29" x14ac:dyDescent="0.25">
      <c r="F327" s="46"/>
      <c r="G327" s="46"/>
      <c r="H327" s="46"/>
    </row>
    <row r="328" spans="1:29" x14ac:dyDescent="0.25">
      <c r="F328" s="46"/>
      <c r="G328" s="46"/>
      <c r="H328" s="46"/>
    </row>
    <row r="329" spans="1:29" x14ac:dyDescent="0.25">
      <c r="F329" s="46"/>
      <c r="G329" s="46"/>
      <c r="H329" s="46"/>
    </row>
    <row r="330" spans="1:29" x14ac:dyDescent="0.25">
      <c r="F330" s="46"/>
      <c r="G330" s="46"/>
      <c r="H330" s="46"/>
    </row>
    <row r="331" spans="1:29" x14ac:dyDescent="0.25">
      <c r="F331" s="46"/>
      <c r="G331" s="46"/>
      <c r="H331" s="46"/>
    </row>
    <row r="332" spans="1:29" x14ac:dyDescent="0.25">
      <c r="F332" s="46"/>
      <c r="G332" s="46"/>
      <c r="H332" s="46"/>
    </row>
    <row r="333" spans="1:29" x14ac:dyDescent="0.25">
      <c r="F333" s="46"/>
      <c r="G333" s="46"/>
      <c r="H333" s="46"/>
    </row>
    <row r="334" spans="1:29" x14ac:dyDescent="0.25">
      <c r="F334" s="46"/>
      <c r="G334" s="46"/>
      <c r="H334" s="46"/>
    </row>
    <row r="335" spans="1:29" x14ac:dyDescent="0.25">
      <c r="F335" s="46"/>
      <c r="G335" s="46"/>
      <c r="H335" s="46"/>
    </row>
    <row r="336" spans="1:29" x14ac:dyDescent="0.25">
      <c r="F336" s="46"/>
      <c r="G336" s="46"/>
      <c r="H336" s="46"/>
    </row>
    <row r="337" spans="6:8" x14ac:dyDescent="0.25">
      <c r="F337" s="46"/>
      <c r="G337" s="46"/>
      <c r="H337" s="46"/>
    </row>
    <row r="338" spans="6:8" x14ac:dyDescent="0.25">
      <c r="F338" s="46"/>
      <c r="G338" s="46"/>
      <c r="H338" s="46"/>
    </row>
    <row r="339" spans="6:8" x14ac:dyDescent="0.25">
      <c r="F339" s="46"/>
      <c r="G339" s="46"/>
      <c r="H339" s="46"/>
    </row>
    <row r="340" spans="6:8" x14ac:dyDescent="0.25">
      <c r="F340" s="46"/>
      <c r="G340" s="46"/>
      <c r="H340" s="46"/>
    </row>
    <row r="341" spans="6:8" x14ac:dyDescent="0.25">
      <c r="F341" s="46"/>
      <c r="G341" s="46"/>
      <c r="H341" s="46"/>
    </row>
    <row r="342" spans="6:8" x14ac:dyDescent="0.25">
      <c r="F342" s="46"/>
      <c r="G342" s="46"/>
      <c r="H342" s="46"/>
    </row>
    <row r="343" spans="6:8" x14ac:dyDescent="0.25">
      <c r="F343" s="46"/>
      <c r="G343" s="46"/>
      <c r="H343" s="46"/>
    </row>
    <row r="344" spans="6:8" x14ac:dyDescent="0.25">
      <c r="F344" s="46"/>
      <c r="G344" s="46"/>
      <c r="H344" s="46"/>
    </row>
    <row r="345" spans="6:8" x14ac:dyDescent="0.25">
      <c r="F345" s="46"/>
      <c r="G345" s="46"/>
      <c r="H345" s="46"/>
    </row>
    <row r="346" spans="6:8" x14ac:dyDescent="0.25">
      <c r="F346" s="46"/>
      <c r="G346" s="46"/>
      <c r="H346" s="46"/>
    </row>
    <row r="347" spans="6:8" x14ac:dyDescent="0.25">
      <c r="F347" s="46"/>
      <c r="G347" s="46"/>
      <c r="H347" s="46"/>
    </row>
    <row r="348" spans="6:8" x14ac:dyDescent="0.25">
      <c r="F348" s="46"/>
      <c r="G348" s="46"/>
      <c r="H348" s="46"/>
    </row>
    <row r="349" spans="6:8" x14ac:dyDescent="0.25">
      <c r="F349" s="46"/>
      <c r="G349" s="46"/>
      <c r="H349" s="46"/>
    </row>
    <row r="350" spans="6:8" x14ac:dyDescent="0.25">
      <c r="F350" s="46"/>
      <c r="G350" s="46"/>
      <c r="H350" s="46"/>
    </row>
    <row r="351" spans="6:8" x14ac:dyDescent="0.25">
      <c r="F351" s="46"/>
      <c r="G351" s="46"/>
      <c r="H351" s="46"/>
    </row>
    <row r="352" spans="6:8" x14ac:dyDescent="0.25">
      <c r="F352" s="46"/>
      <c r="G352" s="46"/>
      <c r="H352" s="46"/>
    </row>
    <row r="353" spans="6:8" x14ac:dyDescent="0.25">
      <c r="F353" s="46"/>
      <c r="G353" s="46"/>
      <c r="H353" s="46"/>
    </row>
    <row r="354" spans="6:8" x14ac:dyDescent="0.25">
      <c r="F354" s="46"/>
      <c r="G354" s="46"/>
      <c r="H354" s="46"/>
    </row>
    <row r="355" spans="6:8" x14ac:dyDescent="0.25">
      <c r="F355" s="46"/>
      <c r="G355" s="46"/>
      <c r="H355" s="46"/>
    </row>
    <row r="356" spans="6:8" x14ac:dyDescent="0.25">
      <c r="F356" s="46"/>
      <c r="G356" s="46"/>
      <c r="H356" s="46"/>
    </row>
    <row r="357" spans="6:8" x14ac:dyDescent="0.25">
      <c r="F357" s="46"/>
      <c r="G357" s="46"/>
      <c r="H357" s="46"/>
    </row>
    <row r="358" spans="6:8" x14ac:dyDescent="0.25">
      <c r="F358" s="46"/>
      <c r="G358" s="46"/>
      <c r="H358" s="46"/>
    </row>
    <row r="359" spans="6:8" x14ac:dyDescent="0.25">
      <c r="F359" s="46"/>
      <c r="G359" s="46"/>
      <c r="H359" s="46"/>
    </row>
    <row r="360" spans="6:8" x14ac:dyDescent="0.25">
      <c r="F360" s="46"/>
      <c r="G360" s="46"/>
      <c r="H360" s="46"/>
    </row>
    <row r="361" spans="6:8" x14ac:dyDescent="0.25">
      <c r="F361" s="46"/>
      <c r="G361" s="46"/>
      <c r="H361" s="46"/>
    </row>
    <row r="362" spans="6:8" x14ac:dyDescent="0.25">
      <c r="F362" s="46"/>
      <c r="G362" s="46"/>
      <c r="H362" s="46"/>
    </row>
    <row r="363" spans="6:8" x14ac:dyDescent="0.25">
      <c r="F363" s="46"/>
      <c r="G363" s="46"/>
      <c r="H363" s="46"/>
    </row>
    <row r="364" spans="6:8" x14ac:dyDescent="0.25">
      <c r="F364" s="46"/>
      <c r="G364" s="46"/>
      <c r="H364" s="46"/>
    </row>
    <row r="365" spans="6:8" x14ac:dyDescent="0.25">
      <c r="F365" s="46"/>
      <c r="G365" s="46"/>
      <c r="H365" s="46"/>
    </row>
    <row r="366" spans="6:8" x14ac:dyDescent="0.25">
      <c r="F366" s="46"/>
      <c r="G366" s="46"/>
      <c r="H366" s="46"/>
    </row>
    <row r="367" spans="6:8" x14ac:dyDescent="0.25">
      <c r="F367" s="46"/>
      <c r="G367" s="46"/>
      <c r="H367" s="46"/>
    </row>
    <row r="368" spans="6:8" x14ac:dyDescent="0.25">
      <c r="F368" s="46"/>
      <c r="G368" s="46"/>
      <c r="H368" s="46"/>
    </row>
    <row r="369" spans="6:8" x14ac:dyDescent="0.25">
      <c r="F369" s="46"/>
      <c r="G369" s="46"/>
      <c r="H369" s="46"/>
    </row>
    <row r="370" spans="6:8" x14ac:dyDescent="0.25">
      <c r="F370" s="46"/>
      <c r="G370" s="46"/>
      <c r="H370" s="46"/>
    </row>
    <row r="371" spans="6:8" x14ac:dyDescent="0.25">
      <c r="F371" s="46"/>
      <c r="G371" s="46"/>
      <c r="H371" s="46"/>
    </row>
    <row r="372" spans="6:8" x14ac:dyDescent="0.25">
      <c r="F372" s="46"/>
      <c r="G372" s="46"/>
      <c r="H372" s="46"/>
    </row>
    <row r="373" spans="6:8" x14ac:dyDescent="0.25">
      <c r="F373" s="46"/>
      <c r="G373" s="46"/>
      <c r="H373" s="46"/>
    </row>
    <row r="374" spans="6:8" x14ac:dyDescent="0.25">
      <c r="F374" s="46"/>
      <c r="G374" s="46"/>
      <c r="H374" s="46"/>
    </row>
    <row r="375" spans="6:8" x14ac:dyDescent="0.25">
      <c r="F375" s="46"/>
      <c r="G375" s="46"/>
      <c r="H375" s="46"/>
    </row>
    <row r="376" spans="6:8" x14ac:dyDescent="0.25">
      <c r="F376" s="46"/>
      <c r="G376" s="46"/>
      <c r="H376" s="46"/>
    </row>
    <row r="377" spans="6:8" x14ac:dyDescent="0.25">
      <c r="F377" s="46"/>
      <c r="G377" s="46"/>
      <c r="H377" s="46"/>
    </row>
    <row r="378" spans="6:8" x14ac:dyDescent="0.25">
      <c r="F378" s="46"/>
      <c r="G378" s="46"/>
      <c r="H378" s="46"/>
    </row>
    <row r="379" spans="6:8" x14ac:dyDescent="0.25">
      <c r="F379" s="46"/>
      <c r="G379" s="46"/>
      <c r="H379" s="46"/>
    </row>
    <row r="380" spans="6:8" x14ac:dyDescent="0.25">
      <c r="F380" s="46"/>
      <c r="G380" s="46"/>
      <c r="H380" s="46"/>
    </row>
    <row r="381" spans="6:8" x14ac:dyDescent="0.25">
      <c r="F381" s="46"/>
      <c r="G381" s="46"/>
      <c r="H381" s="46"/>
    </row>
    <row r="382" spans="6:8" x14ac:dyDescent="0.25">
      <c r="F382" s="46"/>
      <c r="G382" s="46"/>
      <c r="H382" s="46"/>
    </row>
    <row r="383" spans="6:8" x14ac:dyDescent="0.25">
      <c r="F383" s="46"/>
      <c r="G383" s="46"/>
      <c r="H383" s="46"/>
    </row>
    <row r="384" spans="6:8" x14ac:dyDescent="0.25">
      <c r="F384" s="46"/>
      <c r="G384" s="46"/>
      <c r="H384" s="46"/>
    </row>
    <row r="385" spans="6:8" x14ac:dyDescent="0.25">
      <c r="F385" s="46"/>
      <c r="G385" s="46"/>
      <c r="H385" s="46"/>
    </row>
    <row r="386" spans="6:8" x14ac:dyDescent="0.25">
      <c r="F386" s="46"/>
      <c r="G386" s="46"/>
      <c r="H386" s="46"/>
    </row>
    <row r="387" spans="6:8" x14ac:dyDescent="0.25">
      <c r="F387" s="46"/>
      <c r="G387" s="46"/>
      <c r="H387" s="46"/>
    </row>
    <row r="388" spans="6:8" x14ac:dyDescent="0.25">
      <c r="F388" s="46"/>
      <c r="G388" s="46"/>
      <c r="H388" s="46"/>
    </row>
    <row r="389" spans="6:8" x14ac:dyDescent="0.25">
      <c r="F389" s="46"/>
      <c r="G389" s="46"/>
      <c r="H389" s="46"/>
    </row>
    <row r="390" spans="6:8" x14ac:dyDescent="0.25">
      <c r="F390" s="46"/>
      <c r="G390" s="46"/>
      <c r="H390" s="46"/>
    </row>
    <row r="391" spans="6:8" x14ac:dyDescent="0.25">
      <c r="F391" s="46"/>
      <c r="G391" s="46"/>
      <c r="H391" s="46"/>
    </row>
    <row r="392" spans="6:8" x14ac:dyDescent="0.25">
      <c r="F392" s="46"/>
      <c r="G392" s="46"/>
      <c r="H392" s="46"/>
    </row>
    <row r="393" spans="6:8" x14ac:dyDescent="0.25">
      <c r="F393" s="46"/>
      <c r="G393" s="46"/>
      <c r="H393" s="46"/>
    </row>
    <row r="394" spans="6:8" x14ac:dyDescent="0.25">
      <c r="F394" s="46"/>
      <c r="G394" s="46"/>
      <c r="H394" s="46"/>
    </row>
    <row r="395" spans="6:8" x14ac:dyDescent="0.25">
      <c r="F395" s="46"/>
      <c r="G395" s="46"/>
      <c r="H395" s="46"/>
    </row>
    <row r="396" spans="6:8" x14ac:dyDescent="0.25">
      <c r="F396" s="46"/>
      <c r="G396" s="46"/>
      <c r="H396" s="46"/>
    </row>
    <row r="397" spans="6:8" x14ac:dyDescent="0.25">
      <c r="F397" s="46"/>
      <c r="G397" s="46"/>
      <c r="H397" s="46"/>
    </row>
    <row r="398" spans="6:8" x14ac:dyDescent="0.25">
      <c r="F398" s="46"/>
      <c r="G398" s="46"/>
      <c r="H398" s="46"/>
    </row>
    <row r="399" spans="6:8" x14ac:dyDescent="0.25">
      <c r="F399" s="46"/>
      <c r="G399" s="46"/>
      <c r="H399" s="46"/>
    </row>
    <row r="400" spans="6:8" x14ac:dyDescent="0.25">
      <c r="F400" s="46"/>
      <c r="G400" s="46"/>
      <c r="H400" s="46"/>
    </row>
    <row r="401" spans="6:8" x14ac:dyDescent="0.25">
      <c r="F401" s="46"/>
      <c r="G401" s="46"/>
      <c r="H401" s="46"/>
    </row>
    <row r="402" spans="6:8" x14ac:dyDescent="0.25">
      <c r="F402" s="46"/>
      <c r="G402" s="46"/>
      <c r="H402" s="46"/>
    </row>
    <row r="403" spans="6:8" x14ac:dyDescent="0.25">
      <c r="F403" s="46"/>
      <c r="G403" s="46"/>
      <c r="H403" s="46"/>
    </row>
    <row r="404" spans="6:8" x14ac:dyDescent="0.25">
      <c r="F404" s="46"/>
      <c r="G404" s="46"/>
      <c r="H404" s="46"/>
    </row>
    <row r="405" spans="6:8" x14ac:dyDescent="0.25">
      <c r="F405" s="46"/>
      <c r="G405" s="46"/>
      <c r="H405" s="46"/>
    </row>
    <row r="406" spans="6:8" x14ac:dyDescent="0.25">
      <c r="F406" s="46"/>
      <c r="G406" s="46"/>
      <c r="H406" s="46"/>
    </row>
    <row r="407" spans="6:8" x14ac:dyDescent="0.25">
      <c r="F407" s="46"/>
      <c r="G407" s="46"/>
      <c r="H407" s="46"/>
    </row>
    <row r="408" spans="6:8" x14ac:dyDescent="0.25">
      <c r="F408" s="46"/>
      <c r="G408" s="46"/>
      <c r="H408" s="46"/>
    </row>
    <row r="409" spans="6:8" x14ac:dyDescent="0.25">
      <c r="F409" s="46"/>
      <c r="G409" s="46"/>
      <c r="H409" s="46"/>
    </row>
    <row r="410" spans="6:8" x14ac:dyDescent="0.25">
      <c r="F410" s="46"/>
      <c r="G410" s="46"/>
      <c r="H410" s="46"/>
    </row>
    <row r="411" spans="6:8" x14ac:dyDescent="0.25">
      <c r="F411" s="46"/>
      <c r="G411" s="46"/>
      <c r="H411" s="46"/>
    </row>
    <row r="412" spans="6:8" x14ac:dyDescent="0.25">
      <c r="F412" s="46"/>
      <c r="G412" s="46"/>
      <c r="H412" s="46"/>
    </row>
    <row r="413" spans="6:8" x14ac:dyDescent="0.25">
      <c r="F413" s="46"/>
      <c r="G413" s="46"/>
      <c r="H413" s="46"/>
    </row>
    <row r="414" spans="6:8" x14ac:dyDescent="0.25">
      <c r="F414" s="46"/>
      <c r="G414" s="46"/>
      <c r="H414" s="46"/>
    </row>
    <row r="415" spans="6:8" x14ac:dyDescent="0.25">
      <c r="F415" s="46"/>
      <c r="G415" s="46"/>
      <c r="H415" s="46"/>
    </row>
    <row r="416" spans="6:8" x14ac:dyDescent="0.25">
      <c r="F416" s="46"/>
      <c r="G416" s="46"/>
      <c r="H416" s="46"/>
    </row>
    <row r="417" spans="6:8" x14ac:dyDescent="0.25">
      <c r="F417" s="46"/>
      <c r="G417" s="46"/>
      <c r="H417" s="46"/>
    </row>
    <row r="418" spans="6:8" x14ac:dyDescent="0.25">
      <c r="F418" s="46"/>
      <c r="G418" s="46"/>
      <c r="H418" s="46"/>
    </row>
    <row r="419" spans="6:8" x14ac:dyDescent="0.25">
      <c r="F419" s="46"/>
      <c r="G419" s="46"/>
      <c r="H419" s="46"/>
    </row>
    <row r="420" spans="6:8" x14ac:dyDescent="0.25">
      <c r="F420" s="46"/>
      <c r="G420" s="46"/>
      <c r="H420" s="46"/>
    </row>
    <row r="421" spans="6:8" x14ac:dyDescent="0.25">
      <c r="F421" s="46"/>
      <c r="G421" s="46"/>
      <c r="H421" s="46"/>
    </row>
    <row r="422" spans="6:8" x14ac:dyDescent="0.25">
      <c r="F422" s="46"/>
      <c r="G422" s="46"/>
      <c r="H422" s="46"/>
    </row>
    <row r="423" spans="6:8" x14ac:dyDescent="0.25">
      <c r="F423" s="46"/>
      <c r="G423" s="46"/>
      <c r="H423" s="46"/>
    </row>
    <row r="424" spans="6:8" x14ac:dyDescent="0.25">
      <c r="F424" s="46"/>
      <c r="G424" s="46"/>
      <c r="H424" s="46"/>
    </row>
    <row r="425" spans="6:8" x14ac:dyDescent="0.25">
      <c r="F425" s="46"/>
      <c r="G425" s="46"/>
      <c r="H425" s="46"/>
    </row>
    <row r="426" spans="6:8" x14ac:dyDescent="0.25">
      <c r="F426" s="46"/>
      <c r="G426" s="46"/>
      <c r="H426" s="46"/>
    </row>
    <row r="427" spans="6:8" x14ac:dyDescent="0.25">
      <c r="F427" s="46"/>
      <c r="G427" s="46"/>
      <c r="H427" s="46"/>
    </row>
    <row r="428" spans="6:8" x14ac:dyDescent="0.25">
      <c r="F428" s="46"/>
      <c r="G428" s="46"/>
      <c r="H428" s="46"/>
    </row>
    <row r="429" spans="6:8" x14ac:dyDescent="0.25">
      <c r="F429" s="46"/>
      <c r="G429" s="46"/>
      <c r="H429" s="46"/>
    </row>
    <row r="430" spans="6:8" x14ac:dyDescent="0.25">
      <c r="F430" s="46"/>
      <c r="G430" s="46"/>
      <c r="H430" s="46"/>
    </row>
    <row r="431" spans="6:8" x14ac:dyDescent="0.25">
      <c r="F431" s="46"/>
      <c r="G431" s="46"/>
      <c r="H431" s="46"/>
    </row>
    <row r="432" spans="6:8" x14ac:dyDescent="0.25">
      <c r="F432" s="46"/>
      <c r="G432" s="46"/>
      <c r="H432" s="46"/>
    </row>
    <row r="433" spans="6:8" x14ac:dyDescent="0.25">
      <c r="F433" s="46"/>
      <c r="G433" s="46"/>
      <c r="H433" s="46"/>
    </row>
    <row r="434" spans="6:8" x14ac:dyDescent="0.25">
      <c r="F434" s="46"/>
      <c r="G434" s="46"/>
      <c r="H434" s="46"/>
    </row>
    <row r="435" spans="6:8" x14ac:dyDescent="0.25">
      <c r="F435" s="46"/>
      <c r="G435" s="46"/>
      <c r="H435" s="46"/>
    </row>
    <row r="436" spans="6:8" x14ac:dyDescent="0.25">
      <c r="F436" s="46"/>
      <c r="G436" s="46"/>
      <c r="H436" s="46"/>
    </row>
    <row r="437" spans="6:8" x14ac:dyDescent="0.25">
      <c r="F437" s="46"/>
      <c r="G437" s="46"/>
      <c r="H437" s="46"/>
    </row>
    <row r="438" spans="6:8" x14ac:dyDescent="0.25">
      <c r="F438" s="46"/>
      <c r="G438" s="46"/>
      <c r="H438" s="46"/>
    </row>
    <row r="439" spans="6:8" x14ac:dyDescent="0.25">
      <c r="F439" s="46"/>
      <c r="G439" s="46"/>
      <c r="H439" s="46"/>
    </row>
    <row r="440" spans="6:8" x14ac:dyDescent="0.25">
      <c r="F440" s="46"/>
      <c r="G440" s="46"/>
      <c r="H440" s="46"/>
    </row>
    <row r="441" spans="6:8" x14ac:dyDescent="0.25">
      <c r="F441" s="46"/>
      <c r="G441" s="46"/>
      <c r="H441" s="46"/>
    </row>
    <row r="442" spans="6:8" x14ac:dyDescent="0.25">
      <c r="F442" s="46"/>
      <c r="G442" s="46"/>
      <c r="H442" s="46"/>
    </row>
    <row r="443" spans="6:8" x14ac:dyDescent="0.25">
      <c r="F443" s="46"/>
      <c r="G443" s="46"/>
      <c r="H443" s="46"/>
    </row>
    <row r="444" spans="6:8" x14ac:dyDescent="0.25">
      <c r="F444" s="46"/>
      <c r="G444" s="46"/>
      <c r="H444" s="46"/>
    </row>
    <row r="445" spans="6:8" x14ac:dyDescent="0.25">
      <c r="F445" s="46"/>
      <c r="G445" s="46"/>
      <c r="H445" s="46"/>
    </row>
    <row r="446" spans="6:8" x14ac:dyDescent="0.25">
      <c r="F446" s="46"/>
      <c r="G446" s="46"/>
      <c r="H446" s="46"/>
    </row>
    <row r="447" spans="6:8" x14ac:dyDescent="0.25">
      <c r="F447" s="46"/>
      <c r="G447" s="46"/>
      <c r="H447" s="46"/>
    </row>
    <row r="448" spans="6:8" x14ac:dyDescent="0.25">
      <c r="F448" s="46"/>
      <c r="G448" s="46"/>
      <c r="H448" s="46"/>
    </row>
    <row r="449" spans="6:8" x14ac:dyDescent="0.25">
      <c r="F449" s="46"/>
      <c r="G449" s="46"/>
      <c r="H449" s="46"/>
    </row>
    <row r="450" spans="6:8" x14ac:dyDescent="0.25">
      <c r="F450" s="46"/>
      <c r="G450" s="46"/>
      <c r="H450" s="46"/>
    </row>
    <row r="451" spans="6:8" x14ac:dyDescent="0.25">
      <c r="F451" s="46"/>
      <c r="G451" s="46"/>
      <c r="H451" s="46"/>
    </row>
    <row r="452" spans="6:8" x14ac:dyDescent="0.25">
      <c r="F452" s="46"/>
      <c r="G452" s="46"/>
      <c r="H452" s="46"/>
    </row>
    <row r="453" spans="6:8" x14ac:dyDescent="0.25">
      <c r="F453" s="46"/>
      <c r="G453" s="46"/>
      <c r="H453" s="46"/>
    </row>
    <row r="454" spans="6:8" x14ac:dyDescent="0.25">
      <c r="F454" s="46"/>
      <c r="G454" s="46"/>
      <c r="H454" s="46"/>
    </row>
    <row r="455" spans="6:8" x14ac:dyDescent="0.25">
      <c r="F455" s="46"/>
      <c r="G455" s="46"/>
      <c r="H455" s="46"/>
    </row>
    <row r="456" spans="6:8" x14ac:dyDescent="0.25">
      <c r="F456" s="46"/>
      <c r="G456" s="46"/>
      <c r="H456" s="46"/>
    </row>
    <row r="457" spans="6:8" x14ac:dyDescent="0.25">
      <c r="F457" s="46"/>
      <c r="G457" s="46"/>
      <c r="H457" s="46"/>
    </row>
    <row r="458" spans="6:8" x14ac:dyDescent="0.25">
      <c r="F458" s="46"/>
      <c r="G458" s="46"/>
      <c r="H458" s="46"/>
    </row>
    <row r="459" spans="6:8" x14ac:dyDescent="0.25">
      <c r="F459" s="46"/>
      <c r="G459" s="46"/>
      <c r="H459" s="46"/>
    </row>
    <row r="460" spans="6:8" x14ac:dyDescent="0.25">
      <c r="F460" s="46"/>
      <c r="G460" s="46"/>
      <c r="H460" s="46"/>
    </row>
    <row r="461" spans="6:8" x14ac:dyDescent="0.25">
      <c r="F461" s="46"/>
      <c r="G461" s="46"/>
      <c r="H461" s="46"/>
    </row>
    <row r="462" spans="6:8" x14ac:dyDescent="0.25">
      <c r="F462" s="46"/>
      <c r="G462" s="46"/>
      <c r="H462" s="46"/>
    </row>
    <row r="463" spans="6:8" x14ac:dyDescent="0.25">
      <c r="F463" s="46"/>
      <c r="G463" s="46"/>
      <c r="H463" s="46"/>
    </row>
    <row r="464" spans="6:8" x14ac:dyDescent="0.25">
      <c r="F464" s="46"/>
      <c r="G464" s="46"/>
      <c r="H464" s="46"/>
    </row>
    <row r="465" spans="6:8" x14ac:dyDescent="0.25">
      <c r="F465" s="46"/>
      <c r="G465" s="46"/>
      <c r="H465" s="46"/>
    </row>
    <row r="466" spans="6:8" x14ac:dyDescent="0.25">
      <c r="F466" s="46"/>
      <c r="G466" s="46"/>
      <c r="H466" s="46"/>
    </row>
    <row r="467" spans="6:8" x14ac:dyDescent="0.25">
      <c r="F467" s="46"/>
      <c r="G467" s="46"/>
      <c r="H467" s="46"/>
    </row>
    <row r="468" spans="6:8" x14ac:dyDescent="0.25">
      <c r="F468" s="46"/>
      <c r="G468" s="46"/>
      <c r="H468" s="46"/>
    </row>
    <row r="469" spans="6:8" x14ac:dyDescent="0.25">
      <c r="F469" s="46"/>
      <c r="G469" s="46"/>
      <c r="H469" s="46"/>
    </row>
    <row r="470" spans="6:8" x14ac:dyDescent="0.25">
      <c r="F470" s="46"/>
      <c r="G470" s="46"/>
      <c r="H470" s="46"/>
    </row>
    <row r="471" spans="6:8" x14ac:dyDescent="0.25">
      <c r="F471" s="46"/>
      <c r="G471" s="46"/>
      <c r="H471" s="46"/>
    </row>
    <row r="472" spans="6:8" x14ac:dyDescent="0.25">
      <c r="F472" s="46"/>
      <c r="G472" s="46"/>
      <c r="H472" s="46"/>
    </row>
    <row r="473" spans="6:8" x14ac:dyDescent="0.25">
      <c r="F473" s="46"/>
      <c r="G473" s="46"/>
      <c r="H473" s="46"/>
    </row>
    <row r="474" spans="6:8" x14ac:dyDescent="0.25">
      <c r="F474" s="46"/>
      <c r="G474" s="46"/>
      <c r="H474" s="46"/>
    </row>
    <row r="475" spans="6:8" x14ac:dyDescent="0.25">
      <c r="F475" s="46"/>
      <c r="G475" s="46"/>
      <c r="H475" s="46"/>
    </row>
    <row r="476" spans="6:8" x14ac:dyDescent="0.25">
      <c r="F476" s="46"/>
      <c r="G476" s="46"/>
      <c r="H476" s="46"/>
    </row>
    <row r="477" spans="6:8" x14ac:dyDescent="0.25">
      <c r="F477" s="46"/>
      <c r="G477" s="46"/>
      <c r="H477" s="46"/>
    </row>
    <row r="478" spans="6:8" x14ac:dyDescent="0.25">
      <c r="F478" s="46"/>
      <c r="G478" s="46"/>
      <c r="H478" s="46"/>
    </row>
    <row r="479" spans="6:8" x14ac:dyDescent="0.25">
      <c r="F479" s="46"/>
      <c r="G479" s="46"/>
      <c r="H479" s="46"/>
    </row>
    <row r="480" spans="6:8" x14ac:dyDescent="0.25">
      <c r="F480" s="46"/>
      <c r="G480" s="46"/>
      <c r="H480" s="46"/>
    </row>
    <row r="481" spans="6:8" x14ac:dyDescent="0.25">
      <c r="F481" s="46"/>
      <c r="G481" s="46"/>
      <c r="H481" s="46"/>
    </row>
    <row r="482" spans="6:8" x14ac:dyDescent="0.25">
      <c r="F482" s="46"/>
      <c r="G482" s="46"/>
      <c r="H482" s="46"/>
    </row>
    <row r="483" spans="6:8" x14ac:dyDescent="0.25">
      <c r="F483" s="46"/>
      <c r="G483" s="46"/>
      <c r="H483" s="46"/>
    </row>
    <row r="484" spans="6:8" x14ac:dyDescent="0.25">
      <c r="F484" s="46"/>
      <c r="G484" s="46"/>
      <c r="H484" s="46"/>
    </row>
    <row r="485" spans="6:8" x14ac:dyDescent="0.25">
      <c r="F485" s="46"/>
      <c r="G485" s="46"/>
      <c r="H485" s="46"/>
    </row>
    <row r="486" spans="6:8" x14ac:dyDescent="0.25">
      <c r="F486" s="46"/>
      <c r="G486" s="46"/>
      <c r="H486" s="46"/>
    </row>
    <row r="487" spans="6:8" x14ac:dyDescent="0.25">
      <c r="F487" s="46"/>
      <c r="G487" s="46"/>
      <c r="H487" s="46"/>
    </row>
    <row r="488" spans="6:8" x14ac:dyDescent="0.25">
      <c r="F488" s="46"/>
      <c r="G488" s="46"/>
      <c r="H488" s="46"/>
    </row>
    <row r="489" spans="6:8" x14ac:dyDescent="0.25">
      <c r="F489" s="46"/>
      <c r="G489" s="46"/>
      <c r="H489" s="46"/>
    </row>
    <row r="490" spans="6:8" x14ac:dyDescent="0.25">
      <c r="F490" s="46"/>
      <c r="G490" s="46"/>
      <c r="H490" s="46"/>
    </row>
    <row r="491" spans="6:8" x14ac:dyDescent="0.25">
      <c r="F491" s="46"/>
      <c r="G491" s="46"/>
      <c r="H491" s="46"/>
    </row>
    <row r="492" spans="6:8" x14ac:dyDescent="0.25">
      <c r="F492" s="46"/>
      <c r="G492" s="46"/>
      <c r="H492" s="46"/>
    </row>
    <row r="493" spans="6:8" x14ac:dyDescent="0.25">
      <c r="F493" s="46"/>
      <c r="G493" s="46"/>
      <c r="H493" s="46"/>
    </row>
    <row r="494" spans="6:8" x14ac:dyDescent="0.25">
      <c r="F494" s="46"/>
      <c r="G494" s="46"/>
      <c r="H494" s="46"/>
    </row>
    <row r="495" spans="6:8" x14ac:dyDescent="0.25">
      <c r="F495" s="46"/>
      <c r="G495" s="46"/>
      <c r="H495" s="46"/>
    </row>
    <row r="496" spans="6:8" x14ac:dyDescent="0.25">
      <c r="F496" s="46"/>
      <c r="G496" s="46"/>
      <c r="H496" s="46"/>
    </row>
    <row r="497" spans="6:8" x14ac:dyDescent="0.25">
      <c r="F497" s="46"/>
      <c r="G497" s="46"/>
      <c r="H497" s="46"/>
    </row>
    <row r="498" spans="6:8" x14ac:dyDescent="0.25">
      <c r="F498" s="46"/>
      <c r="G498" s="46"/>
      <c r="H498" s="46"/>
    </row>
    <row r="499" spans="6:8" x14ac:dyDescent="0.25">
      <c r="F499" s="46"/>
      <c r="G499" s="46"/>
      <c r="H499" s="46"/>
    </row>
    <row r="500" spans="6:8" x14ac:dyDescent="0.25">
      <c r="F500" s="46"/>
      <c r="G500" s="46"/>
      <c r="H500" s="46"/>
    </row>
    <row r="501" spans="6:8" x14ac:dyDescent="0.25">
      <c r="F501" s="46"/>
      <c r="G501" s="46"/>
      <c r="H501" s="46"/>
    </row>
    <row r="502" spans="6:8" x14ac:dyDescent="0.25">
      <c r="F502" s="46"/>
      <c r="G502" s="46"/>
      <c r="H502" s="46"/>
    </row>
    <row r="503" spans="6:8" x14ac:dyDescent="0.25">
      <c r="F503" s="46"/>
      <c r="G503" s="46"/>
      <c r="H503" s="46"/>
    </row>
    <row r="504" spans="6:8" x14ac:dyDescent="0.25">
      <c r="F504" s="46"/>
      <c r="G504" s="46"/>
      <c r="H504" s="46"/>
    </row>
    <row r="505" spans="6:8" x14ac:dyDescent="0.25">
      <c r="F505" s="46"/>
      <c r="G505" s="46"/>
      <c r="H505" s="46"/>
    </row>
    <row r="506" spans="6:8" x14ac:dyDescent="0.25">
      <c r="F506" s="46"/>
      <c r="G506" s="46"/>
      <c r="H506" s="46"/>
    </row>
    <row r="507" spans="6:8" x14ac:dyDescent="0.25">
      <c r="F507" s="46"/>
      <c r="G507" s="46"/>
      <c r="H507" s="46"/>
    </row>
    <row r="508" spans="6:8" x14ac:dyDescent="0.25">
      <c r="F508" s="46"/>
      <c r="G508" s="46"/>
      <c r="H508" s="46"/>
    </row>
    <row r="509" spans="6:8" x14ac:dyDescent="0.25">
      <c r="F509" s="46"/>
      <c r="G509" s="46"/>
      <c r="H509" s="46"/>
    </row>
    <row r="510" spans="6:8" x14ac:dyDescent="0.25">
      <c r="F510" s="46"/>
      <c r="G510" s="46"/>
      <c r="H510" s="46"/>
    </row>
    <row r="511" spans="6:8" x14ac:dyDescent="0.25">
      <c r="F511" s="46"/>
      <c r="G511" s="46"/>
      <c r="H511" s="46"/>
    </row>
    <row r="512" spans="6:8" x14ac:dyDescent="0.25">
      <c r="F512" s="46"/>
      <c r="G512" s="46"/>
      <c r="H512" s="46"/>
    </row>
    <row r="513" spans="6:8" x14ac:dyDescent="0.25">
      <c r="F513" s="46"/>
      <c r="G513" s="46"/>
      <c r="H513" s="46"/>
    </row>
    <row r="514" spans="6:8" x14ac:dyDescent="0.25">
      <c r="F514" s="46"/>
      <c r="G514" s="46"/>
      <c r="H514" s="46"/>
    </row>
    <row r="515" spans="6:8" x14ac:dyDescent="0.25">
      <c r="F515" s="46"/>
      <c r="G515" s="46"/>
      <c r="H515" s="46"/>
    </row>
    <row r="516" spans="6:8" x14ac:dyDescent="0.25">
      <c r="F516" s="46"/>
      <c r="G516" s="46"/>
      <c r="H516" s="46"/>
    </row>
    <row r="517" spans="6:8" x14ac:dyDescent="0.25">
      <c r="F517" s="46"/>
      <c r="G517" s="46"/>
      <c r="H517" s="46"/>
    </row>
    <row r="518" spans="6:8" x14ac:dyDescent="0.25">
      <c r="F518" s="46"/>
      <c r="G518" s="46"/>
      <c r="H518" s="46"/>
    </row>
    <row r="519" spans="6:8" x14ac:dyDescent="0.25">
      <c r="F519" s="46"/>
      <c r="G519" s="46"/>
      <c r="H519" s="46"/>
    </row>
    <row r="520" spans="6:8" x14ac:dyDescent="0.25">
      <c r="F520" s="46"/>
      <c r="G520" s="46"/>
      <c r="H520" s="46"/>
    </row>
    <row r="521" spans="6:8" x14ac:dyDescent="0.25">
      <c r="F521" s="46"/>
      <c r="G521" s="46"/>
      <c r="H521" s="46"/>
    </row>
    <row r="522" spans="6:8" x14ac:dyDescent="0.25">
      <c r="F522" s="46"/>
      <c r="G522" s="46"/>
      <c r="H522" s="46"/>
    </row>
    <row r="523" spans="6:8" x14ac:dyDescent="0.25">
      <c r="F523" s="46"/>
      <c r="G523" s="46"/>
      <c r="H523" s="46"/>
    </row>
    <row r="524" spans="6:8" x14ac:dyDescent="0.25">
      <c r="F524" s="46"/>
      <c r="G524" s="46"/>
      <c r="H524" s="46"/>
    </row>
    <row r="525" spans="6:8" x14ac:dyDescent="0.25">
      <c r="F525" s="46"/>
      <c r="G525" s="46"/>
      <c r="H525" s="46"/>
    </row>
    <row r="526" spans="6:8" x14ac:dyDescent="0.25">
      <c r="F526" s="46"/>
      <c r="G526" s="46"/>
      <c r="H526" s="46"/>
    </row>
    <row r="527" spans="6:8" x14ac:dyDescent="0.25">
      <c r="F527" s="46"/>
      <c r="G527" s="46"/>
      <c r="H527" s="46"/>
    </row>
    <row r="528" spans="6:8" x14ac:dyDescent="0.25">
      <c r="F528" s="46"/>
      <c r="G528" s="46"/>
      <c r="H528" s="46"/>
    </row>
    <row r="529" spans="6:8" x14ac:dyDescent="0.25">
      <c r="F529" s="46"/>
      <c r="G529" s="46"/>
      <c r="H529" s="46"/>
    </row>
    <row r="530" spans="6:8" x14ac:dyDescent="0.25">
      <c r="F530" s="46"/>
      <c r="G530" s="46"/>
      <c r="H530" s="46"/>
    </row>
    <row r="531" spans="6:8" x14ac:dyDescent="0.25">
      <c r="F531" s="46"/>
      <c r="G531" s="46"/>
      <c r="H531" s="46"/>
    </row>
    <row r="532" spans="6:8" x14ac:dyDescent="0.25">
      <c r="F532" s="46"/>
      <c r="G532" s="46"/>
      <c r="H532" s="46"/>
    </row>
    <row r="533" spans="6:8" x14ac:dyDescent="0.25">
      <c r="F533" s="46"/>
      <c r="G533" s="46"/>
      <c r="H533" s="46"/>
    </row>
    <row r="534" spans="6:8" x14ac:dyDescent="0.25">
      <c r="F534" s="46"/>
      <c r="G534" s="46"/>
      <c r="H534" s="46"/>
    </row>
    <row r="535" spans="6:8" x14ac:dyDescent="0.25">
      <c r="F535" s="46"/>
      <c r="G535" s="46"/>
      <c r="H535" s="46"/>
    </row>
    <row r="536" spans="6:8" x14ac:dyDescent="0.25">
      <c r="F536" s="46"/>
      <c r="G536" s="46"/>
      <c r="H536" s="46"/>
    </row>
    <row r="537" spans="6:8" x14ac:dyDescent="0.25">
      <c r="F537" s="46"/>
      <c r="G537" s="46"/>
      <c r="H537" s="46"/>
    </row>
    <row r="538" spans="6:8" x14ac:dyDescent="0.25">
      <c r="F538" s="46"/>
      <c r="G538" s="46"/>
      <c r="H538" s="46"/>
    </row>
    <row r="539" spans="6:8" x14ac:dyDescent="0.25">
      <c r="F539" s="46"/>
      <c r="G539" s="46"/>
      <c r="H539" s="46"/>
    </row>
    <row r="540" spans="6:8" x14ac:dyDescent="0.25">
      <c r="F540" s="46"/>
      <c r="G540" s="46"/>
      <c r="H540" s="46"/>
    </row>
    <row r="541" spans="6:8" x14ac:dyDescent="0.25">
      <c r="F541" s="46"/>
      <c r="G541" s="46"/>
      <c r="H541" s="46"/>
    </row>
    <row r="542" spans="6:8" x14ac:dyDescent="0.25">
      <c r="F542" s="46"/>
      <c r="G542" s="46"/>
      <c r="H542" s="46"/>
    </row>
    <row r="543" spans="6:8" x14ac:dyDescent="0.25">
      <c r="F543" s="46"/>
      <c r="G543" s="46"/>
      <c r="H543" s="46"/>
    </row>
    <row r="544" spans="6:8" x14ac:dyDescent="0.25">
      <c r="F544" s="46"/>
      <c r="G544" s="46"/>
      <c r="H544" s="46"/>
    </row>
    <row r="545" spans="6:8" x14ac:dyDescent="0.25">
      <c r="F545" s="46"/>
      <c r="G545" s="46"/>
      <c r="H545" s="46"/>
    </row>
    <row r="546" spans="6:8" x14ac:dyDescent="0.25">
      <c r="F546" s="46"/>
      <c r="G546" s="46"/>
      <c r="H546" s="46"/>
    </row>
    <row r="547" spans="6:8" x14ac:dyDescent="0.25">
      <c r="F547" s="46"/>
      <c r="G547" s="46"/>
      <c r="H547" s="46"/>
    </row>
    <row r="548" spans="6:8" x14ac:dyDescent="0.25">
      <c r="F548" s="46"/>
      <c r="G548" s="46"/>
      <c r="H548" s="46"/>
    </row>
    <row r="549" spans="6:8" x14ac:dyDescent="0.25">
      <c r="F549" s="46"/>
      <c r="G549" s="46"/>
      <c r="H549" s="46"/>
    </row>
    <row r="550" spans="6:8" x14ac:dyDescent="0.25">
      <c r="F550" s="46"/>
      <c r="G550" s="46"/>
      <c r="H550" s="46"/>
    </row>
    <row r="551" spans="6:8" x14ac:dyDescent="0.25">
      <c r="F551" s="46"/>
      <c r="G551" s="46"/>
      <c r="H551" s="46"/>
    </row>
    <row r="552" spans="6:8" x14ac:dyDescent="0.25">
      <c r="F552" s="46"/>
      <c r="G552" s="46"/>
      <c r="H552" s="46"/>
    </row>
    <row r="553" spans="6:8" x14ac:dyDescent="0.25">
      <c r="F553" s="46"/>
      <c r="G553" s="46"/>
      <c r="H553" s="46"/>
    </row>
    <row r="554" spans="6:8" x14ac:dyDescent="0.25">
      <c r="F554" s="46"/>
      <c r="G554" s="46"/>
      <c r="H554" s="46"/>
    </row>
    <row r="555" spans="6:8" x14ac:dyDescent="0.25">
      <c r="F555" s="46"/>
      <c r="G555" s="46"/>
      <c r="H555" s="46"/>
    </row>
    <row r="556" spans="6:8" x14ac:dyDescent="0.25">
      <c r="F556" s="46"/>
      <c r="G556" s="46"/>
      <c r="H556" s="46"/>
    </row>
    <row r="557" spans="6:8" x14ac:dyDescent="0.25">
      <c r="F557" s="46"/>
      <c r="G557" s="46"/>
      <c r="H557" s="46"/>
    </row>
    <row r="558" spans="6:8" x14ac:dyDescent="0.25">
      <c r="F558" s="46"/>
      <c r="G558" s="46"/>
      <c r="H558" s="46"/>
    </row>
    <row r="559" spans="6:8" x14ac:dyDescent="0.25">
      <c r="F559" s="46"/>
      <c r="G559" s="46"/>
      <c r="H559" s="46"/>
    </row>
    <row r="560" spans="6:8" x14ac:dyDescent="0.25">
      <c r="F560" s="46"/>
      <c r="G560" s="46"/>
      <c r="H560" s="46"/>
    </row>
    <row r="561" spans="6:8" x14ac:dyDescent="0.25">
      <c r="F561" s="46"/>
      <c r="G561" s="46"/>
      <c r="H561" s="46"/>
    </row>
    <row r="562" spans="6:8" x14ac:dyDescent="0.25">
      <c r="F562" s="46"/>
      <c r="G562" s="46"/>
      <c r="H562" s="46"/>
    </row>
    <row r="563" spans="6:8" x14ac:dyDescent="0.25">
      <c r="F563" s="46"/>
      <c r="G563" s="46"/>
      <c r="H563" s="46"/>
    </row>
    <row r="564" spans="6:8" x14ac:dyDescent="0.25">
      <c r="F564" s="46"/>
      <c r="G564" s="46"/>
      <c r="H564" s="46"/>
    </row>
    <row r="565" spans="6:8" x14ac:dyDescent="0.25">
      <c r="F565" s="46"/>
      <c r="G565" s="46"/>
      <c r="H565" s="46"/>
    </row>
    <row r="566" spans="6:8" x14ac:dyDescent="0.25">
      <c r="F566" s="46"/>
      <c r="G566" s="46"/>
      <c r="H566" s="46"/>
    </row>
    <row r="567" spans="6:8" x14ac:dyDescent="0.25">
      <c r="F567" s="46"/>
      <c r="G567" s="46"/>
      <c r="H567" s="46"/>
    </row>
    <row r="568" spans="6:8" x14ac:dyDescent="0.25">
      <c r="F568" s="46"/>
      <c r="G568" s="46"/>
      <c r="H568" s="46"/>
    </row>
    <row r="569" spans="6:8" x14ac:dyDescent="0.25">
      <c r="F569" s="46"/>
      <c r="G569" s="46"/>
      <c r="H569" s="46"/>
    </row>
    <row r="570" spans="6:8" x14ac:dyDescent="0.25">
      <c r="F570" s="46"/>
      <c r="G570" s="46"/>
      <c r="H570" s="46"/>
    </row>
    <row r="571" spans="6:8" x14ac:dyDescent="0.25">
      <c r="F571" s="46"/>
      <c r="G571" s="46"/>
      <c r="H571" s="46"/>
    </row>
    <row r="572" spans="6:8" x14ac:dyDescent="0.25">
      <c r="F572" s="46"/>
      <c r="G572" s="46"/>
      <c r="H572" s="46"/>
    </row>
    <row r="573" spans="6:8" x14ac:dyDescent="0.25">
      <c r="F573" s="46"/>
      <c r="G573" s="46"/>
      <c r="H573" s="46"/>
    </row>
    <row r="574" spans="6:8" x14ac:dyDescent="0.25">
      <c r="F574" s="46"/>
      <c r="G574" s="46"/>
      <c r="H574" s="46"/>
    </row>
    <row r="575" spans="6:8" x14ac:dyDescent="0.25">
      <c r="F575" s="46"/>
      <c r="G575" s="46"/>
      <c r="H575" s="46"/>
    </row>
    <row r="576" spans="6:8" x14ac:dyDescent="0.25">
      <c r="F576" s="46"/>
      <c r="G576" s="46"/>
      <c r="H576" s="46"/>
    </row>
    <row r="577" spans="6:8" x14ac:dyDescent="0.25">
      <c r="F577" s="46"/>
      <c r="G577" s="46"/>
      <c r="H577" s="46"/>
    </row>
    <row r="578" spans="6:8" x14ac:dyDescent="0.25">
      <c r="F578" s="46"/>
      <c r="G578" s="46"/>
      <c r="H578" s="46"/>
    </row>
    <row r="579" spans="6:8" x14ac:dyDescent="0.25">
      <c r="F579" s="46"/>
      <c r="G579" s="46"/>
      <c r="H579" s="46"/>
    </row>
    <row r="580" spans="6:8" x14ac:dyDescent="0.25">
      <c r="F580" s="46"/>
      <c r="G580" s="46"/>
      <c r="H580" s="46"/>
    </row>
    <row r="581" spans="6:8" x14ac:dyDescent="0.25">
      <c r="F581" s="46"/>
      <c r="G581" s="46"/>
      <c r="H581" s="46"/>
    </row>
    <row r="582" spans="6:8" x14ac:dyDescent="0.25">
      <c r="F582" s="46"/>
      <c r="G582" s="46"/>
      <c r="H582" s="46"/>
    </row>
    <row r="583" spans="6:8" x14ac:dyDescent="0.25">
      <c r="F583" s="46"/>
      <c r="G583" s="46"/>
      <c r="H583" s="46"/>
    </row>
    <row r="584" spans="6:8" x14ac:dyDescent="0.25">
      <c r="F584" s="46"/>
      <c r="G584" s="46"/>
      <c r="H584" s="46"/>
    </row>
    <row r="585" spans="6:8" x14ac:dyDescent="0.25">
      <c r="F585" s="46"/>
      <c r="G585" s="46"/>
      <c r="H585" s="46"/>
    </row>
    <row r="586" spans="6:8" x14ac:dyDescent="0.25">
      <c r="F586" s="46"/>
      <c r="G586" s="46"/>
      <c r="H586" s="46"/>
    </row>
    <row r="587" spans="6:8" x14ac:dyDescent="0.25">
      <c r="F587" s="46"/>
      <c r="G587" s="46"/>
      <c r="H587" s="46"/>
    </row>
    <row r="588" spans="6:8" x14ac:dyDescent="0.25">
      <c r="F588" s="46"/>
      <c r="G588" s="46"/>
      <c r="H588" s="46"/>
    </row>
    <row r="589" spans="6:8" x14ac:dyDescent="0.25">
      <c r="F589" s="46"/>
      <c r="G589" s="46"/>
      <c r="H589" s="46"/>
    </row>
    <row r="590" spans="6:8" x14ac:dyDescent="0.25">
      <c r="F590" s="46"/>
      <c r="G590" s="46"/>
      <c r="H590" s="46"/>
    </row>
    <row r="591" spans="6:8" x14ac:dyDescent="0.25">
      <c r="F591" s="46"/>
      <c r="G591" s="46"/>
      <c r="H591" s="46"/>
    </row>
    <row r="592" spans="6:8" x14ac:dyDescent="0.25">
      <c r="F592" s="46"/>
      <c r="G592" s="46"/>
      <c r="H592" s="46"/>
    </row>
    <row r="593" spans="6:8" x14ac:dyDescent="0.25">
      <c r="F593" s="46"/>
      <c r="G593" s="46"/>
      <c r="H593" s="46"/>
    </row>
    <row r="594" spans="6:8" x14ac:dyDescent="0.25">
      <c r="F594" s="46"/>
      <c r="G594" s="46"/>
      <c r="H594" s="46"/>
    </row>
    <row r="595" spans="6:8" x14ac:dyDescent="0.25">
      <c r="F595" s="46"/>
      <c r="G595" s="46"/>
      <c r="H595" s="46"/>
    </row>
    <row r="596" spans="6:8" x14ac:dyDescent="0.25">
      <c r="F596" s="46"/>
      <c r="G596" s="46"/>
      <c r="H596" s="46"/>
    </row>
    <row r="597" spans="6:8" x14ac:dyDescent="0.25">
      <c r="F597" s="46"/>
      <c r="G597" s="46"/>
      <c r="H597" s="46"/>
    </row>
    <row r="598" spans="6:8" x14ac:dyDescent="0.25">
      <c r="F598" s="46"/>
      <c r="G598" s="46"/>
      <c r="H598" s="46"/>
    </row>
    <row r="599" spans="6:8" x14ac:dyDescent="0.25">
      <c r="F599" s="46"/>
      <c r="G599" s="46"/>
      <c r="H599" s="46"/>
    </row>
    <row r="600" spans="6:8" x14ac:dyDescent="0.25">
      <c r="F600" s="46"/>
      <c r="G600" s="46"/>
      <c r="H600" s="46"/>
    </row>
    <row r="601" spans="6:8" x14ac:dyDescent="0.25">
      <c r="F601" s="46"/>
      <c r="G601" s="46"/>
      <c r="H601" s="46"/>
    </row>
    <row r="602" spans="6:8" x14ac:dyDescent="0.25">
      <c r="F602" s="46"/>
      <c r="G602" s="46"/>
      <c r="H602" s="46"/>
    </row>
    <row r="603" spans="6:8" x14ac:dyDescent="0.25">
      <c r="F603" s="46"/>
      <c r="G603" s="46"/>
      <c r="H603" s="46"/>
    </row>
    <row r="604" spans="6:8" x14ac:dyDescent="0.25">
      <c r="F604" s="46"/>
      <c r="G604" s="46"/>
      <c r="H604" s="46"/>
    </row>
    <row r="605" spans="6:8" x14ac:dyDescent="0.25">
      <c r="F605" s="46"/>
      <c r="G605" s="46"/>
      <c r="H605" s="46"/>
    </row>
    <row r="606" spans="6:8" x14ac:dyDescent="0.25">
      <c r="F606" s="46"/>
      <c r="G606" s="46"/>
      <c r="H606" s="46"/>
    </row>
    <row r="607" spans="6:8" x14ac:dyDescent="0.25">
      <c r="F607" s="46"/>
      <c r="G607" s="46"/>
      <c r="H607" s="46"/>
    </row>
    <row r="608" spans="6:8" x14ac:dyDescent="0.25">
      <c r="F608" s="46"/>
      <c r="G608" s="46"/>
      <c r="H608" s="46"/>
    </row>
    <row r="609" spans="6:8" x14ac:dyDescent="0.25">
      <c r="F609" s="46"/>
      <c r="G609" s="46"/>
      <c r="H609" s="46"/>
    </row>
    <row r="610" spans="6:8" x14ac:dyDescent="0.25">
      <c r="F610" s="46"/>
      <c r="G610" s="46"/>
      <c r="H610" s="46"/>
    </row>
    <row r="611" spans="6:8" x14ac:dyDescent="0.25">
      <c r="F611" s="46"/>
      <c r="G611" s="46"/>
      <c r="H611" s="46"/>
    </row>
    <row r="612" spans="6:8" x14ac:dyDescent="0.25">
      <c r="F612" s="46"/>
      <c r="G612" s="46"/>
      <c r="H612" s="46"/>
    </row>
    <row r="613" spans="6:8" x14ac:dyDescent="0.25">
      <c r="F613" s="46"/>
      <c r="G613" s="46"/>
      <c r="H613" s="46"/>
    </row>
    <row r="614" spans="6:8" x14ac:dyDescent="0.25">
      <c r="F614" s="46"/>
      <c r="G614" s="46"/>
      <c r="H614" s="46"/>
    </row>
    <row r="615" spans="6:8" x14ac:dyDescent="0.25">
      <c r="F615" s="46"/>
      <c r="G615" s="46"/>
      <c r="H615" s="46"/>
    </row>
    <row r="616" spans="6:8" x14ac:dyDescent="0.25">
      <c r="F616" s="46"/>
      <c r="G616" s="46"/>
      <c r="H616" s="46"/>
    </row>
    <row r="617" spans="6:8" x14ac:dyDescent="0.25">
      <c r="F617" s="46"/>
      <c r="G617" s="46"/>
      <c r="H617" s="46"/>
    </row>
    <row r="618" spans="6:8" x14ac:dyDescent="0.25">
      <c r="F618" s="46"/>
      <c r="G618" s="46"/>
      <c r="H618" s="46"/>
    </row>
    <row r="619" spans="6:8" x14ac:dyDescent="0.25">
      <c r="F619" s="46"/>
      <c r="G619" s="46"/>
      <c r="H619" s="46"/>
    </row>
    <row r="620" spans="6:8" x14ac:dyDescent="0.25">
      <c r="F620" s="46"/>
      <c r="G620" s="46"/>
      <c r="H620" s="46"/>
    </row>
    <row r="621" spans="6:8" x14ac:dyDescent="0.25">
      <c r="F621" s="46"/>
      <c r="G621" s="46"/>
      <c r="H621" s="46"/>
    </row>
    <row r="622" spans="6:8" x14ac:dyDescent="0.25">
      <c r="F622" s="46"/>
      <c r="G622" s="46"/>
      <c r="H622" s="46"/>
    </row>
    <row r="623" spans="6:8" x14ac:dyDescent="0.25">
      <c r="F623" s="46"/>
      <c r="G623" s="46"/>
      <c r="H623" s="46"/>
    </row>
    <row r="624" spans="6:8" x14ac:dyDescent="0.25">
      <c r="F624" s="46"/>
      <c r="G624" s="46"/>
      <c r="H624" s="46"/>
    </row>
    <row r="625" spans="6:8" x14ac:dyDescent="0.25">
      <c r="F625" s="46"/>
      <c r="G625" s="46"/>
      <c r="H625" s="46"/>
    </row>
    <row r="626" spans="6:8" x14ac:dyDescent="0.25">
      <c r="F626" s="46"/>
      <c r="G626" s="46"/>
      <c r="H626" s="46"/>
    </row>
    <row r="627" spans="6:8" x14ac:dyDescent="0.25">
      <c r="F627" s="46"/>
      <c r="G627" s="46"/>
      <c r="H627" s="46"/>
    </row>
    <row r="628" spans="6:8" x14ac:dyDescent="0.25">
      <c r="F628" s="46"/>
      <c r="G628" s="46"/>
      <c r="H628" s="46"/>
    </row>
    <row r="629" spans="6:8" x14ac:dyDescent="0.25">
      <c r="F629" s="46"/>
      <c r="G629" s="46"/>
      <c r="H629" s="46"/>
    </row>
    <row r="630" spans="6:8" x14ac:dyDescent="0.25">
      <c r="F630" s="46"/>
      <c r="G630" s="46"/>
      <c r="H630" s="46"/>
    </row>
    <row r="631" spans="6:8" x14ac:dyDescent="0.25">
      <c r="F631" s="46"/>
      <c r="G631" s="46"/>
      <c r="H631" s="46"/>
    </row>
    <row r="632" spans="6:8" x14ac:dyDescent="0.25">
      <c r="F632" s="46"/>
      <c r="G632" s="46"/>
      <c r="H632" s="46"/>
    </row>
    <row r="633" spans="6:8" x14ac:dyDescent="0.25">
      <c r="F633" s="46"/>
      <c r="G633" s="46"/>
      <c r="H633" s="46"/>
    </row>
    <row r="634" spans="6:8" x14ac:dyDescent="0.25">
      <c r="F634" s="46"/>
      <c r="G634" s="46"/>
      <c r="H634" s="46"/>
    </row>
    <row r="635" spans="6:8" x14ac:dyDescent="0.25">
      <c r="F635" s="46"/>
      <c r="G635" s="46"/>
      <c r="H635" s="46"/>
    </row>
    <row r="636" spans="6:8" x14ac:dyDescent="0.25">
      <c r="F636" s="46"/>
      <c r="G636" s="46"/>
      <c r="H636" s="46"/>
    </row>
    <row r="637" spans="6:8" x14ac:dyDescent="0.25">
      <c r="F637" s="46"/>
      <c r="G637" s="46"/>
      <c r="H637" s="46"/>
    </row>
    <row r="638" spans="6:8" x14ac:dyDescent="0.25">
      <c r="F638" s="46"/>
      <c r="G638" s="46"/>
      <c r="H638" s="46"/>
    </row>
    <row r="639" spans="6:8" x14ac:dyDescent="0.25">
      <c r="F639" s="46"/>
      <c r="G639" s="46"/>
      <c r="H639" s="46"/>
    </row>
    <row r="640" spans="6:8" x14ac:dyDescent="0.25">
      <c r="F640" s="46"/>
      <c r="G640" s="46"/>
      <c r="H640" s="46"/>
    </row>
    <row r="641" spans="6:8" x14ac:dyDescent="0.25">
      <c r="F641" s="46"/>
      <c r="G641" s="46"/>
      <c r="H641" s="46"/>
    </row>
    <row r="642" spans="6:8" x14ac:dyDescent="0.25">
      <c r="F642" s="46"/>
      <c r="G642" s="46"/>
      <c r="H642" s="46"/>
    </row>
    <row r="643" spans="6:8" x14ac:dyDescent="0.25">
      <c r="F643" s="46"/>
      <c r="G643" s="46"/>
      <c r="H643" s="46"/>
    </row>
    <row r="644" spans="6:8" x14ac:dyDescent="0.25">
      <c r="F644" s="46"/>
      <c r="G644" s="46"/>
      <c r="H644" s="46"/>
    </row>
    <row r="645" spans="6:8" x14ac:dyDescent="0.25">
      <c r="F645" s="46"/>
      <c r="G645" s="46"/>
      <c r="H645" s="46"/>
    </row>
    <row r="646" spans="6:8" x14ac:dyDescent="0.25">
      <c r="F646" s="46"/>
      <c r="G646" s="46"/>
      <c r="H646" s="46"/>
    </row>
    <row r="647" spans="6:8" x14ac:dyDescent="0.25">
      <c r="F647" s="46"/>
      <c r="G647" s="46"/>
      <c r="H647" s="46"/>
    </row>
    <row r="648" spans="6:8" x14ac:dyDescent="0.25">
      <c r="F648" s="46"/>
      <c r="G648" s="46"/>
      <c r="H648" s="46"/>
    </row>
    <row r="649" spans="6:8" x14ac:dyDescent="0.25">
      <c r="F649" s="46"/>
      <c r="G649" s="46"/>
      <c r="H649" s="46"/>
    </row>
    <row r="650" spans="6:8" x14ac:dyDescent="0.25">
      <c r="F650" s="46"/>
      <c r="G650" s="46"/>
      <c r="H650" s="46"/>
    </row>
    <row r="651" spans="6:8" x14ac:dyDescent="0.25">
      <c r="F651" s="46"/>
      <c r="G651" s="46"/>
      <c r="H651" s="46"/>
    </row>
    <row r="652" spans="6:8" x14ac:dyDescent="0.25">
      <c r="F652" s="46"/>
      <c r="G652" s="46"/>
      <c r="H652" s="46"/>
    </row>
    <row r="653" spans="6:8" x14ac:dyDescent="0.25">
      <c r="F653" s="46"/>
      <c r="G653" s="46"/>
      <c r="H653" s="46"/>
    </row>
    <row r="654" spans="6:8" x14ac:dyDescent="0.25">
      <c r="F654" s="46"/>
      <c r="G654" s="46"/>
      <c r="H654" s="46"/>
    </row>
    <row r="655" spans="6:8" x14ac:dyDescent="0.25">
      <c r="F655" s="46"/>
      <c r="G655" s="46"/>
      <c r="H655" s="46"/>
    </row>
    <row r="656" spans="6:8" x14ac:dyDescent="0.25">
      <c r="F656" s="46"/>
      <c r="G656" s="46"/>
      <c r="H656" s="46"/>
    </row>
    <row r="657" spans="6:8" x14ac:dyDescent="0.25">
      <c r="F657" s="46"/>
      <c r="G657" s="46"/>
      <c r="H657" s="46"/>
    </row>
    <row r="658" spans="6:8" x14ac:dyDescent="0.25">
      <c r="F658" s="46"/>
      <c r="G658" s="46"/>
      <c r="H658" s="46"/>
    </row>
    <row r="659" spans="6:8" x14ac:dyDescent="0.25">
      <c r="F659" s="46"/>
      <c r="G659" s="46"/>
      <c r="H659" s="46"/>
    </row>
    <row r="660" spans="6:8" x14ac:dyDescent="0.25">
      <c r="F660" s="46"/>
      <c r="G660" s="46"/>
      <c r="H660" s="46"/>
    </row>
    <row r="661" spans="6:8" x14ac:dyDescent="0.25">
      <c r="F661" s="46"/>
      <c r="G661" s="46"/>
      <c r="H661" s="46"/>
    </row>
    <row r="662" spans="6:8" x14ac:dyDescent="0.25">
      <c r="F662" s="46"/>
      <c r="G662" s="46"/>
      <c r="H662" s="46"/>
    </row>
    <row r="663" spans="6:8" x14ac:dyDescent="0.25">
      <c r="F663" s="46"/>
      <c r="G663" s="46"/>
      <c r="H663" s="46"/>
    </row>
    <row r="664" spans="6:8" x14ac:dyDescent="0.25">
      <c r="F664" s="46"/>
      <c r="G664" s="46"/>
      <c r="H664" s="46"/>
    </row>
    <row r="665" spans="6:8" x14ac:dyDescent="0.25">
      <c r="F665" s="46"/>
      <c r="G665" s="46"/>
      <c r="H665" s="46"/>
    </row>
    <row r="666" spans="6:8" x14ac:dyDescent="0.25">
      <c r="F666" s="46"/>
      <c r="G666" s="46"/>
      <c r="H666" s="46"/>
    </row>
    <row r="667" spans="6:8" x14ac:dyDescent="0.25">
      <c r="F667" s="46"/>
      <c r="G667" s="46"/>
      <c r="H667" s="46"/>
    </row>
    <row r="668" spans="6:8" x14ac:dyDescent="0.25">
      <c r="F668" s="46"/>
      <c r="G668" s="46"/>
      <c r="H668" s="46"/>
    </row>
    <row r="669" spans="6:8" x14ac:dyDescent="0.25">
      <c r="F669" s="46"/>
      <c r="G669" s="46"/>
      <c r="H669" s="46"/>
    </row>
    <row r="670" spans="6:8" x14ac:dyDescent="0.25">
      <c r="F670" s="46"/>
      <c r="G670" s="46"/>
      <c r="H670" s="46"/>
    </row>
    <row r="671" spans="6:8" x14ac:dyDescent="0.25">
      <c r="F671" s="46"/>
      <c r="G671" s="46"/>
      <c r="H671" s="46"/>
    </row>
    <row r="672" spans="6:8" x14ac:dyDescent="0.25">
      <c r="F672" s="46"/>
      <c r="G672" s="46"/>
      <c r="H672" s="46"/>
    </row>
    <row r="673" spans="6:8" x14ac:dyDescent="0.25">
      <c r="F673" s="46"/>
      <c r="G673" s="46"/>
      <c r="H673" s="46"/>
    </row>
    <row r="674" spans="6:8" x14ac:dyDescent="0.25">
      <c r="F674" s="46"/>
      <c r="G674" s="46"/>
      <c r="H674" s="46"/>
    </row>
    <row r="675" spans="6:8" x14ac:dyDescent="0.25">
      <c r="F675" s="46"/>
      <c r="G675" s="46"/>
      <c r="H675" s="46"/>
    </row>
    <row r="676" spans="6:8" x14ac:dyDescent="0.25">
      <c r="F676" s="46"/>
      <c r="G676" s="46"/>
      <c r="H676" s="46"/>
    </row>
    <row r="677" spans="6:8" x14ac:dyDescent="0.25">
      <c r="F677" s="46"/>
      <c r="G677" s="46"/>
      <c r="H677" s="46"/>
    </row>
    <row r="678" spans="6:8" x14ac:dyDescent="0.25">
      <c r="F678" s="46"/>
      <c r="G678" s="46"/>
      <c r="H678" s="46"/>
    </row>
    <row r="679" spans="6:8" x14ac:dyDescent="0.25">
      <c r="F679" s="46"/>
      <c r="G679" s="46"/>
      <c r="H679" s="46"/>
    </row>
    <row r="680" spans="6:8" x14ac:dyDescent="0.25">
      <c r="F680" s="46"/>
      <c r="G680" s="46"/>
      <c r="H680" s="46"/>
    </row>
    <row r="681" spans="6:8" x14ac:dyDescent="0.25">
      <c r="F681" s="46"/>
      <c r="G681" s="46"/>
      <c r="H681" s="46"/>
    </row>
    <row r="682" spans="6:8" x14ac:dyDescent="0.25">
      <c r="F682" s="46"/>
      <c r="G682" s="46"/>
      <c r="H682" s="46"/>
    </row>
    <row r="683" spans="6:8" x14ac:dyDescent="0.25">
      <c r="F683" s="46"/>
      <c r="G683" s="46"/>
      <c r="H683" s="46"/>
    </row>
    <row r="684" spans="6:8" x14ac:dyDescent="0.25">
      <c r="F684" s="46"/>
      <c r="G684" s="46"/>
      <c r="H684" s="46"/>
    </row>
    <row r="685" spans="6:8" x14ac:dyDescent="0.25">
      <c r="F685" s="46"/>
      <c r="G685" s="46"/>
      <c r="H685" s="46"/>
    </row>
    <row r="686" spans="6:8" x14ac:dyDescent="0.25">
      <c r="F686" s="46"/>
      <c r="G686" s="46"/>
      <c r="H686" s="46"/>
    </row>
    <row r="687" spans="6:8" x14ac:dyDescent="0.25">
      <c r="F687" s="46"/>
      <c r="G687" s="46"/>
      <c r="H687" s="46"/>
    </row>
    <row r="688" spans="6:8" x14ac:dyDescent="0.25">
      <c r="F688" s="46"/>
      <c r="G688" s="46"/>
      <c r="H688" s="46"/>
    </row>
    <row r="689" spans="6:8" x14ac:dyDescent="0.25">
      <c r="F689" s="46"/>
      <c r="G689" s="46"/>
      <c r="H689" s="46"/>
    </row>
    <row r="690" spans="6:8" x14ac:dyDescent="0.25">
      <c r="F690" s="46"/>
      <c r="G690" s="46"/>
      <c r="H690" s="46"/>
    </row>
    <row r="691" spans="6:8" x14ac:dyDescent="0.25">
      <c r="F691" s="46"/>
      <c r="G691" s="46"/>
      <c r="H691" s="46"/>
    </row>
    <row r="692" spans="6:8" x14ac:dyDescent="0.25">
      <c r="F692" s="46"/>
      <c r="G692" s="46"/>
      <c r="H692" s="46"/>
    </row>
    <row r="693" spans="6:8" x14ac:dyDescent="0.25">
      <c r="F693" s="46"/>
      <c r="G693" s="46"/>
      <c r="H693" s="46"/>
    </row>
    <row r="694" spans="6:8" x14ac:dyDescent="0.25">
      <c r="F694" s="46"/>
      <c r="G694" s="46"/>
      <c r="H694" s="46"/>
    </row>
    <row r="695" spans="6:8" x14ac:dyDescent="0.25">
      <c r="F695" s="46"/>
      <c r="G695" s="46"/>
      <c r="H695" s="46"/>
    </row>
    <row r="696" spans="6:8" x14ac:dyDescent="0.25">
      <c r="F696" s="46"/>
      <c r="G696" s="46"/>
      <c r="H696" s="46"/>
    </row>
    <row r="697" spans="6:8" x14ac:dyDescent="0.25">
      <c r="F697" s="46"/>
      <c r="G697" s="46"/>
      <c r="H697" s="46"/>
    </row>
    <row r="698" spans="6:8" x14ac:dyDescent="0.25">
      <c r="F698" s="46"/>
      <c r="G698" s="46"/>
      <c r="H698" s="46"/>
    </row>
    <row r="699" spans="6:8" x14ac:dyDescent="0.25">
      <c r="F699" s="46"/>
      <c r="G699" s="46"/>
      <c r="H699" s="46"/>
    </row>
    <row r="700" spans="6:8" x14ac:dyDescent="0.25">
      <c r="F700" s="46"/>
      <c r="G700" s="46"/>
      <c r="H700" s="46"/>
    </row>
    <row r="701" spans="6:8" x14ac:dyDescent="0.25">
      <c r="F701" s="46"/>
      <c r="G701" s="46"/>
      <c r="H701" s="46"/>
    </row>
    <row r="702" spans="6:8" x14ac:dyDescent="0.25">
      <c r="F702" s="46"/>
      <c r="G702" s="46"/>
      <c r="H702" s="46"/>
    </row>
    <row r="703" spans="6:8" x14ac:dyDescent="0.25">
      <c r="F703" s="46"/>
      <c r="G703" s="46"/>
      <c r="H703" s="46"/>
    </row>
    <row r="704" spans="6:8" x14ac:dyDescent="0.25">
      <c r="F704" s="46"/>
      <c r="G704" s="46"/>
      <c r="H704" s="46"/>
    </row>
    <row r="705" spans="6:8" x14ac:dyDescent="0.25">
      <c r="F705" s="46"/>
      <c r="G705" s="46"/>
      <c r="H705" s="46"/>
    </row>
    <row r="706" spans="6:8" x14ac:dyDescent="0.25">
      <c r="F706" s="46"/>
      <c r="G706" s="46"/>
      <c r="H706" s="46"/>
    </row>
    <row r="707" spans="6:8" x14ac:dyDescent="0.25">
      <c r="F707" s="46"/>
      <c r="G707" s="46"/>
      <c r="H707" s="46"/>
    </row>
    <row r="708" spans="6:8" x14ac:dyDescent="0.25">
      <c r="F708" s="46"/>
      <c r="G708" s="46"/>
      <c r="H708" s="46"/>
    </row>
    <row r="709" spans="6:8" x14ac:dyDescent="0.25">
      <c r="F709" s="46"/>
      <c r="G709" s="46"/>
      <c r="H709" s="46"/>
    </row>
    <row r="710" spans="6:8" x14ac:dyDescent="0.25">
      <c r="F710" s="46"/>
      <c r="G710" s="46"/>
      <c r="H710" s="46"/>
    </row>
    <row r="711" spans="6:8" x14ac:dyDescent="0.25">
      <c r="F711" s="46"/>
      <c r="G711" s="46"/>
      <c r="H711" s="46"/>
    </row>
    <row r="712" spans="6:8" x14ac:dyDescent="0.25">
      <c r="F712" s="46"/>
      <c r="G712" s="46"/>
      <c r="H712" s="46"/>
    </row>
    <row r="713" spans="6:8" x14ac:dyDescent="0.25">
      <c r="F713" s="46"/>
      <c r="G713" s="46"/>
      <c r="H713" s="46"/>
    </row>
    <row r="714" spans="6:8" x14ac:dyDescent="0.25">
      <c r="F714" s="46"/>
      <c r="G714" s="46"/>
      <c r="H714" s="46"/>
    </row>
    <row r="715" spans="6:8" x14ac:dyDescent="0.25">
      <c r="F715" s="46"/>
      <c r="G715" s="46"/>
      <c r="H715" s="46"/>
    </row>
    <row r="716" spans="6:8" x14ac:dyDescent="0.25">
      <c r="F716" s="46"/>
      <c r="G716" s="46"/>
      <c r="H716" s="46"/>
    </row>
    <row r="717" spans="6:8" x14ac:dyDescent="0.25">
      <c r="F717" s="46"/>
      <c r="G717" s="46"/>
      <c r="H717" s="46"/>
    </row>
    <row r="718" spans="6:8" x14ac:dyDescent="0.25">
      <c r="F718" s="46"/>
      <c r="G718" s="46"/>
      <c r="H718" s="46"/>
    </row>
    <row r="719" spans="6:8" x14ac:dyDescent="0.25">
      <c r="F719" s="46"/>
      <c r="G719" s="46"/>
      <c r="H719" s="46"/>
    </row>
    <row r="720" spans="6:8" x14ac:dyDescent="0.25">
      <c r="F720" s="46"/>
      <c r="G720" s="46"/>
      <c r="H720" s="46"/>
    </row>
    <row r="721" spans="6:8" x14ac:dyDescent="0.25">
      <c r="F721" s="46"/>
      <c r="G721" s="46"/>
      <c r="H721" s="46"/>
    </row>
    <row r="722" spans="6:8" x14ac:dyDescent="0.25">
      <c r="F722" s="46"/>
      <c r="G722" s="46"/>
      <c r="H722" s="46"/>
    </row>
    <row r="723" spans="6:8" x14ac:dyDescent="0.25">
      <c r="F723" s="46"/>
      <c r="G723" s="46"/>
      <c r="H723" s="46"/>
    </row>
    <row r="724" spans="6:8" x14ac:dyDescent="0.25">
      <c r="F724" s="46"/>
      <c r="G724" s="46"/>
      <c r="H724" s="46"/>
    </row>
    <row r="725" spans="6:8" x14ac:dyDescent="0.25">
      <c r="F725" s="46"/>
      <c r="G725" s="46"/>
      <c r="H725" s="46"/>
    </row>
    <row r="726" spans="6:8" x14ac:dyDescent="0.25">
      <c r="F726" s="46"/>
      <c r="G726" s="46"/>
      <c r="H726" s="46"/>
    </row>
    <row r="727" spans="6:8" x14ac:dyDescent="0.25">
      <c r="F727" s="46"/>
      <c r="G727" s="46"/>
      <c r="H727" s="46"/>
    </row>
    <row r="728" spans="6:8" x14ac:dyDescent="0.25">
      <c r="F728" s="46"/>
      <c r="G728" s="46"/>
      <c r="H728" s="46"/>
    </row>
    <row r="729" spans="6:8" x14ac:dyDescent="0.25">
      <c r="F729" s="46"/>
      <c r="G729" s="46"/>
      <c r="H729" s="46"/>
    </row>
    <row r="730" spans="6:8" x14ac:dyDescent="0.25">
      <c r="F730" s="46"/>
      <c r="G730" s="46"/>
      <c r="H730" s="46"/>
    </row>
    <row r="731" spans="6:8" x14ac:dyDescent="0.25">
      <c r="F731" s="46"/>
      <c r="G731" s="46"/>
      <c r="H731" s="46"/>
    </row>
    <row r="732" spans="6:8" x14ac:dyDescent="0.25">
      <c r="F732" s="46"/>
      <c r="G732" s="46"/>
      <c r="H732" s="46"/>
    </row>
    <row r="733" spans="6:8" x14ac:dyDescent="0.25">
      <c r="F733" s="46"/>
      <c r="G733" s="46"/>
      <c r="H733" s="46"/>
    </row>
    <row r="734" spans="6:8" x14ac:dyDescent="0.25">
      <c r="F734" s="46"/>
      <c r="G734" s="46"/>
      <c r="H734" s="46"/>
    </row>
    <row r="735" spans="6:8" x14ac:dyDescent="0.25">
      <c r="F735" s="46"/>
      <c r="G735" s="46"/>
      <c r="H735" s="46"/>
    </row>
    <row r="736" spans="6:8" x14ac:dyDescent="0.25">
      <c r="F736" s="46"/>
      <c r="G736" s="46"/>
      <c r="H736" s="46"/>
    </row>
    <row r="737" spans="6:8" x14ac:dyDescent="0.25">
      <c r="F737" s="46"/>
      <c r="G737" s="46"/>
      <c r="H737" s="46"/>
    </row>
    <row r="738" spans="6:8" x14ac:dyDescent="0.25">
      <c r="F738" s="46"/>
      <c r="G738" s="46"/>
      <c r="H738" s="46"/>
    </row>
    <row r="739" spans="6:8" x14ac:dyDescent="0.25">
      <c r="F739" s="46"/>
      <c r="G739" s="46"/>
      <c r="H739" s="46"/>
    </row>
    <row r="740" spans="6:8" x14ac:dyDescent="0.25">
      <c r="F740" s="46"/>
      <c r="G740" s="46"/>
      <c r="H740" s="46"/>
    </row>
    <row r="741" spans="6:8" x14ac:dyDescent="0.25">
      <c r="F741" s="46"/>
      <c r="G741" s="46"/>
      <c r="H741" s="46"/>
    </row>
    <row r="742" spans="6:8" x14ac:dyDescent="0.25">
      <c r="F742" s="46"/>
      <c r="G742" s="46"/>
      <c r="H742" s="46"/>
    </row>
    <row r="743" spans="6:8" x14ac:dyDescent="0.25">
      <c r="F743" s="46"/>
      <c r="G743" s="46"/>
      <c r="H743" s="46"/>
    </row>
    <row r="744" spans="6:8" x14ac:dyDescent="0.25">
      <c r="F744" s="46"/>
      <c r="G744" s="46"/>
      <c r="H744" s="46"/>
    </row>
    <row r="745" spans="6:8" x14ac:dyDescent="0.25">
      <c r="F745" s="46"/>
      <c r="G745" s="46"/>
      <c r="H745" s="46"/>
    </row>
    <row r="746" spans="6:8" x14ac:dyDescent="0.25">
      <c r="F746" s="46"/>
      <c r="G746" s="46"/>
      <c r="H746" s="46"/>
    </row>
    <row r="747" spans="6:8" x14ac:dyDescent="0.25">
      <c r="F747" s="46"/>
      <c r="G747" s="46"/>
      <c r="H747" s="46"/>
    </row>
    <row r="748" spans="6:8" x14ac:dyDescent="0.25">
      <c r="F748" s="46"/>
      <c r="G748" s="46"/>
      <c r="H748" s="46"/>
    </row>
    <row r="749" spans="6:8" x14ac:dyDescent="0.25">
      <c r="F749" s="46"/>
      <c r="G749" s="46"/>
      <c r="H749" s="46"/>
    </row>
    <row r="750" spans="6:8" x14ac:dyDescent="0.25">
      <c r="F750" s="46"/>
      <c r="G750" s="46"/>
      <c r="H750" s="46"/>
    </row>
    <row r="751" spans="6:8" x14ac:dyDescent="0.25">
      <c r="F751" s="46"/>
      <c r="G751" s="46"/>
      <c r="H751" s="46"/>
    </row>
    <row r="752" spans="6:8" x14ac:dyDescent="0.25">
      <c r="F752" s="46"/>
      <c r="G752" s="46"/>
      <c r="H752" s="46"/>
    </row>
    <row r="753" spans="6:8" x14ac:dyDescent="0.25">
      <c r="F753" s="46"/>
      <c r="G753" s="46"/>
      <c r="H753" s="46"/>
    </row>
    <row r="754" spans="6:8" x14ac:dyDescent="0.25">
      <c r="F754" s="46"/>
      <c r="G754" s="46"/>
      <c r="H754" s="46"/>
    </row>
    <row r="755" spans="6:8" x14ac:dyDescent="0.25">
      <c r="F755" s="46"/>
      <c r="G755" s="46"/>
      <c r="H755" s="46"/>
    </row>
    <row r="756" spans="6:8" x14ac:dyDescent="0.25">
      <c r="F756" s="46"/>
      <c r="G756" s="46"/>
      <c r="H756" s="46"/>
    </row>
    <row r="757" spans="6:8" x14ac:dyDescent="0.25">
      <c r="F757" s="46"/>
      <c r="G757" s="46"/>
      <c r="H757" s="46"/>
    </row>
    <row r="758" spans="6:8" x14ac:dyDescent="0.25">
      <c r="F758" s="46"/>
      <c r="G758" s="46"/>
      <c r="H758" s="46"/>
    </row>
    <row r="759" spans="6:8" x14ac:dyDescent="0.25">
      <c r="F759" s="46"/>
      <c r="G759" s="46"/>
      <c r="H759" s="46"/>
    </row>
    <row r="760" spans="6:8" x14ac:dyDescent="0.25">
      <c r="F760" s="46"/>
      <c r="G760" s="46"/>
      <c r="H760" s="46"/>
    </row>
    <row r="761" spans="6:8" x14ac:dyDescent="0.25">
      <c r="F761" s="46"/>
      <c r="G761" s="46"/>
      <c r="H761" s="46"/>
    </row>
    <row r="762" spans="6:8" x14ac:dyDescent="0.25">
      <c r="F762" s="46"/>
      <c r="G762" s="46"/>
      <c r="H762" s="46"/>
    </row>
    <row r="763" spans="6:8" x14ac:dyDescent="0.25">
      <c r="F763" s="46"/>
      <c r="G763" s="46"/>
      <c r="H763" s="46"/>
    </row>
    <row r="764" spans="6:8" x14ac:dyDescent="0.25">
      <c r="F764" s="46"/>
      <c r="G764" s="46"/>
      <c r="H764" s="46"/>
    </row>
    <row r="765" spans="6:8" x14ac:dyDescent="0.25">
      <c r="F765" s="46"/>
      <c r="G765" s="46"/>
      <c r="H765" s="46"/>
    </row>
    <row r="766" spans="6:8" x14ac:dyDescent="0.25">
      <c r="F766" s="46"/>
      <c r="G766" s="46"/>
      <c r="H766" s="46"/>
    </row>
    <row r="767" spans="6:8" x14ac:dyDescent="0.25">
      <c r="F767" s="46"/>
      <c r="G767" s="46"/>
      <c r="H767" s="46"/>
    </row>
    <row r="768" spans="6:8" x14ac:dyDescent="0.25">
      <c r="F768" s="46"/>
      <c r="G768" s="46"/>
      <c r="H768" s="46"/>
    </row>
    <row r="769" spans="6:8" x14ac:dyDescent="0.25">
      <c r="F769" s="46"/>
      <c r="G769" s="46"/>
      <c r="H769" s="46"/>
    </row>
    <row r="770" spans="6:8" x14ac:dyDescent="0.25">
      <c r="F770" s="46"/>
      <c r="G770" s="46"/>
      <c r="H770" s="46"/>
    </row>
    <row r="771" spans="6:8" x14ac:dyDescent="0.25">
      <c r="F771" s="46"/>
      <c r="G771" s="46"/>
      <c r="H771" s="46"/>
    </row>
    <row r="772" spans="6:8" x14ac:dyDescent="0.25">
      <c r="F772" s="46"/>
      <c r="G772" s="46"/>
      <c r="H772" s="46"/>
    </row>
    <row r="773" spans="6:8" x14ac:dyDescent="0.25">
      <c r="F773" s="46"/>
      <c r="G773" s="46"/>
      <c r="H773" s="46"/>
    </row>
    <row r="774" spans="6:8" x14ac:dyDescent="0.25">
      <c r="F774" s="46"/>
      <c r="G774" s="46"/>
      <c r="H774" s="46"/>
    </row>
    <row r="775" spans="6:8" x14ac:dyDescent="0.25">
      <c r="F775" s="46"/>
      <c r="G775" s="46"/>
      <c r="H775" s="46"/>
    </row>
    <row r="776" spans="6:8" x14ac:dyDescent="0.25">
      <c r="F776" s="46"/>
      <c r="G776" s="46"/>
      <c r="H776" s="46"/>
    </row>
    <row r="777" spans="6:8" x14ac:dyDescent="0.25">
      <c r="F777" s="46"/>
      <c r="G777" s="46"/>
      <c r="H777" s="46"/>
    </row>
    <row r="778" spans="6:8" x14ac:dyDescent="0.25">
      <c r="F778" s="46"/>
      <c r="G778" s="46"/>
      <c r="H778" s="46"/>
    </row>
    <row r="779" spans="6:8" x14ac:dyDescent="0.25">
      <c r="F779" s="46"/>
      <c r="G779" s="46"/>
      <c r="H779" s="46"/>
    </row>
    <row r="780" spans="6:8" x14ac:dyDescent="0.25">
      <c r="F780" s="46"/>
      <c r="G780" s="46"/>
      <c r="H780" s="46"/>
    </row>
    <row r="781" spans="6:8" x14ac:dyDescent="0.25">
      <c r="F781" s="46"/>
      <c r="G781" s="46"/>
      <c r="H781" s="46"/>
    </row>
    <row r="782" spans="6:8" x14ac:dyDescent="0.25">
      <c r="F782" s="46"/>
      <c r="G782" s="46"/>
      <c r="H782" s="46"/>
    </row>
    <row r="783" spans="6:8" x14ac:dyDescent="0.25">
      <c r="F783" s="46"/>
      <c r="G783" s="46"/>
      <c r="H783" s="46"/>
    </row>
    <row r="784" spans="6:8" x14ac:dyDescent="0.25">
      <c r="F784" s="46"/>
      <c r="G784" s="46"/>
      <c r="H784" s="46"/>
    </row>
    <row r="785" spans="6:8" x14ac:dyDescent="0.25">
      <c r="F785" s="46"/>
      <c r="G785" s="46"/>
      <c r="H785" s="46"/>
    </row>
    <row r="786" spans="6:8" x14ac:dyDescent="0.25">
      <c r="F786" s="46"/>
      <c r="G786" s="46"/>
      <c r="H786" s="46"/>
    </row>
    <row r="787" spans="6:8" x14ac:dyDescent="0.25">
      <c r="F787" s="46"/>
      <c r="G787" s="46"/>
      <c r="H787" s="46"/>
    </row>
    <row r="788" spans="6:8" x14ac:dyDescent="0.25">
      <c r="F788" s="46"/>
      <c r="G788" s="46"/>
      <c r="H788" s="46"/>
    </row>
    <row r="789" spans="6:8" x14ac:dyDescent="0.25">
      <c r="F789" s="46"/>
      <c r="G789" s="46"/>
      <c r="H789" s="46"/>
    </row>
    <row r="790" spans="6:8" x14ac:dyDescent="0.25">
      <c r="F790" s="46"/>
      <c r="G790" s="46"/>
      <c r="H790" s="46"/>
    </row>
    <row r="791" spans="6:8" x14ac:dyDescent="0.25">
      <c r="F791" s="46"/>
      <c r="G791" s="46"/>
      <c r="H791" s="46"/>
    </row>
    <row r="792" spans="6:8" x14ac:dyDescent="0.25">
      <c r="F792" s="46"/>
      <c r="G792" s="46"/>
      <c r="H792" s="46"/>
    </row>
    <row r="793" spans="6:8" x14ac:dyDescent="0.25">
      <c r="F793" s="46"/>
      <c r="G793" s="46"/>
      <c r="H793" s="46"/>
    </row>
    <row r="794" spans="6:8" x14ac:dyDescent="0.25">
      <c r="F794" s="46"/>
      <c r="G794" s="46"/>
      <c r="H794" s="46"/>
    </row>
    <row r="795" spans="6:8" x14ac:dyDescent="0.25">
      <c r="F795" s="46"/>
      <c r="G795" s="46"/>
      <c r="H795" s="46"/>
    </row>
    <row r="796" spans="6:8" x14ac:dyDescent="0.25">
      <c r="F796" s="46"/>
      <c r="G796" s="46"/>
      <c r="H796" s="46"/>
    </row>
    <row r="797" spans="6:8" x14ac:dyDescent="0.25">
      <c r="F797" s="46"/>
      <c r="G797" s="46"/>
      <c r="H797" s="46"/>
    </row>
    <row r="798" spans="6:8" x14ac:dyDescent="0.25">
      <c r="F798" s="46"/>
      <c r="G798" s="46"/>
      <c r="H798" s="46"/>
    </row>
    <row r="799" spans="6:8" x14ac:dyDescent="0.25">
      <c r="F799" s="46"/>
      <c r="G799" s="46"/>
      <c r="H799" s="46"/>
    </row>
    <row r="800" spans="6:8" x14ac:dyDescent="0.25">
      <c r="F800" s="46"/>
      <c r="G800" s="46"/>
      <c r="H800" s="46"/>
    </row>
    <row r="801" spans="6:8" x14ac:dyDescent="0.25">
      <c r="F801" s="46"/>
      <c r="G801" s="46"/>
      <c r="H801" s="46"/>
    </row>
    <row r="802" spans="6:8" x14ac:dyDescent="0.25">
      <c r="F802" s="46"/>
      <c r="G802" s="46"/>
      <c r="H802" s="46"/>
    </row>
    <row r="803" spans="6:8" x14ac:dyDescent="0.25">
      <c r="F803" s="46"/>
      <c r="G803" s="46"/>
      <c r="H803" s="46"/>
    </row>
    <row r="804" spans="6:8" x14ac:dyDescent="0.25">
      <c r="F804" s="46"/>
      <c r="G804" s="46"/>
      <c r="H804" s="46"/>
    </row>
    <row r="805" spans="6:8" x14ac:dyDescent="0.25">
      <c r="F805" s="46"/>
      <c r="G805" s="46"/>
      <c r="H805" s="46"/>
    </row>
    <row r="806" spans="6:8" x14ac:dyDescent="0.25">
      <c r="F806" s="46"/>
      <c r="G806" s="46"/>
      <c r="H806" s="46"/>
    </row>
    <row r="807" spans="6:8" x14ac:dyDescent="0.25">
      <c r="F807" s="46"/>
      <c r="G807" s="46"/>
      <c r="H807" s="46"/>
    </row>
    <row r="808" spans="6:8" x14ac:dyDescent="0.25">
      <c r="F808" s="46"/>
      <c r="G808" s="46"/>
      <c r="H808" s="46"/>
    </row>
    <row r="809" spans="6:8" x14ac:dyDescent="0.25">
      <c r="F809" s="46"/>
      <c r="G809" s="46"/>
      <c r="H809" s="46"/>
    </row>
    <row r="810" spans="6:8" x14ac:dyDescent="0.25">
      <c r="F810" s="46"/>
      <c r="G810" s="46"/>
      <c r="H810" s="46"/>
    </row>
    <row r="811" spans="6:8" x14ac:dyDescent="0.25">
      <c r="F811" s="46"/>
      <c r="G811" s="46"/>
      <c r="H811" s="46"/>
    </row>
    <row r="812" spans="6:8" x14ac:dyDescent="0.25">
      <c r="F812" s="46"/>
      <c r="G812" s="46"/>
      <c r="H812" s="46"/>
    </row>
    <row r="813" spans="6:8" x14ac:dyDescent="0.25">
      <c r="F813" s="46"/>
      <c r="G813" s="46"/>
      <c r="H813" s="46"/>
    </row>
    <row r="814" spans="6:8" x14ac:dyDescent="0.25">
      <c r="F814" s="46"/>
      <c r="G814" s="46"/>
      <c r="H814" s="46"/>
    </row>
    <row r="815" spans="6:8" x14ac:dyDescent="0.25">
      <c r="F815" s="46"/>
      <c r="G815" s="46"/>
      <c r="H815" s="46"/>
    </row>
    <row r="816" spans="6:8" x14ac:dyDescent="0.25">
      <c r="F816" s="46"/>
      <c r="G816" s="46"/>
      <c r="H816" s="46"/>
    </row>
    <row r="817" spans="6:8" x14ac:dyDescent="0.25">
      <c r="F817" s="46"/>
      <c r="G817" s="46"/>
      <c r="H817" s="46"/>
    </row>
    <row r="818" spans="6:8" x14ac:dyDescent="0.25">
      <c r="F818" s="46"/>
      <c r="G818" s="46"/>
      <c r="H818" s="46"/>
    </row>
    <row r="819" spans="6:8" x14ac:dyDescent="0.25">
      <c r="F819" s="46"/>
      <c r="G819" s="46"/>
      <c r="H819" s="46"/>
    </row>
    <row r="820" spans="6:8" x14ac:dyDescent="0.25">
      <c r="F820" s="46"/>
      <c r="G820" s="46"/>
      <c r="H820" s="46"/>
    </row>
    <row r="821" spans="6:8" x14ac:dyDescent="0.25">
      <c r="F821" s="46"/>
      <c r="G821" s="46"/>
      <c r="H821" s="46"/>
    </row>
    <row r="822" spans="6:8" x14ac:dyDescent="0.25">
      <c r="F822" s="46"/>
      <c r="G822" s="46"/>
      <c r="H822" s="46"/>
    </row>
    <row r="823" spans="6:8" x14ac:dyDescent="0.25">
      <c r="F823" s="46"/>
      <c r="G823" s="46"/>
      <c r="H823" s="46"/>
    </row>
    <row r="824" spans="6:8" x14ac:dyDescent="0.25">
      <c r="F824" s="46"/>
      <c r="G824" s="46"/>
      <c r="H824" s="46"/>
    </row>
    <row r="825" spans="6:8" x14ac:dyDescent="0.25">
      <c r="F825" s="46"/>
      <c r="G825" s="46"/>
      <c r="H825" s="46"/>
    </row>
    <row r="826" spans="6:8" x14ac:dyDescent="0.25">
      <c r="F826" s="46"/>
      <c r="G826" s="46"/>
      <c r="H826" s="46"/>
    </row>
    <row r="827" spans="6:8" x14ac:dyDescent="0.25">
      <c r="F827" s="46"/>
      <c r="G827" s="46"/>
      <c r="H827" s="46"/>
    </row>
    <row r="828" spans="6:8" x14ac:dyDescent="0.25">
      <c r="F828" s="46"/>
      <c r="G828" s="46"/>
      <c r="H828" s="46"/>
    </row>
    <row r="829" spans="6:8" x14ac:dyDescent="0.25">
      <c r="F829" s="46"/>
      <c r="G829" s="46"/>
      <c r="H829" s="46"/>
    </row>
    <row r="830" spans="6:8" x14ac:dyDescent="0.25">
      <c r="F830" s="46"/>
      <c r="G830" s="46"/>
      <c r="H830" s="46"/>
    </row>
    <row r="831" spans="6:8" x14ac:dyDescent="0.25">
      <c r="F831" s="46"/>
      <c r="G831" s="46"/>
      <c r="H831" s="46"/>
    </row>
    <row r="832" spans="6:8" x14ac:dyDescent="0.25">
      <c r="F832" s="46"/>
      <c r="G832" s="46"/>
      <c r="H832" s="46"/>
    </row>
    <row r="833" spans="6:8" x14ac:dyDescent="0.25">
      <c r="F833" s="46"/>
      <c r="G833" s="46"/>
      <c r="H833" s="46"/>
    </row>
    <row r="834" spans="6:8" x14ac:dyDescent="0.25">
      <c r="F834" s="46"/>
      <c r="G834" s="46"/>
      <c r="H834" s="46"/>
    </row>
    <row r="835" spans="6:8" x14ac:dyDescent="0.25">
      <c r="F835" s="46"/>
      <c r="G835" s="46"/>
      <c r="H835" s="46"/>
    </row>
    <row r="836" spans="6:8" x14ac:dyDescent="0.25">
      <c r="F836" s="46"/>
      <c r="G836" s="46"/>
      <c r="H836" s="46"/>
    </row>
    <row r="837" spans="6:8" x14ac:dyDescent="0.25">
      <c r="F837" s="46"/>
      <c r="G837" s="46"/>
      <c r="H837" s="46"/>
    </row>
    <row r="838" spans="6:8" x14ac:dyDescent="0.25">
      <c r="F838" s="46"/>
      <c r="G838" s="46"/>
      <c r="H838" s="46"/>
    </row>
    <row r="839" spans="6:8" x14ac:dyDescent="0.25">
      <c r="F839" s="46"/>
      <c r="G839" s="46"/>
      <c r="H839" s="46"/>
    </row>
    <row r="840" spans="6:8" x14ac:dyDescent="0.25">
      <c r="F840" s="46"/>
      <c r="G840" s="46"/>
      <c r="H840" s="46"/>
    </row>
    <row r="841" spans="6:8" x14ac:dyDescent="0.25">
      <c r="F841" s="46"/>
      <c r="G841" s="46"/>
      <c r="H841" s="46"/>
    </row>
    <row r="842" spans="6:8" x14ac:dyDescent="0.25">
      <c r="F842" s="46"/>
      <c r="G842" s="46"/>
      <c r="H842" s="46"/>
    </row>
    <row r="843" spans="6:8" x14ac:dyDescent="0.25">
      <c r="F843" s="46"/>
      <c r="G843" s="46"/>
      <c r="H843" s="46"/>
    </row>
    <row r="844" spans="6:8" x14ac:dyDescent="0.25">
      <c r="F844" s="46"/>
      <c r="G844" s="46"/>
      <c r="H844" s="46"/>
    </row>
    <row r="845" spans="6:8" x14ac:dyDescent="0.25">
      <c r="F845" s="46"/>
      <c r="G845" s="46"/>
      <c r="H845" s="46"/>
    </row>
    <row r="846" spans="6:8" x14ac:dyDescent="0.25">
      <c r="F846" s="46"/>
      <c r="G846" s="46"/>
      <c r="H846" s="46"/>
    </row>
    <row r="847" spans="6:8" x14ac:dyDescent="0.25">
      <c r="F847" s="46"/>
      <c r="G847" s="46"/>
      <c r="H847" s="46"/>
    </row>
    <row r="848" spans="6:8" x14ac:dyDescent="0.25">
      <c r="F848" s="46"/>
      <c r="G848" s="46"/>
      <c r="H848" s="46"/>
    </row>
    <row r="849" spans="6:8" x14ac:dyDescent="0.25">
      <c r="F849" s="46"/>
      <c r="G849" s="46"/>
      <c r="H849" s="46"/>
    </row>
    <row r="850" spans="6:8" x14ac:dyDescent="0.25">
      <c r="F850" s="46"/>
      <c r="G850" s="46"/>
      <c r="H850" s="46"/>
    </row>
    <row r="851" spans="6:8" x14ac:dyDescent="0.25">
      <c r="F851" s="46"/>
      <c r="G851" s="46"/>
      <c r="H851" s="46"/>
    </row>
    <row r="852" spans="6:8" x14ac:dyDescent="0.25">
      <c r="F852" s="46"/>
      <c r="G852" s="46"/>
      <c r="H852" s="46"/>
    </row>
    <row r="853" spans="6:8" x14ac:dyDescent="0.25">
      <c r="F853" s="46"/>
      <c r="G853" s="46"/>
      <c r="H853" s="46"/>
    </row>
    <row r="854" spans="6:8" x14ac:dyDescent="0.25">
      <c r="F854" s="46"/>
      <c r="G854" s="46"/>
      <c r="H854" s="46"/>
    </row>
    <row r="855" spans="6:8" x14ac:dyDescent="0.25">
      <c r="F855" s="46"/>
      <c r="G855" s="46"/>
      <c r="H855" s="46"/>
    </row>
    <row r="856" spans="6:8" x14ac:dyDescent="0.25">
      <c r="F856" s="46"/>
      <c r="G856" s="46"/>
      <c r="H856" s="46"/>
    </row>
    <row r="857" spans="6:8" x14ac:dyDescent="0.25">
      <c r="F857" s="46"/>
      <c r="G857" s="46"/>
      <c r="H857" s="46"/>
    </row>
    <row r="858" spans="6:8" x14ac:dyDescent="0.25">
      <c r="F858" s="46"/>
      <c r="G858" s="46"/>
      <c r="H858" s="46"/>
    </row>
    <row r="859" spans="6:8" x14ac:dyDescent="0.25">
      <c r="F859" s="46"/>
      <c r="G859" s="46"/>
      <c r="H859" s="46"/>
    </row>
    <row r="860" spans="6:8" x14ac:dyDescent="0.25">
      <c r="F860" s="46"/>
      <c r="G860" s="46"/>
      <c r="H860" s="46"/>
    </row>
    <row r="861" spans="6:8" x14ac:dyDescent="0.25">
      <c r="F861" s="46"/>
      <c r="G861" s="46"/>
      <c r="H861" s="46"/>
    </row>
    <row r="862" spans="6:8" x14ac:dyDescent="0.25">
      <c r="F862" s="46"/>
      <c r="G862" s="46"/>
      <c r="H862" s="46"/>
    </row>
    <row r="863" spans="6:8" x14ac:dyDescent="0.25">
      <c r="F863" s="46"/>
      <c r="G863" s="46"/>
      <c r="H863" s="46"/>
    </row>
    <row r="864" spans="6:8" x14ac:dyDescent="0.25">
      <c r="F864" s="46"/>
      <c r="G864" s="46"/>
      <c r="H864" s="46"/>
    </row>
    <row r="865" spans="6:8" x14ac:dyDescent="0.25">
      <c r="F865" s="46"/>
      <c r="G865" s="46"/>
      <c r="H865" s="46"/>
    </row>
    <row r="866" spans="6:8" x14ac:dyDescent="0.25">
      <c r="F866" s="46"/>
      <c r="G866" s="46"/>
      <c r="H866" s="46"/>
    </row>
    <row r="867" spans="6:8" x14ac:dyDescent="0.25">
      <c r="F867" s="46"/>
      <c r="G867" s="46"/>
      <c r="H867" s="46"/>
    </row>
    <row r="868" spans="6:8" x14ac:dyDescent="0.25">
      <c r="F868" s="46"/>
      <c r="G868" s="46"/>
      <c r="H868" s="46"/>
    </row>
    <row r="869" spans="6:8" x14ac:dyDescent="0.25">
      <c r="F869" s="46"/>
      <c r="G869" s="46"/>
      <c r="H869" s="46"/>
    </row>
    <row r="870" spans="6:8" x14ac:dyDescent="0.25">
      <c r="F870" s="46"/>
      <c r="G870" s="46"/>
      <c r="H870" s="46"/>
    </row>
    <row r="871" spans="6:8" x14ac:dyDescent="0.25">
      <c r="F871" s="46"/>
      <c r="G871" s="46"/>
      <c r="H871" s="46"/>
    </row>
    <row r="872" spans="6:8" x14ac:dyDescent="0.25">
      <c r="F872" s="46"/>
      <c r="G872" s="46"/>
      <c r="H872" s="46"/>
    </row>
    <row r="873" spans="6:8" x14ac:dyDescent="0.25">
      <c r="F873" s="46"/>
      <c r="G873" s="46"/>
      <c r="H873" s="46"/>
    </row>
    <row r="874" spans="6:8" x14ac:dyDescent="0.25">
      <c r="F874" s="46"/>
      <c r="G874" s="46"/>
      <c r="H874" s="46"/>
    </row>
    <row r="875" spans="6:8" x14ac:dyDescent="0.25">
      <c r="F875" s="46"/>
      <c r="G875" s="46"/>
      <c r="H875" s="46"/>
    </row>
    <row r="876" spans="6:8" x14ac:dyDescent="0.25">
      <c r="F876" s="46"/>
      <c r="G876" s="46"/>
      <c r="H876" s="46"/>
    </row>
    <row r="877" spans="6:8" x14ac:dyDescent="0.25">
      <c r="F877" s="46"/>
      <c r="G877" s="46"/>
      <c r="H877" s="46"/>
    </row>
    <row r="878" spans="6:8" x14ac:dyDescent="0.25">
      <c r="F878" s="46"/>
      <c r="G878" s="46"/>
      <c r="H878" s="46"/>
    </row>
    <row r="879" spans="6:8" x14ac:dyDescent="0.25">
      <c r="F879" s="46"/>
      <c r="G879" s="46"/>
      <c r="H879" s="46"/>
    </row>
    <row r="880" spans="6:8" x14ac:dyDescent="0.25">
      <c r="F880" s="46"/>
      <c r="G880" s="46"/>
      <c r="H880" s="46"/>
    </row>
    <row r="881" spans="6:8" x14ac:dyDescent="0.25">
      <c r="F881" s="46"/>
      <c r="G881" s="46"/>
      <c r="H881" s="46"/>
    </row>
    <row r="882" spans="6:8" x14ac:dyDescent="0.25">
      <c r="F882" s="46"/>
      <c r="G882" s="46"/>
      <c r="H882" s="46"/>
    </row>
    <row r="883" spans="6:8" x14ac:dyDescent="0.25">
      <c r="F883" s="46"/>
      <c r="G883" s="46"/>
      <c r="H883" s="46"/>
    </row>
    <row r="884" spans="6:8" x14ac:dyDescent="0.25">
      <c r="F884" s="46"/>
      <c r="G884" s="46"/>
      <c r="H884" s="46"/>
    </row>
    <row r="885" spans="6:8" x14ac:dyDescent="0.25">
      <c r="F885" s="46"/>
      <c r="G885" s="46"/>
      <c r="H885" s="46"/>
    </row>
    <row r="886" spans="6:8" x14ac:dyDescent="0.25">
      <c r="F886" s="46"/>
      <c r="G886" s="46"/>
      <c r="H886" s="46"/>
    </row>
    <row r="887" spans="6:8" x14ac:dyDescent="0.25">
      <c r="F887" s="46"/>
      <c r="G887" s="46"/>
      <c r="H887" s="46"/>
    </row>
    <row r="888" spans="6:8" x14ac:dyDescent="0.25">
      <c r="F888" s="46"/>
      <c r="G888" s="46"/>
      <c r="H888" s="46"/>
    </row>
    <row r="889" spans="6:8" x14ac:dyDescent="0.25">
      <c r="F889" s="46"/>
      <c r="G889" s="46"/>
      <c r="H889" s="46"/>
    </row>
    <row r="890" spans="6:8" x14ac:dyDescent="0.25">
      <c r="F890" s="46"/>
      <c r="G890" s="46"/>
      <c r="H890" s="46"/>
    </row>
    <row r="891" spans="6:8" x14ac:dyDescent="0.25">
      <c r="F891" s="46"/>
      <c r="G891" s="46"/>
      <c r="H891" s="46"/>
    </row>
    <row r="892" spans="6:8" x14ac:dyDescent="0.25">
      <c r="F892" s="46"/>
      <c r="G892" s="46"/>
      <c r="H892" s="46"/>
    </row>
    <row r="893" spans="6:8" x14ac:dyDescent="0.25">
      <c r="F893" s="46"/>
      <c r="G893" s="46"/>
      <c r="H893" s="46"/>
    </row>
    <row r="894" spans="6:8" x14ac:dyDescent="0.25">
      <c r="F894" s="46"/>
      <c r="G894" s="46"/>
      <c r="H894" s="46"/>
    </row>
    <row r="895" spans="6:8" x14ac:dyDescent="0.25">
      <c r="F895" s="46"/>
      <c r="G895" s="46"/>
      <c r="H895" s="46"/>
    </row>
    <row r="896" spans="6:8" x14ac:dyDescent="0.25">
      <c r="F896" s="46"/>
      <c r="G896" s="46"/>
      <c r="H896" s="46"/>
    </row>
    <row r="897" spans="6:8" x14ac:dyDescent="0.25">
      <c r="F897" s="46"/>
      <c r="G897" s="46"/>
      <c r="H897" s="46"/>
    </row>
    <row r="898" spans="6:8" x14ac:dyDescent="0.25">
      <c r="F898" s="46"/>
      <c r="G898" s="46"/>
      <c r="H898" s="46"/>
    </row>
    <row r="899" spans="6:8" x14ac:dyDescent="0.25">
      <c r="F899" s="46"/>
      <c r="G899" s="46"/>
      <c r="H899" s="46"/>
    </row>
    <row r="900" spans="6:8" x14ac:dyDescent="0.25">
      <c r="F900" s="46"/>
      <c r="G900" s="46"/>
      <c r="H900" s="46"/>
    </row>
    <row r="901" spans="6:8" x14ac:dyDescent="0.25">
      <c r="F901" s="46"/>
      <c r="G901" s="46"/>
      <c r="H901" s="46"/>
    </row>
    <row r="902" spans="6:8" x14ac:dyDescent="0.25">
      <c r="F902" s="46"/>
      <c r="G902" s="46"/>
      <c r="H902" s="46"/>
    </row>
    <row r="903" spans="6:8" x14ac:dyDescent="0.25">
      <c r="F903" s="46"/>
      <c r="G903" s="46"/>
      <c r="H903" s="46"/>
    </row>
    <row r="904" spans="6:8" x14ac:dyDescent="0.25">
      <c r="F904" s="46"/>
      <c r="G904" s="46"/>
      <c r="H904" s="46"/>
    </row>
    <row r="905" spans="6:8" x14ac:dyDescent="0.25">
      <c r="F905" s="46"/>
      <c r="G905" s="46"/>
      <c r="H905" s="46"/>
    </row>
    <row r="906" spans="6:8" x14ac:dyDescent="0.25">
      <c r="F906" s="46"/>
      <c r="G906" s="46"/>
      <c r="H906" s="46"/>
    </row>
    <row r="907" spans="6:8" x14ac:dyDescent="0.25">
      <c r="F907" s="46"/>
      <c r="G907" s="46"/>
      <c r="H907" s="46"/>
    </row>
    <row r="908" spans="6:8" x14ac:dyDescent="0.25">
      <c r="F908" s="46"/>
      <c r="G908" s="46"/>
      <c r="H908" s="46"/>
    </row>
    <row r="909" spans="6:8" x14ac:dyDescent="0.25">
      <c r="F909" s="46"/>
      <c r="G909" s="46"/>
      <c r="H909" s="46"/>
    </row>
    <row r="910" spans="6:8" x14ac:dyDescent="0.25">
      <c r="F910" s="46"/>
      <c r="G910" s="46"/>
      <c r="H910" s="46"/>
    </row>
    <row r="911" spans="6:8" x14ac:dyDescent="0.25">
      <c r="F911" s="46"/>
      <c r="G911" s="46"/>
      <c r="H911" s="46"/>
    </row>
    <row r="912" spans="6:8" x14ac:dyDescent="0.25">
      <c r="F912" s="46"/>
      <c r="G912" s="46"/>
      <c r="H912" s="46"/>
    </row>
    <row r="913" spans="6:8" x14ac:dyDescent="0.25">
      <c r="F913" s="46"/>
      <c r="G913" s="46"/>
      <c r="H913" s="46"/>
    </row>
    <row r="914" spans="6:8" x14ac:dyDescent="0.25">
      <c r="F914" s="46"/>
      <c r="G914" s="46"/>
      <c r="H914" s="46"/>
    </row>
    <row r="915" spans="6:8" x14ac:dyDescent="0.25">
      <c r="F915" s="46"/>
      <c r="G915" s="46"/>
      <c r="H915" s="46"/>
    </row>
    <row r="916" spans="6:8" x14ac:dyDescent="0.25">
      <c r="F916" s="46"/>
      <c r="G916" s="46"/>
      <c r="H916" s="46"/>
    </row>
    <row r="917" spans="6:8" x14ac:dyDescent="0.25">
      <c r="F917" s="46"/>
      <c r="G917" s="46"/>
      <c r="H917" s="46"/>
    </row>
    <row r="918" spans="6:8" x14ac:dyDescent="0.25">
      <c r="F918" s="46"/>
      <c r="G918" s="46"/>
      <c r="H918" s="46"/>
    </row>
    <row r="919" spans="6:8" x14ac:dyDescent="0.25">
      <c r="F919" s="46"/>
      <c r="G919" s="46"/>
      <c r="H919" s="46"/>
    </row>
    <row r="920" spans="6:8" x14ac:dyDescent="0.25">
      <c r="F920" s="46"/>
      <c r="G920" s="46"/>
      <c r="H920" s="46"/>
    </row>
    <row r="921" spans="6:8" x14ac:dyDescent="0.25">
      <c r="F921" s="46"/>
      <c r="G921" s="46"/>
      <c r="H921" s="46"/>
    </row>
    <row r="922" spans="6:8" x14ac:dyDescent="0.25">
      <c r="F922" s="46"/>
      <c r="G922" s="46"/>
      <c r="H922" s="46"/>
    </row>
    <row r="923" spans="6:8" x14ac:dyDescent="0.25">
      <c r="F923" s="46"/>
      <c r="G923" s="46"/>
      <c r="H923" s="46"/>
    </row>
    <row r="924" spans="6:8" x14ac:dyDescent="0.25">
      <c r="F924" s="46"/>
      <c r="G924" s="46"/>
      <c r="H924" s="46"/>
    </row>
    <row r="925" spans="6:8" x14ac:dyDescent="0.25">
      <c r="F925" s="46"/>
      <c r="G925" s="46"/>
      <c r="H925" s="46"/>
    </row>
    <row r="926" spans="6:8" x14ac:dyDescent="0.25">
      <c r="F926" s="46"/>
      <c r="G926" s="46"/>
      <c r="H926" s="46"/>
    </row>
    <row r="927" spans="6:8" x14ac:dyDescent="0.25">
      <c r="F927" s="46"/>
      <c r="G927" s="46"/>
      <c r="H927" s="46"/>
    </row>
    <row r="928" spans="6:8" x14ac:dyDescent="0.25">
      <c r="F928" s="46"/>
      <c r="G928" s="46"/>
      <c r="H928" s="46"/>
    </row>
    <row r="929" spans="6:8" x14ac:dyDescent="0.25">
      <c r="F929" s="46"/>
      <c r="G929" s="46"/>
      <c r="H929" s="46"/>
    </row>
    <row r="930" spans="6:8" x14ac:dyDescent="0.25">
      <c r="F930" s="46"/>
      <c r="G930" s="46"/>
      <c r="H930" s="46"/>
    </row>
    <row r="931" spans="6:8" x14ac:dyDescent="0.25">
      <c r="F931" s="46"/>
      <c r="G931" s="46"/>
      <c r="H931" s="46"/>
    </row>
    <row r="932" spans="6:8" x14ac:dyDescent="0.25">
      <c r="F932" s="46"/>
      <c r="G932" s="46"/>
      <c r="H932" s="46"/>
    </row>
    <row r="933" spans="6:8" x14ac:dyDescent="0.25">
      <c r="F933" s="46"/>
      <c r="G933" s="46"/>
      <c r="H933" s="46"/>
    </row>
    <row r="934" spans="6:8" x14ac:dyDescent="0.25">
      <c r="F934" s="46"/>
      <c r="G934" s="46"/>
      <c r="H934" s="46"/>
    </row>
    <row r="935" spans="6:8" x14ac:dyDescent="0.25">
      <c r="F935" s="46"/>
      <c r="G935" s="46"/>
      <c r="H935" s="46"/>
    </row>
    <row r="936" spans="6:8" x14ac:dyDescent="0.25">
      <c r="F936" s="46"/>
      <c r="G936" s="46"/>
      <c r="H936" s="46"/>
    </row>
    <row r="937" spans="6:8" x14ac:dyDescent="0.25">
      <c r="F937" s="46"/>
      <c r="G937" s="46"/>
      <c r="H937" s="46"/>
    </row>
    <row r="938" spans="6:8" x14ac:dyDescent="0.25">
      <c r="F938" s="46"/>
      <c r="G938" s="46"/>
      <c r="H938" s="46"/>
    </row>
    <row r="939" spans="6:8" x14ac:dyDescent="0.25">
      <c r="F939" s="46"/>
      <c r="G939" s="46"/>
      <c r="H939" s="46"/>
    </row>
    <row r="940" spans="6:8" x14ac:dyDescent="0.25">
      <c r="F940" s="46"/>
      <c r="G940" s="46"/>
      <c r="H940" s="46"/>
    </row>
    <row r="941" spans="6:8" x14ac:dyDescent="0.25">
      <c r="F941" s="46"/>
      <c r="G941" s="46"/>
      <c r="H941" s="46"/>
    </row>
    <row r="942" spans="6:8" x14ac:dyDescent="0.25">
      <c r="F942" s="46"/>
      <c r="G942" s="46"/>
      <c r="H942" s="46"/>
    </row>
    <row r="943" spans="6:8" x14ac:dyDescent="0.25">
      <c r="F943" s="46"/>
      <c r="G943" s="46"/>
      <c r="H943" s="46"/>
    </row>
    <row r="944" spans="6:8" x14ac:dyDescent="0.25">
      <c r="F944" s="46"/>
      <c r="G944" s="46"/>
      <c r="H944" s="46"/>
    </row>
    <row r="945" spans="6:8" x14ac:dyDescent="0.25">
      <c r="F945" s="46"/>
      <c r="G945" s="46"/>
      <c r="H945" s="46"/>
    </row>
    <row r="946" spans="6:8" x14ac:dyDescent="0.25">
      <c r="F946" s="46"/>
      <c r="G946" s="46"/>
      <c r="H946" s="46"/>
    </row>
    <row r="947" spans="6:8" x14ac:dyDescent="0.25">
      <c r="F947" s="46"/>
      <c r="G947" s="46"/>
      <c r="H947" s="46"/>
    </row>
    <row r="948" spans="6:8" x14ac:dyDescent="0.25">
      <c r="F948" s="46"/>
      <c r="G948" s="46"/>
      <c r="H948" s="46"/>
    </row>
    <row r="949" spans="6:8" x14ac:dyDescent="0.25">
      <c r="F949" s="46"/>
      <c r="G949" s="46"/>
      <c r="H949" s="46"/>
    </row>
    <row r="950" spans="6:8" x14ac:dyDescent="0.25">
      <c r="F950" s="46"/>
      <c r="G950" s="46"/>
      <c r="H950" s="46"/>
    </row>
    <row r="951" spans="6:8" x14ac:dyDescent="0.25">
      <c r="F951" s="46"/>
      <c r="G951" s="46"/>
      <c r="H951" s="46"/>
    </row>
    <row r="952" spans="6:8" x14ac:dyDescent="0.25">
      <c r="F952" s="46"/>
      <c r="G952" s="46"/>
      <c r="H952" s="46"/>
    </row>
    <row r="953" spans="6:8" x14ac:dyDescent="0.25">
      <c r="F953" s="46"/>
      <c r="G953" s="46"/>
      <c r="H953" s="46"/>
    </row>
    <row r="954" spans="6:8" x14ac:dyDescent="0.25">
      <c r="F954" s="46"/>
      <c r="G954" s="46"/>
      <c r="H954" s="46"/>
    </row>
    <row r="955" spans="6:8" x14ac:dyDescent="0.25">
      <c r="F955" s="46"/>
      <c r="G955" s="46"/>
      <c r="H955" s="46"/>
    </row>
    <row r="956" spans="6:8" x14ac:dyDescent="0.25">
      <c r="F956" s="46"/>
      <c r="G956" s="46"/>
      <c r="H956" s="46"/>
    </row>
    <row r="957" spans="6:8" x14ac:dyDescent="0.25">
      <c r="F957" s="46"/>
      <c r="G957" s="46"/>
      <c r="H957" s="46"/>
    </row>
    <row r="958" spans="6:8" x14ac:dyDescent="0.25">
      <c r="F958" s="46"/>
      <c r="G958" s="46"/>
      <c r="H958" s="46"/>
    </row>
    <row r="959" spans="6:8" x14ac:dyDescent="0.25">
      <c r="F959" s="46"/>
      <c r="G959" s="46"/>
      <c r="H959" s="46"/>
    </row>
    <row r="960" spans="6:8" x14ac:dyDescent="0.25">
      <c r="F960" s="46"/>
      <c r="G960" s="46"/>
      <c r="H960" s="46"/>
    </row>
    <row r="961" spans="6:8" x14ac:dyDescent="0.25">
      <c r="F961" s="46"/>
      <c r="G961" s="46"/>
      <c r="H961" s="46"/>
    </row>
    <row r="962" spans="6:8" x14ac:dyDescent="0.25">
      <c r="F962" s="46"/>
      <c r="G962" s="46"/>
      <c r="H962" s="46"/>
    </row>
    <row r="963" spans="6:8" x14ac:dyDescent="0.25">
      <c r="F963" s="46"/>
      <c r="G963" s="46"/>
      <c r="H963" s="46"/>
    </row>
    <row r="964" spans="6:8" x14ac:dyDescent="0.25">
      <c r="F964" s="46"/>
      <c r="G964" s="46"/>
      <c r="H964" s="46"/>
    </row>
    <row r="965" spans="6:8" x14ac:dyDescent="0.25">
      <c r="F965" s="46"/>
      <c r="G965" s="46"/>
      <c r="H965" s="46"/>
    </row>
    <row r="966" spans="6:8" x14ac:dyDescent="0.25">
      <c r="F966" s="46"/>
      <c r="G966" s="46"/>
      <c r="H966" s="46"/>
    </row>
    <row r="967" spans="6:8" x14ac:dyDescent="0.25">
      <c r="F967" s="46"/>
      <c r="G967" s="46"/>
      <c r="H967" s="46"/>
    </row>
    <row r="968" spans="6:8" x14ac:dyDescent="0.25">
      <c r="F968" s="46"/>
      <c r="G968" s="46"/>
      <c r="H968" s="46"/>
    </row>
    <row r="969" spans="6:8" x14ac:dyDescent="0.25">
      <c r="F969" s="46"/>
      <c r="G969" s="46"/>
      <c r="H969" s="46"/>
    </row>
    <row r="970" spans="6:8" x14ac:dyDescent="0.25">
      <c r="F970" s="46"/>
      <c r="G970" s="46"/>
      <c r="H970" s="46"/>
    </row>
    <row r="971" spans="6:8" x14ac:dyDescent="0.25">
      <c r="F971" s="46"/>
      <c r="G971" s="46"/>
      <c r="H971" s="46"/>
    </row>
    <row r="972" spans="6:8" x14ac:dyDescent="0.25">
      <c r="F972" s="46"/>
      <c r="G972" s="46"/>
      <c r="H972" s="46"/>
    </row>
    <row r="973" spans="6:8" x14ac:dyDescent="0.25">
      <c r="F973" s="46"/>
      <c r="G973" s="46"/>
      <c r="H973" s="46"/>
    </row>
    <row r="974" spans="6:8" x14ac:dyDescent="0.25">
      <c r="F974" s="46"/>
      <c r="G974" s="46"/>
      <c r="H974" s="46"/>
    </row>
    <row r="975" spans="6:8" x14ac:dyDescent="0.25">
      <c r="F975" s="46"/>
      <c r="G975" s="46"/>
      <c r="H975" s="46"/>
    </row>
    <row r="976" spans="6:8" x14ac:dyDescent="0.25">
      <c r="F976" s="46"/>
      <c r="G976" s="46"/>
      <c r="H976" s="46"/>
    </row>
    <row r="977" spans="6:8" x14ac:dyDescent="0.25">
      <c r="F977" s="46"/>
      <c r="G977" s="46"/>
      <c r="H977" s="46"/>
    </row>
    <row r="978" spans="6:8" x14ac:dyDescent="0.25">
      <c r="F978" s="46"/>
      <c r="G978" s="46"/>
      <c r="H978" s="46"/>
    </row>
    <row r="979" spans="6:8" x14ac:dyDescent="0.25">
      <c r="F979" s="46"/>
      <c r="G979" s="46"/>
      <c r="H979" s="46"/>
    </row>
    <row r="980" spans="6:8" x14ac:dyDescent="0.25">
      <c r="F980" s="46"/>
      <c r="G980" s="46"/>
      <c r="H980" s="46"/>
    </row>
    <row r="981" spans="6:8" x14ac:dyDescent="0.25">
      <c r="F981" s="46"/>
      <c r="G981" s="46"/>
      <c r="H981" s="46"/>
    </row>
    <row r="982" spans="6:8" x14ac:dyDescent="0.25">
      <c r="F982" s="46"/>
      <c r="G982" s="46"/>
      <c r="H982" s="46"/>
    </row>
    <row r="983" spans="6:8" x14ac:dyDescent="0.25">
      <c r="F983" s="46"/>
      <c r="G983" s="46"/>
      <c r="H983" s="46"/>
    </row>
    <row r="984" spans="6:8" x14ac:dyDescent="0.25">
      <c r="F984" s="46"/>
      <c r="G984" s="46"/>
      <c r="H984" s="46"/>
    </row>
    <row r="985" spans="6:8" x14ac:dyDescent="0.25">
      <c r="F985" s="46"/>
      <c r="G985" s="46"/>
      <c r="H985" s="46"/>
    </row>
    <row r="986" spans="6:8" x14ac:dyDescent="0.25">
      <c r="F986" s="46"/>
      <c r="G986" s="46"/>
      <c r="H986" s="46"/>
    </row>
    <row r="987" spans="6:8" x14ac:dyDescent="0.25">
      <c r="F987" s="46"/>
      <c r="G987" s="46"/>
      <c r="H987" s="46"/>
    </row>
    <row r="988" spans="6:8" x14ac:dyDescent="0.25">
      <c r="F988" s="46"/>
      <c r="G988" s="46"/>
      <c r="H988" s="46"/>
    </row>
    <row r="989" spans="6:8" x14ac:dyDescent="0.25">
      <c r="F989" s="46"/>
      <c r="G989" s="46"/>
      <c r="H989" s="46"/>
    </row>
    <row r="990" spans="6:8" x14ac:dyDescent="0.25">
      <c r="F990" s="46"/>
      <c r="G990" s="46"/>
      <c r="H990" s="46"/>
    </row>
    <row r="991" spans="6:8" x14ac:dyDescent="0.25">
      <c r="F991" s="46"/>
      <c r="G991" s="46"/>
      <c r="H991" s="46"/>
    </row>
    <row r="992" spans="6:8" x14ac:dyDescent="0.25">
      <c r="F992" s="46"/>
      <c r="G992" s="46"/>
      <c r="H992" s="46"/>
    </row>
    <row r="993" spans="6:8" x14ac:dyDescent="0.25">
      <c r="F993" s="46"/>
      <c r="G993" s="46"/>
      <c r="H993" s="46"/>
    </row>
    <row r="994" spans="6:8" x14ac:dyDescent="0.25">
      <c r="F994" s="46"/>
      <c r="G994" s="46"/>
      <c r="H994" s="46"/>
    </row>
    <row r="995" spans="6:8" x14ac:dyDescent="0.25">
      <c r="F995" s="46"/>
      <c r="G995" s="46"/>
      <c r="H995" s="46"/>
    </row>
    <row r="996" spans="6:8" x14ac:dyDescent="0.25">
      <c r="F996" s="46"/>
      <c r="G996" s="46"/>
      <c r="H996" s="46"/>
    </row>
    <row r="997" spans="6:8" x14ac:dyDescent="0.25">
      <c r="F997" s="46"/>
      <c r="G997" s="46"/>
      <c r="H997" s="46"/>
    </row>
    <row r="998" spans="6:8" x14ac:dyDescent="0.25">
      <c r="F998" s="46"/>
      <c r="G998" s="46"/>
      <c r="H998" s="46"/>
    </row>
    <row r="999" spans="6:8" x14ac:dyDescent="0.25">
      <c r="F999" s="46"/>
      <c r="G999" s="46"/>
      <c r="H999" s="46"/>
    </row>
    <row r="1000" spans="6:8" x14ac:dyDescent="0.25">
      <c r="F1000" s="46"/>
      <c r="G1000" s="46"/>
      <c r="H1000" s="46"/>
    </row>
    <row r="1001" spans="6:8" x14ac:dyDescent="0.25">
      <c r="F1001" s="46"/>
      <c r="G1001" s="46"/>
      <c r="H1001" s="46"/>
    </row>
    <row r="1002" spans="6:8" x14ac:dyDescent="0.25">
      <c r="F1002" s="46"/>
      <c r="G1002" s="46"/>
      <c r="H1002" s="46"/>
    </row>
    <row r="1003" spans="6:8" x14ac:dyDescent="0.25">
      <c r="F1003" s="46"/>
      <c r="G1003" s="46"/>
      <c r="H1003" s="46"/>
    </row>
    <row r="1004" spans="6:8" x14ac:dyDescent="0.25">
      <c r="F1004" s="46"/>
      <c r="G1004" s="46"/>
      <c r="H1004" s="46"/>
    </row>
    <row r="1005" spans="6:8" x14ac:dyDescent="0.25">
      <c r="F1005" s="46"/>
      <c r="G1005" s="46"/>
      <c r="H1005" s="46"/>
    </row>
    <row r="1006" spans="6:8" x14ac:dyDescent="0.25">
      <c r="F1006" s="46"/>
      <c r="G1006" s="46"/>
      <c r="H1006" s="46"/>
    </row>
    <row r="1007" spans="6:8" x14ac:dyDescent="0.25">
      <c r="F1007" s="46"/>
      <c r="G1007" s="46"/>
      <c r="H1007" s="46"/>
    </row>
    <row r="1008" spans="6:8" x14ac:dyDescent="0.25">
      <c r="F1008" s="46"/>
      <c r="G1008" s="46"/>
      <c r="H1008" s="46"/>
    </row>
    <row r="1009" spans="6:8" x14ac:dyDescent="0.25">
      <c r="F1009" s="46"/>
      <c r="G1009" s="46"/>
      <c r="H1009" s="46"/>
    </row>
    <row r="1010" spans="6:8" x14ac:dyDescent="0.25">
      <c r="F1010" s="46"/>
      <c r="G1010" s="46"/>
      <c r="H1010" s="46"/>
    </row>
    <row r="1011" spans="6:8" x14ac:dyDescent="0.25">
      <c r="F1011" s="46"/>
      <c r="G1011" s="46"/>
      <c r="H1011" s="46"/>
    </row>
    <row r="1012" spans="6:8" x14ac:dyDescent="0.25">
      <c r="F1012" s="46"/>
      <c r="G1012" s="46"/>
      <c r="H1012" s="46"/>
    </row>
    <row r="1013" spans="6:8" x14ac:dyDescent="0.25">
      <c r="F1013" s="46"/>
      <c r="G1013" s="46"/>
      <c r="H1013" s="46"/>
    </row>
    <row r="1014" spans="6:8" x14ac:dyDescent="0.25">
      <c r="F1014" s="46"/>
      <c r="G1014" s="46"/>
      <c r="H1014" s="46"/>
    </row>
    <row r="1015" spans="6:8" x14ac:dyDescent="0.25">
      <c r="F1015" s="46"/>
      <c r="G1015" s="46"/>
      <c r="H1015" s="46"/>
    </row>
    <row r="1016" spans="6:8" x14ac:dyDescent="0.25">
      <c r="F1016" s="46"/>
      <c r="G1016" s="46"/>
      <c r="H1016" s="46"/>
    </row>
    <row r="1017" spans="6:8" x14ac:dyDescent="0.25">
      <c r="F1017" s="46"/>
      <c r="G1017" s="46"/>
      <c r="H1017" s="46"/>
    </row>
    <row r="1018" spans="6:8" x14ac:dyDescent="0.25">
      <c r="F1018" s="46"/>
      <c r="G1018" s="46"/>
      <c r="H1018" s="46"/>
    </row>
    <row r="1019" spans="6:8" x14ac:dyDescent="0.25">
      <c r="F1019" s="46"/>
      <c r="G1019" s="46"/>
      <c r="H1019" s="46"/>
    </row>
    <row r="1020" spans="6:8" x14ac:dyDescent="0.25">
      <c r="F1020" s="46"/>
      <c r="G1020" s="46"/>
      <c r="H1020" s="46"/>
    </row>
    <row r="1021" spans="6:8" x14ac:dyDescent="0.25">
      <c r="F1021" s="46"/>
      <c r="G1021" s="46"/>
      <c r="H1021" s="46"/>
    </row>
    <row r="1022" spans="6:8" x14ac:dyDescent="0.25">
      <c r="F1022" s="46"/>
      <c r="G1022" s="46"/>
      <c r="H1022" s="46"/>
    </row>
    <row r="1023" spans="6:8" x14ac:dyDescent="0.25">
      <c r="F1023" s="46"/>
      <c r="G1023" s="46"/>
      <c r="H1023" s="46"/>
    </row>
    <row r="1024" spans="6:8" x14ac:dyDescent="0.25">
      <c r="F1024" s="46"/>
      <c r="G1024" s="46"/>
      <c r="H1024" s="46"/>
    </row>
    <row r="1025" spans="6:8" x14ac:dyDescent="0.25">
      <c r="F1025" s="46"/>
      <c r="G1025" s="46"/>
      <c r="H1025" s="46"/>
    </row>
    <row r="1026" spans="6:8" x14ac:dyDescent="0.25">
      <c r="F1026" s="46"/>
      <c r="G1026" s="46"/>
      <c r="H1026" s="46"/>
    </row>
    <row r="1027" spans="6:8" x14ac:dyDescent="0.25">
      <c r="F1027" s="46"/>
      <c r="G1027" s="46"/>
      <c r="H1027" s="46"/>
    </row>
    <row r="1028" spans="6:8" x14ac:dyDescent="0.25">
      <c r="F1028" s="46"/>
      <c r="G1028" s="46"/>
      <c r="H1028" s="46"/>
    </row>
    <row r="1029" spans="6:8" x14ac:dyDescent="0.25">
      <c r="F1029" s="46"/>
      <c r="G1029" s="46"/>
      <c r="H1029" s="46"/>
    </row>
    <row r="1030" spans="6:8" x14ac:dyDescent="0.25">
      <c r="F1030" s="46"/>
      <c r="G1030" s="46"/>
      <c r="H1030" s="46"/>
    </row>
    <row r="1031" spans="6:8" x14ac:dyDescent="0.25">
      <c r="F1031" s="46"/>
      <c r="G1031" s="46"/>
      <c r="H1031" s="46"/>
    </row>
    <row r="1032" spans="6:8" x14ac:dyDescent="0.25">
      <c r="F1032" s="46"/>
      <c r="G1032" s="46"/>
      <c r="H1032" s="46"/>
    </row>
    <row r="1033" spans="6:8" x14ac:dyDescent="0.25">
      <c r="F1033" s="46"/>
      <c r="G1033" s="46"/>
      <c r="H1033" s="46"/>
    </row>
    <row r="1034" spans="6:8" x14ac:dyDescent="0.25">
      <c r="F1034" s="46"/>
      <c r="G1034" s="46"/>
      <c r="H1034" s="46"/>
    </row>
    <row r="1035" spans="6:8" x14ac:dyDescent="0.25">
      <c r="F1035" s="46"/>
      <c r="G1035" s="46"/>
      <c r="H1035" s="46"/>
    </row>
    <row r="1036" spans="6:8" x14ac:dyDescent="0.25">
      <c r="F1036" s="46"/>
      <c r="G1036" s="46"/>
      <c r="H1036" s="46"/>
    </row>
    <row r="1037" spans="6:8" x14ac:dyDescent="0.25">
      <c r="F1037" s="46"/>
      <c r="G1037" s="46"/>
      <c r="H1037" s="46"/>
    </row>
    <row r="1038" spans="6:8" x14ac:dyDescent="0.25">
      <c r="F1038" s="46"/>
      <c r="G1038" s="46"/>
      <c r="H1038" s="46"/>
    </row>
    <row r="1039" spans="6:8" x14ac:dyDescent="0.25">
      <c r="F1039" s="46"/>
      <c r="G1039" s="46"/>
      <c r="H1039" s="46"/>
    </row>
    <row r="1040" spans="6:8" x14ac:dyDescent="0.25">
      <c r="F1040" s="46"/>
      <c r="G1040" s="46"/>
      <c r="H1040" s="46"/>
    </row>
    <row r="1041" spans="6:8" x14ac:dyDescent="0.25">
      <c r="F1041" s="46"/>
      <c r="G1041" s="46"/>
      <c r="H1041" s="46"/>
    </row>
    <row r="1042" spans="6:8" x14ac:dyDescent="0.25">
      <c r="F1042" s="46"/>
      <c r="G1042" s="46"/>
      <c r="H1042" s="46"/>
    </row>
    <row r="1043" spans="6:8" x14ac:dyDescent="0.25">
      <c r="F1043" s="46"/>
      <c r="G1043" s="46"/>
      <c r="H1043" s="46"/>
    </row>
    <row r="1044" spans="6:8" x14ac:dyDescent="0.25">
      <c r="F1044" s="46"/>
      <c r="G1044" s="46"/>
      <c r="H1044" s="46"/>
    </row>
    <row r="1045" spans="6:8" x14ac:dyDescent="0.25">
      <c r="F1045" s="46"/>
      <c r="G1045" s="46"/>
      <c r="H1045" s="46"/>
    </row>
    <row r="1046" spans="6:8" x14ac:dyDescent="0.25">
      <c r="F1046" s="46"/>
      <c r="G1046" s="46"/>
      <c r="H1046" s="46"/>
    </row>
    <row r="1047" spans="6:8" x14ac:dyDescent="0.25">
      <c r="F1047" s="46"/>
      <c r="G1047" s="46"/>
      <c r="H1047" s="46"/>
    </row>
    <row r="1048" spans="6:8" x14ac:dyDescent="0.25">
      <c r="F1048" s="46"/>
      <c r="G1048" s="46"/>
      <c r="H1048" s="46"/>
    </row>
    <row r="1049" spans="6:8" x14ac:dyDescent="0.25">
      <c r="F1049" s="46"/>
      <c r="G1049" s="46"/>
      <c r="H1049" s="46"/>
    </row>
    <row r="1050" spans="6:8" x14ac:dyDescent="0.25">
      <c r="F1050" s="46"/>
      <c r="G1050" s="46"/>
      <c r="H1050" s="46"/>
    </row>
    <row r="1051" spans="6:8" x14ac:dyDescent="0.25">
      <c r="F1051" s="46"/>
      <c r="G1051" s="46"/>
      <c r="H1051" s="46"/>
    </row>
    <row r="1052" spans="6:8" x14ac:dyDescent="0.25">
      <c r="F1052" s="46"/>
      <c r="G1052" s="46"/>
      <c r="H1052" s="46"/>
    </row>
    <row r="1053" spans="6:8" x14ac:dyDescent="0.25">
      <c r="F1053" s="46"/>
      <c r="G1053" s="46"/>
      <c r="H1053" s="46"/>
    </row>
    <row r="1054" spans="6:8" x14ac:dyDescent="0.25">
      <c r="F1054" s="46"/>
      <c r="G1054" s="46"/>
      <c r="H1054" s="46"/>
    </row>
    <row r="1055" spans="6:8" x14ac:dyDescent="0.25">
      <c r="F1055" s="46"/>
      <c r="G1055" s="46"/>
      <c r="H1055" s="46"/>
    </row>
    <row r="1056" spans="6:8" x14ac:dyDescent="0.25">
      <c r="F1056" s="46"/>
      <c r="G1056" s="46"/>
      <c r="H1056" s="46"/>
    </row>
    <row r="1057" spans="6:8" x14ac:dyDescent="0.25">
      <c r="F1057" s="46"/>
      <c r="G1057" s="46"/>
      <c r="H1057" s="46"/>
    </row>
    <row r="1058" spans="6:8" x14ac:dyDescent="0.25">
      <c r="F1058" s="46"/>
      <c r="G1058" s="46"/>
      <c r="H1058" s="46"/>
    </row>
    <row r="1059" spans="6:8" x14ac:dyDescent="0.25">
      <c r="F1059" s="46"/>
      <c r="G1059" s="46"/>
      <c r="H1059" s="46"/>
    </row>
    <row r="1060" spans="6:8" x14ac:dyDescent="0.25">
      <c r="F1060" s="46"/>
      <c r="G1060" s="46"/>
      <c r="H1060" s="46"/>
    </row>
    <row r="1061" spans="6:8" x14ac:dyDescent="0.25">
      <c r="F1061" s="46"/>
      <c r="G1061" s="46"/>
      <c r="H1061" s="46"/>
    </row>
    <row r="1062" spans="6:8" x14ac:dyDescent="0.25">
      <c r="F1062" s="46"/>
      <c r="G1062" s="46"/>
      <c r="H1062" s="46"/>
    </row>
    <row r="1063" spans="6:8" x14ac:dyDescent="0.25">
      <c r="F1063" s="46"/>
      <c r="G1063" s="46"/>
      <c r="H1063" s="46"/>
    </row>
    <row r="1064" spans="6:8" x14ac:dyDescent="0.25">
      <c r="F1064" s="46"/>
      <c r="G1064" s="46"/>
      <c r="H1064" s="46"/>
    </row>
    <row r="1065" spans="6:8" x14ac:dyDescent="0.25">
      <c r="F1065" s="46"/>
      <c r="G1065" s="46"/>
      <c r="H1065" s="46"/>
    </row>
    <row r="1066" spans="6:8" x14ac:dyDescent="0.25">
      <c r="F1066" s="46"/>
      <c r="G1066" s="46"/>
      <c r="H1066" s="46"/>
    </row>
    <row r="1067" spans="6:8" x14ac:dyDescent="0.25">
      <c r="F1067" s="46"/>
      <c r="G1067" s="46"/>
      <c r="H1067" s="46"/>
    </row>
    <row r="1068" spans="6:8" x14ac:dyDescent="0.25">
      <c r="F1068" s="46"/>
      <c r="G1068" s="46"/>
      <c r="H1068" s="46"/>
    </row>
    <row r="1069" spans="6:8" x14ac:dyDescent="0.25">
      <c r="F1069" s="46"/>
      <c r="G1069" s="46"/>
      <c r="H1069" s="46"/>
    </row>
    <row r="1070" spans="6:8" x14ac:dyDescent="0.25">
      <c r="F1070" s="46"/>
      <c r="G1070" s="46"/>
      <c r="H1070" s="46"/>
    </row>
    <row r="1071" spans="6:8" x14ac:dyDescent="0.25">
      <c r="F1071" s="46"/>
      <c r="G1071" s="46"/>
      <c r="H1071" s="46"/>
    </row>
    <row r="1072" spans="6:8" x14ac:dyDescent="0.25">
      <c r="F1072" s="46"/>
      <c r="G1072" s="46"/>
      <c r="H1072" s="46"/>
    </row>
    <row r="1073" spans="6:8" x14ac:dyDescent="0.25">
      <c r="F1073" s="46"/>
      <c r="G1073" s="46"/>
      <c r="H1073" s="46"/>
    </row>
    <row r="1074" spans="6:8" x14ac:dyDescent="0.25">
      <c r="F1074" s="46"/>
      <c r="G1074" s="46"/>
      <c r="H1074" s="46"/>
    </row>
    <row r="1075" spans="6:8" x14ac:dyDescent="0.25">
      <c r="F1075" s="46"/>
      <c r="G1075" s="46"/>
      <c r="H1075" s="46"/>
    </row>
    <row r="1076" spans="6:8" x14ac:dyDescent="0.25">
      <c r="F1076" s="46"/>
      <c r="G1076" s="46"/>
      <c r="H1076" s="46"/>
    </row>
    <row r="1077" spans="6:8" x14ac:dyDescent="0.25">
      <c r="F1077" s="46"/>
      <c r="G1077" s="46"/>
      <c r="H1077" s="46"/>
    </row>
    <row r="1078" spans="6:8" x14ac:dyDescent="0.25">
      <c r="F1078" s="46"/>
      <c r="G1078" s="46"/>
      <c r="H1078" s="46"/>
    </row>
    <row r="1079" spans="6:8" x14ac:dyDescent="0.25">
      <c r="F1079" s="46"/>
      <c r="G1079" s="46"/>
      <c r="H1079" s="46"/>
    </row>
    <row r="1080" spans="6:8" x14ac:dyDescent="0.25">
      <c r="F1080" s="46"/>
      <c r="G1080" s="46"/>
      <c r="H1080" s="46"/>
    </row>
    <row r="1081" spans="6:8" x14ac:dyDescent="0.25">
      <c r="F1081" s="46"/>
      <c r="G1081" s="46"/>
      <c r="H1081" s="46"/>
    </row>
    <row r="1082" spans="6:8" x14ac:dyDescent="0.25">
      <c r="F1082" s="46"/>
      <c r="G1082" s="46"/>
      <c r="H1082" s="46"/>
    </row>
    <row r="1083" spans="6:8" x14ac:dyDescent="0.25">
      <c r="F1083" s="46"/>
      <c r="G1083" s="46"/>
      <c r="H1083" s="46"/>
    </row>
    <row r="1084" spans="6:8" x14ac:dyDescent="0.25">
      <c r="F1084" s="46"/>
      <c r="G1084" s="46"/>
      <c r="H1084" s="46"/>
    </row>
    <row r="1085" spans="6:8" x14ac:dyDescent="0.25">
      <c r="F1085" s="46"/>
      <c r="G1085" s="46"/>
      <c r="H1085" s="46"/>
    </row>
    <row r="1086" spans="6:8" x14ac:dyDescent="0.25">
      <c r="F1086" s="46"/>
      <c r="G1086" s="46"/>
      <c r="H1086" s="46"/>
    </row>
    <row r="1087" spans="6:8" x14ac:dyDescent="0.25">
      <c r="F1087" s="46"/>
      <c r="G1087" s="46"/>
      <c r="H1087" s="46"/>
    </row>
    <row r="1088" spans="6:8" x14ac:dyDescent="0.25">
      <c r="F1088" s="46"/>
      <c r="G1088" s="46"/>
      <c r="H1088" s="46"/>
    </row>
    <row r="1089" spans="6:8" x14ac:dyDescent="0.25">
      <c r="F1089" s="46"/>
      <c r="G1089" s="46"/>
      <c r="H1089" s="46"/>
    </row>
    <row r="1090" spans="6:8" x14ac:dyDescent="0.25">
      <c r="F1090" s="46"/>
      <c r="G1090" s="46"/>
      <c r="H1090" s="46"/>
    </row>
    <row r="1091" spans="6:8" x14ac:dyDescent="0.25">
      <c r="F1091" s="46"/>
      <c r="G1091" s="46"/>
      <c r="H1091" s="46"/>
    </row>
    <row r="1092" spans="6:8" x14ac:dyDescent="0.25">
      <c r="F1092" s="46"/>
      <c r="G1092" s="46"/>
      <c r="H1092" s="46"/>
    </row>
    <row r="1093" spans="6:8" x14ac:dyDescent="0.25">
      <c r="F1093" s="46"/>
      <c r="G1093" s="46"/>
      <c r="H1093" s="46"/>
    </row>
    <row r="1094" spans="6:8" x14ac:dyDescent="0.25">
      <c r="F1094" s="46"/>
      <c r="G1094" s="46"/>
      <c r="H1094" s="46"/>
    </row>
    <row r="1095" spans="6:8" x14ac:dyDescent="0.25">
      <c r="F1095" s="46"/>
      <c r="G1095" s="46"/>
      <c r="H1095" s="46"/>
    </row>
    <row r="1096" spans="6:8" x14ac:dyDescent="0.25">
      <c r="F1096" s="46"/>
      <c r="G1096" s="46"/>
      <c r="H1096" s="46"/>
    </row>
    <row r="1097" spans="6:8" x14ac:dyDescent="0.25">
      <c r="F1097" s="46"/>
      <c r="G1097" s="46"/>
      <c r="H1097" s="46"/>
    </row>
    <row r="1098" spans="6:8" x14ac:dyDescent="0.25">
      <c r="F1098" s="46"/>
      <c r="G1098" s="46"/>
      <c r="H1098" s="46"/>
    </row>
    <row r="1099" spans="6:8" x14ac:dyDescent="0.25">
      <c r="F1099" s="46"/>
      <c r="G1099" s="46"/>
      <c r="H1099" s="46"/>
    </row>
    <row r="1100" spans="6:8" x14ac:dyDescent="0.25">
      <c r="F1100" s="46"/>
      <c r="G1100" s="46"/>
      <c r="H1100" s="46"/>
    </row>
    <row r="1101" spans="6:8" x14ac:dyDescent="0.25">
      <c r="F1101" s="46"/>
      <c r="G1101" s="46"/>
      <c r="H1101" s="46"/>
    </row>
    <row r="1102" spans="6:8" x14ac:dyDescent="0.25">
      <c r="F1102" s="46"/>
      <c r="G1102" s="46"/>
      <c r="H1102" s="46"/>
    </row>
    <row r="1103" spans="6:8" x14ac:dyDescent="0.25">
      <c r="F1103" s="46"/>
      <c r="G1103" s="46"/>
      <c r="H1103" s="46"/>
    </row>
    <row r="1104" spans="6:8" x14ac:dyDescent="0.25">
      <c r="F1104" s="46"/>
      <c r="G1104" s="46"/>
      <c r="H1104" s="46"/>
    </row>
    <row r="1105" spans="6:8" x14ac:dyDescent="0.25">
      <c r="F1105" s="46"/>
      <c r="G1105" s="46"/>
      <c r="H1105" s="46"/>
    </row>
    <row r="1106" spans="6:8" x14ac:dyDescent="0.25">
      <c r="F1106" s="46"/>
      <c r="G1106" s="46"/>
      <c r="H1106" s="46"/>
    </row>
    <row r="1107" spans="6:8" x14ac:dyDescent="0.25">
      <c r="F1107" s="46"/>
      <c r="G1107" s="46"/>
      <c r="H1107" s="46"/>
    </row>
    <row r="1108" spans="6:8" x14ac:dyDescent="0.25">
      <c r="F1108" s="46"/>
      <c r="G1108" s="46"/>
      <c r="H1108" s="46"/>
    </row>
    <row r="1109" spans="6:8" x14ac:dyDescent="0.25">
      <c r="F1109" s="46"/>
      <c r="G1109" s="46"/>
      <c r="H1109" s="46"/>
    </row>
    <row r="1110" spans="6:8" x14ac:dyDescent="0.25">
      <c r="F1110" s="46"/>
      <c r="G1110" s="46"/>
      <c r="H1110" s="46"/>
    </row>
    <row r="1111" spans="6:8" x14ac:dyDescent="0.25">
      <c r="F1111" s="46"/>
      <c r="G1111" s="46"/>
      <c r="H1111" s="46"/>
    </row>
    <row r="1112" spans="6:8" x14ac:dyDescent="0.25">
      <c r="F1112" s="46"/>
      <c r="G1112" s="46"/>
      <c r="H1112" s="46"/>
    </row>
    <row r="1113" spans="6:8" x14ac:dyDescent="0.25">
      <c r="F1113" s="46"/>
      <c r="G1113" s="46"/>
      <c r="H1113" s="46"/>
    </row>
    <row r="1114" spans="6:8" x14ac:dyDescent="0.25">
      <c r="F1114" s="46"/>
      <c r="G1114" s="46"/>
      <c r="H1114" s="46"/>
    </row>
    <row r="1115" spans="6:8" x14ac:dyDescent="0.25">
      <c r="F1115" s="46"/>
      <c r="G1115" s="46"/>
      <c r="H1115" s="46"/>
    </row>
    <row r="1116" spans="6:8" x14ac:dyDescent="0.25">
      <c r="F1116" s="46"/>
      <c r="G1116" s="46"/>
      <c r="H1116" s="46"/>
    </row>
    <row r="1117" spans="6:8" x14ac:dyDescent="0.25">
      <c r="F1117" s="46"/>
      <c r="G1117" s="46"/>
      <c r="H1117" s="46"/>
    </row>
    <row r="1118" spans="6:8" x14ac:dyDescent="0.25">
      <c r="F1118" s="46"/>
      <c r="G1118" s="46"/>
      <c r="H1118" s="46"/>
    </row>
    <row r="1119" spans="6:8" x14ac:dyDescent="0.25">
      <c r="F1119" s="46"/>
      <c r="G1119" s="46"/>
      <c r="H1119" s="46"/>
    </row>
    <row r="1120" spans="6:8" x14ac:dyDescent="0.25">
      <c r="F1120" s="46"/>
      <c r="G1120" s="46"/>
      <c r="H1120" s="46"/>
    </row>
    <row r="1121" spans="6:8" x14ac:dyDescent="0.25">
      <c r="F1121" s="46"/>
      <c r="G1121" s="46"/>
      <c r="H1121" s="46"/>
    </row>
    <row r="1122" spans="6:8" x14ac:dyDescent="0.25">
      <c r="F1122" s="46"/>
      <c r="G1122" s="46"/>
      <c r="H1122" s="46"/>
    </row>
    <row r="1123" spans="6:8" x14ac:dyDescent="0.25">
      <c r="F1123" s="46"/>
      <c r="G1123" s="46"/>
      <c r="H1123" s="46"/>
    </row>
    <row r="1124" spans="6:8" x14ac:dyDescent="0.25">
      <c r="F1124" s="46"/>
      <c r="G1124" s="46"/>
      <c r="H1124" s="46"/>
    </row>
    <row r="1125" spans="6:8" x14ac:dyDescent="0.25">
      <c r="F1125" s="46"/>
      <c r="G1125" s="46"/>
      <c r="H1125" s="46"/>
    </row>
    <row r="1126" spans="6:8" x14ac:dyDescent="0.25">
      <c r="F1126" s="46"/>
      <c r="G1126" s="46"/>
      <c r="H1126" s="46"/>
    </row>
    <row r="1127" spans="6:8" x14ac:dyDescent="0.25">
      <c r="F1127" s="46"/>
      <c r="G1127" s="46"/>
      <c r="H1127" s="46"/>
    </row>
    <row r="1128" spans="6:8" x14ac:dyDescent="0.25">
      <c r="F1128" s="46"/>
      <c r="G1128" s="46"/>
      <c r="H1128" s="46"/>
    </row>
    <row r="1129" spans="6:8" x14ac:dyDescent="0.25">
      <c r="F1129" s="46"/>
      <c r="G1129" s="46"/>
      <c r="H1129" s="46"/>
    </row>
    <row r="1130" spans="6:8" x14ac:dyDescent="0.25">
      <c r="F1130" s="46"/>
      <c r="G1130" s="46"/>
      <c r="H1130" s="46"/>
    </row>
    <row r="1131" spans="6:8" x14ac:dyDescent="0.25">
      <c r="F1131" s="46"/>
      <c r="G1131" s="46"/>
      <c r="H1131" s="46"/>
    </row>
    <row r="1132" spans="6:8" x14ac:dyDescent="0.25">
      <c r="F1132" s="46"/>
      <c r="G1132" s="46"/>
      <c r="H1132" s="46"/>
    </row>
    <row r="1133" spans="6:8" x14ac:dyDescent="0.25">
      <c r="F1133" s="46"/>
      <c r="G1133" s="46"/>
      <c r="H1133" s="46"/>
    </row>
    <row r="1134" spans="6:8" x14ac:dyDescent="0.25">
      <c r="F1134" s="46"/>
      <c r="G1134" s="46"/>
      <c r="H1134" s="46"/>
    </row>
    <row r="1135" spans="6:8" x14ac:dyDescent="0.25">
      <c r="F1135" s="46"/>
      <c r="G1135" s="46"/>
      <c r="H1135" s="46"/>
    </row>
    <row r="1136" spans="6:8" x14ac:dyDescent="0.25">
      <c r="F1136" s="46"/>
      <c r="G1136" s="46"/>
      <c r="H1136" s="46"/>
    </row>
    <row r="1137" spans="6:8" x14ac:dyDescent="0.25">
      <c r="F1137" s="46"/>
      <c r="G1137" s="46"/>
      <c r="H1137" s="46"/>
    </row>
    <row r="1138" spans="6:8" x14ac:dyDescent="0.25">
      <c r="F1138" s="46"/>
      <c r="G1138" s="46"/>
      <c r="H1138" s="46"/>
    </row>
    <row r="1139" spans="6:8" x14ac:dyDescent="0.25">
      <c r="F1139" s="46"/>
      <c r="G1139" s="46"/>
      <c r="H1139" s="46"/>
    </row>
    <row r="1140" spans="6:8" x14ac:dyDescent="0.25">
      <c r="F1140" s="46"/>
      <c r="G1140" s="46"/>
      <c r="H1140" s="46"/>
    </row>
    <row r="1141" spans="6:8" x14ac:dyDescent="0.25">
      <c r="F1141" s="46"/>
      <c r="G1141" s="46"/>
      <c r="H1141" s="46"/>
    </row>
    <row r="1142" spans="6:8" x14ac:dyDescent="0.25">
      <c r="F1142" s="46"/>
      <c r="G1142" s="46"/>
      <c r="H1142" s="46"/>
    </row>
    <row r="1143" spans="6:8" x14ac:dyDescent="0.25">
      <c r="F1143" s="46"/>
      <c r="G1143" s="46"/>
      <c r="H1143" s="46"/>
    </row>
    <row r="1144" spans="6:8" x14ac:dyDescent="0.25">
      <c r="F1144" s="46"/>
      <c r="G1144" s="46"/>
      <c r="H1144" s="46"/>
    </row>
    <row r="1145" spans="6:8" x14ac:dyDescent="0.25">
      <c r="F1145" s="46"/>
      <c r="G1145" s="46"/>
      <c r="H1145" s="46"/>
    </row>
    <row r="1146" spans="6:8" x14ac:dyDescent="0.25">
      <c r="F1146" s="46"/>
      <c r="G1146" s="46"/>
      <c r="H1146" s="46"/>
    </row>
    <row r="1147" spans="6:8" x14ac:dyDescent="0.25">
      <c r="F1147" s="46"/>
      <c r="G1147" s="46"/>
      <c r="H1147" s="46"/>
    </row>
    <row r="1148" spans="6:8" x14ac:dyDescent="0.25">
      <c r="F1148" s="46"/>
      <c r="G1148" s="46"/>
      <c r="H1148" s="46"/>
    </row>
    <row r="1149" spans="6:8" x14ac:dyDescent="0.25">
      <c r="F1149" s="46"/>
      <c r="G1149" s="46"/>
      <c r="H1149" s="46"/>
    </row>
    <row r="1150" spans="6:8" x14ac:dyDescent="0.25">
      <c r="F1150" s="46"/>
      <c r="G1150" s="46"/>
      <c r="H1150" s="46"/>
    </row>
    <row r="1151" spans="6:8" x14ac:dyDescent="0.25">
      <c r="F1151" s="46"/>
      <c r="G1151" s="46"/>
      <c r="H1151" s="46"/>
    </row>
    <row r="1152" spans="6:8" x14ac:dyDescent="0.25">
      <c r="F1152" s="46"/>
      <c r="G1152" s="46"/>
      <c r="H1152" s="46"/>
    </row>
    <row r="1153" spans="6:8" x14ac:dyDescent="0.25">
      <c r="F1153" s="46"/>
      <c r="G1153" s="46"/>
      <c r="H1153" s="46"/>
    </row>
    <row r="1154" spans="6:8" x14ac:dyDescent="0.25">
      <c r="F1154" s="46"/>
      <c r="G1154" s="46"/>
      <c r="H1154" s="46"/>
    </row>
    <row r="1155" spans="6:8" x14ac:dyDescent="0.25">
      <c r="F1155" s="46"/>
      <c r="G1155" s="46"/>
      <c r="H1155" s="46"/>
    </row>
    <row r="1156" spans="6:8" x14ac:dyDescent="0.25">
      <c r="F1156" s="46"/>
      <c r="G1156" s="46"/>
      <c r="H1156" s="46"/>
    </row>
    <row r="1157" spans="6:8" x14ac:dyDescent="0.25">
      <c r="F1157" s="46"/>
      <c r="G1157" s="46"/>
      <c r="H1157" s="46"/>
    </row>
    <row r="1158" spans="6:8" x14ac:dyDescent="0.25">
      <c r="F1158" s="46"/>
      <c r="G1158" s="46"/>
      <c r="H1158" s="46"/>
    </row>
    <row r="1159" spans="6:8" x14ac:dyDescent="0.25">
      <c r="F1159" s="46"/>
      <c r="G1159" s="46"/>
      <c r="H1159" s="46"/>
    </row>
    <row r="1160" spans="6:8" x14ac:dyDescent="0.25">
      <c r="F1160" s="46"/>
      <c r="G1160" s="46"/>
      <c r="H1160" s="46"/>
    </row>
    <row r="1161" spans="6:8" x14ac:dyDescent="0.25">
      <c r="F1161" s="46"/>
      <c r="G1161" s="46"/>
      <c r="H1161" s="46"/>
    </row>
    <row r="1162" spans="6:8" x14ac:dyDescent="0.25">
      <c r="F1162" s="46"/>
      <c r="G1162" s="46"/>
      <c r="H1162" s="46"/>
    </row>
    <row r="1163" spans="6:8" x14ac:dyDescent="0.25">
      <c r="F1163" s="46"/>
      <c r="G1163" s="46"/>
      <c r="H1163" s="46"/>
    </row>
    <row r="1164" spans="6:8" x14ac:dyDescent="0.25">
      <c r="F1164" s="46"/>
      <c r="G1164" s="46"/>
      <c r="H1164" s="46"/>
    </row>
    <row r="1165" spans="6:8" x14ac:dyDescent="0.25">
      <c r="F1165" s="46"/>
      <c r="G1165" s="46"/>
      <c r="H1165" s="46"/>
    </row>
    <row r="1166" spans="6:8" x14ac:dyDescent="0.25">
      <c r="F1166" s="46"/>
      <c r="G1166" s="46"/>
      <c r="H1166" s="46"/>
    </row>
    <row r="1167" spans="6:8" x14ac:dyDescent="0.25">
      <c r="F1167" s="46"/>
      <c r="G1167" s="46"/>
      <c r="H1167" s="46"/>
    </row>
    <row r="1168" spans="6:8" x14ac:dyDescent="0.25">
      <c r="F1168" s="46"/>
      <c r="G1168" s="46"/>
      <c r="H1168" s="46"/>
    </row>
    <row r="1169" spans="6:8" x14ac:dyDescent="0.25">
      <c r="F1169" s="46"/>
      <c r="G1169" s="46"/>
      <c r="H1169" s="46"/>
    </row>
    <row r="1170" spans="6:8" x14ac:dyDescent="0.25">
      <c r="F1170" s="46"/>
      <c r="G1170" s="46"/>
      <c r="H1170" s="46"/>
    </row>
    <row r="1171" spans="6:8" x14ac:dyDescent="0.25">
      <c r="F1171" s="46"/>
      <c r="G1171" s="46"/>
      <c r="H1171" s="46"/>
    </row>
    <row r="1172" spans="6:8" x14ac:dyDescent="0.25">
      <c r="F1172" s="46"/>
      <c r="G1172" s="46"/>
      <c r="H1172" s="46"/>
    </row>
    <row r="1173" spans="6:8" x14ac:dyDescent="0.25">
      <c r="F1173" s="46"/>
      <c r="G1173" s="46"/>
      <c r="H1173" s="46"/>
    </row>
    <row r="1174" spans="6:8" x14ac:dyDescent="0.25">
      <c r="F1174" s="46"/>
      <c r="G1174" s="46"/>
      <c r="H1174" s="46"/>
    </row>
    <row r="1175" spans="6:8" x14ac:dyDescent="0.25">
      <c r="F1175" s="46"/>
      <c r="G1175" s="46"/>
      <c r="H1175" s="46"/>
    </row>
    <row r="1176" spans="6:8" x14ac:dyDescent="0.25">
      <c r="F1176" s="46"/>
      <c r="G1176" s="46"/>
      <c r="H1176" s="46"/>
    </row>
    <row r="1177" spans="6:8" x14ac:dyDescent="0.25">
      <c r="F1177" s="46"/>
      <c r="G1177" s="46"/>
      <c r="H1177" s="46"/>
    </row>
    <row r="1178" spans="6:8" x14ac:dyDescent="0.25">
      <c r="F1178" s="46"/>
      <c r="G1178" s="46"/>
      <c r="H1178" s="46"/>
    </row>
    <row r="1179" spans="6:8" x14ac:dyDescent="0.25">
      <c r="F1179" s="46"/>
      <c r="G1179" s="46"/>
      <c r="H1179" s="46"/>
    </row>
    <row r="1180" spans="6:8" x14ac:dyDescent="0.25">
      <c r="F1180" s="46"/>
      <c r="G1180" s="46"/>
      <c r="H1180" s="46"/>
    </row>
    <row r="1181" spans="6:8" x14ac:dyDescent="0.25">
      <c r="F1181" s="46"/>
      <c r="G1181" s="46"/>
      <c r="H1181" s="46"/>
    </row>
    <row r="1182" spans="6:8" x14ac:dyDescent="0.25">
      <c r="F1182" s="46"/>
      <c r="G1182" s="46"/>
      <c r="H1182" s="46"/>
    </row>
    <row r="1183" spans="6:8" x14ac:dyDescent="0.25">
      <c r="F1183" s="46"/>
      <c r="G1183" s="46"/>
      <c r="H1183" s="46"/>
    </row>
    <row r="1184" spans="6:8" x14ac:dyDescent="0.25">
      <c r="F1184" s="46"/>
      <c r="G1184" s="46"/>
      <c r="H1184" s="46"/>
    </row>
    <row r="1185" spans="6:8" x14ac:dyDescent="0.25">
      <c r="F1185" s="46"/>
      <c r="G1185" s="46"/>
      <c r="H1185" s="46"/>
    </row>
    <row r="1186" spans="6:8" x14ac:dyDescent="0.25">
      <c r="F1186" s="46"/>
      <c r="G1186" s="46"/>
      <c r="H1186" s="46"/>
    </row>
    <row r="1187" spans="6:8" x14ac:dyDescent="0.25">
      <c r="F1187" s="46"/>
      <c r="G1187" s="46"/>
      <c r="H1187" s="46"/>
    </row>
    <row r="1188" spans="6:8" x14ac:dyDescent="0.25">
      <c r="F1188" s="46"/>
      <c r="G1188" s="46"/>
      <c r="H1188" s="46"/>
    </row>
    <row r="1189" spans="6:8" x14ac:dyDescent="0.25">
      <c r="F1189" s="46"/>
      <c r="G1189" s="46"/>
      <c r="H1189" s="46"/>
    </row>
    <row r="1190" spans="6:8" x14ac:dyDescent="0.25">
      <c r="F1190" s="46"/>
      <c r="G1190" s="46"/>
      <c r="H1190" s="46"/>
    </row>
    <row r="1191" spans="6:8" x14ac:dyDescent="0.25">
      <c r="F1191" s="46"/>
      <c r="G1191" s="46"/>
      <c r="H1191" s="46"/>
    </row>
    <row r="1192" spans="6:8" x14ac:dyDescent="0.25">
      <c r="F1192" s="46"/>
      <c r="G1192" s="46"/>
      <c r="H1192" s="46"/>
    </row>
    <row r="1193" spans="6:8" x14ac:dyDescent="0.25">
      <c r="F1193" s="46"/>
      <c r="G1193" s="46"/>
      <c r="H1193" s="46"/>
    </row>
    <row r="1194" spans="6:8" x14ac:dyDescent="0.25">
      <c r="F1194" s="46"/>
      <c r="G1194" s="46"/>
      <c r="H1194" s="46"/>
    </row>
    <row r="1195" spans="6:8" x14ac:dyDescent="0.25">
      <c r="F1195" s="46"/>
      <c r="G1195" s="46"/>
      <c r="H1195" s="46"/>
    </row>
    <row r="1196" spans="6:8" x14ac:dyDescent="0.25">
      <c r="F1196" s="46"/>
      <c r="G1196" s="46"/>
      <c r="H1196" s="46"/>
    </row>
    <row r="1197" spans="6:8" x14ac:dyDescent="0.25">
      <c r="F1197" s="46"/>
      <c r="G1197" s="46"/>
      <c r="H1197" s="46"/>
    </row>
    <row r="1198" spans="6:8" x14ac:dyDescent="0.25">
      <c r="F1198" s="46"/>
      <c r="G1198" s="46"/>
      <c r="H1198" s="46"/>
    </row>
    <row r="1199" spans="6:8" x14ac:dyDescent="0.25">
      <c r="F1199" s="46"/>
      <c r="G1199" s="46"/>
      <c r="H1199" s="46"/>
    </row>
    <row r="1200" spans="6:8" x14ac:dyDescent="0.25">
      <c r="F1200" s="46"/>
      <c r="G1200" s="46"/>
      <c r="H1200" s="46"/>
    </row>
    <row r="1201" spans="6:8" x14ac:dyDescent="0.25">
      <c r="F1201" s="46"/>
      <c r="G1201" s="46"/>
      <c r="H1201" s="46"/>
    </row>
    <row r="1202" spans="6:8" x14ac:dyDescent="0.25">
      <c r="F1202" s="46"/>
      <c r="G1202" s="46"/>
      <c r="H1202" s="46"/>
    </row>
    <row r="1203" spans="6:8" x14ac:dyDescent="0.25">
      <c r="F1203" s="46"/>
      <c r="G1203" s="46"/>
      <c r="H1203" s="46"/>
    </row>
    <row r="1204" spans="6:8" x14ac:dyDescent="0.25">
      <c r="F1204" s="46"/>
      <c r="G1204" s="46"/>
      <c r="H1204" s="46"/>
    </row>
    <row r="1205" spans="6:8" x14ac:dyDescent="0.25">
      <c r="F1205" s="46"/>
      <c r="G1205" s="46"/>
      <c r="H1205" s="46"/>
    </row>
    <row r="1206" spans="6:8" x14ac:dyDescent="0.25">
      <c r="F1206" s="46"/>
      <c r="G1206" s="46"/>
      <c r="H1206" s="46"/>
    </row>
    <row r="1207" spans="6:8" x14ac:dyDescent="0.25">
      <c r="F1207" s="46"/>
      <c r="G1207" s="46"/>
      <c r="H1207" s="46"/>
    </row>
    <row r="1208" spans="6:8" x14ac:dyDescent="0.25">
      <c r="F1208" s="46"/>
      <c r="G1208" s="46"/>
      <c r="H1208" s="46"/>
    </row>
    <row r="1209" spans="6:8" x14ac:dyDescent="0.25">
      <c r="F1209" s="46"/>
      <c r="G1209" s="46"/>
      <c r="H1209" s="46"/>
    </row>
    <row r="1210" spans="6:8" x14ac:dyDescent="0.25">
      <c r="F1210" s="46"/>
      <c r="G1210" s="46"/>
      <c r="H1210" s="46"/>
    </row>
    <row r="1211" spans="6:8" x14ac:dyDescent="0.25">
      <c r="F1211" s="46"/>
      <c r="G1211" s="46"/>
      <c r="H1211" s="46"/>
    </row>
    <row r="1212" spans="6:8" x14ac:dyDescent="0.25">
      <c r="F1212" s="46"/>
      <c r="G1212" s="46"/>
      <c r="H1212" s="46"/>
    </row>
    <row r="1213" spans="6:8" x14ac:dyDescent="0.25">
      <c r="F1213" s="46"/>
      <c r="G1213" s="46"/>
      <c r="H1213" s="46"/>
    </row>
    <row r="1214" spans="6:8" x14ac:dyDescent="0.25">
      <c r="F1214" s="46"/>
      <c r="G1214" s="46"/>
      <c r="H1214" s="46"/>
    </row>
    <row r="1215" spans="6:8" x14ac:dyDescent="0.25">
      <c r="F1215" s="46"/>
      <c r="G1215" s="46"/>
      <c r="H1215" s="46"/>
    </row>
    <row r="1216" spans="6:8" x14ac:dyDescent="0.25">
      <c r="F1216" s="46"/>
      <c r="G1216" s="46"/>
      <c r="H1216" s="46"/>
    </row>
    <row r="1217" spans="6:8" x14ac:dyDescent="0.25">
      <c r="F1217" s="46"/>
      <c r="G1217" s="46"/>
      <c r="H1217" s="46"/>
    </row>
    <row r="1218" spans="6:8" x14ac:dyDescent="0.25">
      <c r="F1218" s="46"/>
      <c r="G1218" s="46"/>
      <c r="H1218" s="46"/>
    </row>
    <row r="1219" spans="6:8" x14ac:dyDescent="0.25">
      <c r="F1219" s="46"/>
      <c r="G1219" s="46"/>
      <c r="H1219" s="46"/>
    </row>
    <row r="1220" spans="6:8" x14ac:dyDescent="0.25">
      <c r="F1220" s="46"/>
      <c r="G1220" s="46"/>
      <c r="H1220" s="46"/>
    </row>
    <row r="1221" spans="6:8" x14ac:dyDescent="0.25">
      <c r="F1221" s="46"/>
      <c r="G1221" s="46"/>
      <c r="H1221" s="46"/>
    </row>
    <row r="1222" spans="6:8" x14ac:dyDescent="0.25">
      <c r="F1222" s="46"/>
      <c r="G1222" s="46"/>
      <c r="H1222" s="46"/>
    </row>
    <row r="1223" spans="6:8" x14ac:dyDescent="0.25">
      <c r="F1223" s="46"/>
      <c r="G1223" s="46"/>
      <c r="H1223" s="46"/>
    </row>
    <row r="1224" spans="6:8" x14ac:dyDescent="0.25">
      <c r="F1224" s="46"/>
      <c r="G1224" s="46"/>
      <c r="H1224" s="46"/>
    </row>
    <row r="1225" spans="6:8" x14ac:dyDescent="0.25">
      <c r="F1225" s="46"/>
      <c r="G1225" s="46"/>
      <c r="H1225" s="46"/>
    </row>
    <row r="1226" spans="6:8" x14ac:dyDescent="0.25">
      <c r="F1226" s="46"/>
      <c r="G1226" s="46"/>
      <c r="H1226" s="46"/>
    </row>
    <row r="1227" spans="6:8" x14ac:dyDescent="0.25">
      <c r="F1227" s="46"/>
      <c r="G1227" s="46"/>
      <c r="H1227" s="46"/>
    </row>
    <row r="1228" spans="6:8" x14ac:dyDescent="0.25">
      <c r="F1228" s="46"/>
      <c r="G1228" s="46"/>
      <c r="H1228" s="46"/>
    </row>
    <row r="1229" spans="6:8" x14ac:dyDescent="0.25">
      <c r="F1229" s="46"/>
      <c r="G1229" s="46"/>
      <c r="H1229" s="46"/>
    </row>
    <row r="1230" spans="6:8" x14ac:dyDescent="0.25">
      <c r="F1230" s="46"/>
      <c r="G1230" s="46"/>
      <c r="H1230" s="46"/>
    </row>
    <row r="1231" spans="6:8" x14ac:dyDescent="0.25">
      <c r="F1231" s="46"/>
      <c r="G1231" s="46"/>
      <c r="H1231" s="46"/>
    </row>
    <row r="1232" spans="6:8" x14ac:dyDescent="0.25">
      <c r="F1232" s="46"/>
      <c r="G1232" s="46"/>
      <c r="H1232" s="46"/>
    </row>
    <row r="1233" spans="6:8" x14ac:dyDescent="0.25">
      <c r="F1233" s="46"/>
      <c r="G1233" s="46"/>
      <c r="H1233" s="46"/>
    </row>
    <row r="1234" spans="6:8" x14ac:dyDescent="0.25">
      <c r="F1234" s="46"/>
      <c r="G1234" s="46"/>
      <c r="H1234" s="46"/>
    </row>
    <row r="1235" spans="6:8" x14ac:dyDescent="0.25">
      <c r="F1235" s="46"/>
      <c r="G1235" s="46"/>
      <c r="H1235" s="46"/>
    </row>
    <row r="1236" spans="6:8" x14ac:dyDescent="0.25">
      <c r="F1236" s="46"/>
      <c r="G1236" s="46"/>
      <c r="H1236" s="46"/>
    </row>
    <row r="1237" spans="6:8" x14ac:dyDescent="0.25">
      <c r="F1237" s="46"/>
      <c r="G1237" s="46"/>
      <c r="H1237" s="46"/>
    </row>
    <row r="1238" spans="6:8" x14ac:dyDescent="0.25">
      <c r="F1238" s="46"/>
      <c r="G1238" s="46"/>
      <c r="H1238" s="46"/>
    </row>
    <row r="1239" spans="6:8" x14ac:dyDescent="0.25">
      <c r="F1239" s="46"/>
      <c r="G1239" s="46"/>
      <c r="H1239" s="46"/>
    </row>
    <row r="1240" spans="6:8" x14ac:dyDescent="0.25">
      <c r="F1240" s="46"/>
      <c r="G1240" s="46"/>
      <c r="H1240" s="46"/>
    </row>
    <row r="1241" spans="6:8" x14ac:dyDescent="0.25">
      <c r="F1241" s="46"/>
      <c r="G1241" s="46"/>
      <c r="H1241" s="46"/>
    </row>
    <row r="1242" spans="6:8" x14ac:dyDescent="0.25">
      <c r="F1242" s="46"/>
      <c r="G1242" s="46"/>
      <c r="H1242" s="46"/>
    </row>
    <row r="1243" spans="6:8" x14ac:dyDescent="0.25">
      <c r="F1243" s="46"/>
      <c r="G1243" s="46"/>
      <c r="H1243" s="46"/>
    </row>
    <row r="1244" spans="6:8" x14ac:dyDescent="0.25">
      <c r="F1244" s="46"/>
      <c r="G1244" s="46"/>
      <c r="H1244" s="46"/>
    </row>
    <row r="1245" spans="6:8" x14ac:dyDescent="0.25">
      <c r="F1245" s="46"/>
      <c r="G1245" s="46"/>
      <c r="H1245" s="46"/>
    </row>
    <row r="1246" spans="6:8" x14ac:dyDescent="0.25">
      <c r="F1246" s="46"/>
      <c r="G1246" s="46"/>
      <c r="H1246" s="46"/>
    </row>
    <row r="1247" spans="6:8" x14ac:dyDescent="0.25">
      <c r="F1247" s="46"/>
      <c r="G1247" s="46"/>
      <c r="H1247" s="46"/>
    </row>
    <row r="1248" spans="6:8" x14ac:dyDescent="0.25">
      <c r="F1248" s="46"/>
      <c r="G1248" s="46"/>
      <c r="H1248" s="46"/>
    </row>
    <row r="1249" spans="6:8" x14ac:dyDescent="0.25">
      <c r="F1249" s="46"/>
      <c r="G1249" s="46"/>
      <c r="H1249" s="46"/>
    </row>
    <row r="1250" spans="6:8" x14ac:dyDescent="0.25">
      <c r="F1250" s="46"/>
      <c r="G1250" s="46"/>
      <c r="H1250" s="46"/>
    </row>
    <row r="1251" spans="6:8" x14ac:dyDescent="0.25">
      <c r="F1251" s="46"/>
      <c r="G1251" s="46"/>
      <c r="H1251" s="46"/>
    </row>
    <row r="1252" spans="6:8" x14ac:dyDescent="0.25">
      <c r="F1252" s="46"/>
      <c r="G1252" s="46"/>
      <c r="H1252" s="46"/>
    </row>
    <row r="1253" spans="6:8" x14ac:dyDescent="0.25">
      <c r="F1253" s="46"/>
      <c r="G1253" s="46"/>
      <c r="H1253" s="46"/>
    </row>
    <row r="1254" spans="6:8" x14ac:dyDescent="0.25">
      <c r="F1254" s="46"/>
      <c r="G1254" s="46"/>
      <c r="H1254" s="46"/>
    </row>
    <row r="1255" spans="6:8" x14ac:dyDescent="0.25">
      <c r="F1255" s="46"/>
      <c r="G1255" s="46"/>
      <c r="H1255" s="46"/>
    </row>
    <row r="1256" spans="6:8" x14ac:dyDescent="0.25">
      <c r="F1256" s="46"/>
      <c r="G1256" s="46"/>
      <c r="H1256" s="46"/>
    </row>
    <row r="1257" spans="6:8" x14ac:dyDescent="0.25">
      <c r="F1257" s="46"/>
      <c r="G1257" s="46"/>
      <c r="H1257" s="46"/>
    </row>
    <row r="1258" spans="6:8" x14ac:dyDescent="0.25">
      <c r="F1258" s="46"/>
      <c r="G1258" s="46"/>
      <c r="H1258" s="46"/>
    </row>
    <row r="1259" spans="6:8" x14ac:dyDescent="0.25">
      <c r="F1259" s="46"/>
      <c r="G1259" s="46"/>
      <c r="H1259" s="46"/>
    </row>
    <row r="1260" spans="6:8" x14ac:dyDescent="0.25">
      <c r="F1260" s="46"/>
      <c r="G1260" s="46"/>
      <c r="H1260" s="46"/>
    </row>
    <row r="1261" spans="6:8" x14ac:dyDescent="0.25">
      <c r="F1261" s="46"/>
      <c r="G1261" s="46"/>
      <c r="H1261" s="46"/>
    </row>
    <row r="1262" spans="6:8" x14ac:dyDescent="0.25">
      <c r="F1262" s="46"/>
      <c r="G1262" s="46"/>
      <c r="H1262" s="46"/>
    </row>
    <row r="1263" spans="6:8" x14ac:dyDescent="0.25">
      <c r="F1263" s="46"/>
      <c r="G1263" s="46"/>
      <c r="H1263" s="46"/>
    </row>
    <row r="1264" spans="6:8" x14ac:dyDescent="0.25">
      <c r="F1264" s="46"/>
      <c r="G1264" s="46"/>
      <c r="H1264" s="46"/>
    </row>
    <row r="1265" spans="6:8" x14ac:dyDescent="0.25">
      <c r="F1265" s="46"/>
      <c r="G1265" s="46"/>
      <c r="H1265" s="46"/>
    </row>
    <row r="1266" spans="6:8" x14ac:dyDescent="0.25">
      <c r="F1266" s="46"/>
      <c r="G1266" s="46"/>
      <c r="H1266" s="46"/>
    </row>
    <row r="1267" spans="6:8" x14ac:dyDescent="0.25">
      <c r="F1267" s="46"/>
      <c r="G1267" s="46"/>
      <c r="H1267" s="46"/>
    </row>
    <row r="1268" spans="6:8" x14ac:dyDescent="0.25">
      <c r="F1268" s="46"/>
      <c r="G1268" s="46"/>
      <c r="H1268" s="46"/>
    </row>
    <row r="1269" spans="6:8" x14ac:dyDescent="0.25">
      <c r="F1269" s="46"/>
      <c r="G1269" s="46"/>
      <c r="H1269" s="46"/>
    </row>
    <row r="1270" spans="6:8" x14ac:dyDescent="0.25">
      <c r="F1270" s="46"/>
      <c r="G1270" s="46"/>
      <c r="H1270" s="46"/>
    </row>
    <row r="1271" spans="6:8" x14ac:dyDescent="0.25">
      <c r="F1271" s="46"/>
      <c r="G1271" s="46"/>
      <c r="H1271" s="46"/>
    </row>
    <row r="1272" spans="6:8" x14ac:dyDescent="0.25">
      <c r="F1272" s="46"/>
      <c r="G1272" s="46"/>
      <c r="H1272" s="46"/>
    </row>
    <row r="1273" spans="6:8" x14ac:dyDescent="0.25">
      <c r="F1273" s="46"/>
      <c r="G1273" s="46"/>
      <c r="H1273" s="46"/>
    </row>
    <row r="1274" spans="6:8" x14ac:dyDescent="0.25">
      <c r="F1274" s="46"/>
      <c r="G1274" s="46"/>
      <c r="H1274" s="46"/>
    </row>
    <row r="1275" spans="6:8" x14ac:dyDescent="0.25">
      <c r="F1275" s="46"/>
      <c r="G1275" s="46"/>
      <c r="H1275" s="46"/>
    </row>
    <row r="1276" spans="6:8" x14ac:dyDescent="0.25">
      <c r="F1276" s="46"/>
      <c r="G1276" s="46"/>
      <c r="H1276" s="46"/>
    </row>
    <row r="1277" spans="6:8" x14ac:dyDescent="0.25">
      <c r="F1277" s="46"/>
      <c r="G1277" s="46"/>
      <c r="H1277" s="46"/>
    </row>
    <row r="1278" spans="6:8" x14ac:dyDescent="0.25">
      <c r="F1278" s="46"/>
      <c r="G1278" s="46"/>
      <c r="H1278" s="46"/>
    </row>
    <row r="1279" spans="6:8" x14ac:dyDescent="0.25">
      <c r="F1279" s="46"/>
      <c r="G1279" s="46"/>
      <c r="H1279" s="46"/>
    </row>
    <row r="1280" spans="6:8" x14ac:dyDescent="0.25">
      <c r="F1280" s="46"/>
      <c r="G1280" s="46"/>
      <c r="H1280" s="46"/>
    </row>
    <row r="1281" spans="6:8" x14ac:dyDescent="0.25">
      <c r="F1281" s="46"/>
      <c r="G1281" s="46"/>
      <c r="H1281" s="46"/>
    </row>
    <row r="1282" spans="6:8" x14ac:dyDescent="0.25">
      <c r="F1282" s="46"/>
      <c r="G1282" s="46"/>
      <c r="H1282" s="46"/>
    </row>
    <row r="1283" spans="6:8" x14ac:dyDescent="0.25">
      <c r="F1283" s="46"/>
      <c r="G1283" s="46"/>
      <c r="H1283" s="46"/>
    </row>
    <row r="1284" spans="6:8" x14ac:dyDescent="0.25">
      <c r="F1284" s="46"/>
      <c r="G1284" s="46"/>
      <c r="H1284" s="46"/>
    </row>
    <row r="1285" spans="6:8" x14ac:dyDescent="0.25">
      <c r="F1285" s="46"/>
      <c r="G1285" s="46"/>
      <c r="H1285" s="46"/>
    </row>
    <row r="1286" spans="6:8" x14ac:dyDescent="0.25">
      <c r="F1286" s="46"/>
      <c r="G1286" s="46"/>
      <c r="H1286" s="46"/>
    </row>
    <row r="1287" spans="6:8" x14ac:dyDescent="0.25">
      <c r="F1287" s="46"/>
      <c r="G1287" s="46"/>
      <c r="H1287" s="46"/>
    </row>
    <row r="1288" spans="6:8" x14ac:dyDescent="0.25">
      <c r="F1288" s="46"/>
      <c r="G1288" s="46"/>
      <c r="H1288" s="46"/>
    </row>
    <row r="1289" spans="6:8" x14ac:dyDescent="0.25">
      <c r="F1289" s="46"/>
      <c r="G1289" s="46"/>
      <c r="H1289" s="46"/>
    </row>
    <row r="1290" spans="6:8" x14ac:dyDescent="0.25">
      <c r="F1290" s="46"/>
      <c r="G1290" s="46"/>
      <c r="H1290" s="46"/>
    </row>
    <row r="1291" spans="6:8" x14ac:dyDescent="0.25">
      <c r="F1291" s="46"/>
      <c r="G1291" s="46"/>
      <c r="H1291" s="46"/>
    </row>
    <row r="1292" spans="6:8" x14ac:dyDescent="0.25">
      <c r="F1292" s="46"/>
      <c r="G1292" s="46"/>
      <c r="H1292" s="46"/>
    </row>
    <row r="1293" spans="6:8" x14ac:dyDescent="0.25">
      <c r="F1293" s="46"/>
      <c r="G1293" s="46"/>
      <c r="H1293" s="46"/>
    </row>
    <row r="1294" spans="6:8" x14ac:dyDescent="0.25">
      <c r="F1294" s="46"/>
      <c r="G1294" s="46"/>
      <c r="H1294" s="46"/>
    </row>
    <row r="1295" spans="6:8" x14ac:dyDescent="0.25">
      <c r="F1295" s="46"/>
      <c r="G1295" s="46"/>
      <c r="H1295" s="46"/>
    </row>
    <row r="1296" spans="6:8" x14ac:dyDescent="0.25">
      <c r="F1296" s="46"/>
      <c r="G1296" s="46"/>
      <c r="H1296" s="46"/>
    </row>
    <row r="1297" spans="6:8" x14ac:dyDescent="0.25">
      <c r="F1297" s="46"/>
      <c r="G1297" s="46"/>
      <c r="H1297" s="46"/>
    </row>
    <row r="1298" spans="6:8" x14ac:dyDescent="0.25">
      <c r="F1298" s="46"/>
      <c r="G1298" s="46"/>
      <c r="H1298" s="46"/>
    </row>
    <row r="1299" spans="6:8" x14ac:dyDescent="0.25">
      <c r="F1299" s="46"/>
      <c r="G1299" s="46"/>
      <c r="H1299" s="46"/>
    </row>
    <row r="1300" spans="6:8" x14ac:dyDescent="0.25">
      <c r="F1300" s="46"/>
      <c r="G1300" s="46"/>
      <c r="H1300" s="46"/>
    </row>
    <row r="1301" spans="6:8" x14ac:dyDescent="0.25">
      <c r="F1301" s="46"/>
      <c r="G1301" s="46"/>
      <c r="H1301" s="46"/>
    </row>
    <row r="1302" spans="6:8" x14ac:dyDescent="0.25">
      <c r="F1302" s="46"/>
      <c r="G1302" s="46"/>
      <c r="H1302" s="46"/>
    </row>
    <row r="1303" spans="6:8" x14ac:dyDescent="0.25">
      <c r="F1303" s="46"/>
      <c r="G1303" s="46"/>
      <c r="H1303" s="46"/>
    </row>
    <row r="1304" spans="6:8" x14ac:dyDescent="0.25">
      <c r="F1304" s="46"/>
      <c r="G1304" s="46"/>
      <c r="H1304" s="46"/>
    </row>
    <row r="1305" spans="6:8" x14ac:dyDescent="0.25">
      <c r="F1305" s="46"/>
      <c r="G1305" s="46"/>
      <c r="H1305" s="46"/>
    </row>
    <row r="1306" spans="6:8" x14ac:dyDescent="0.25">
      <c r="F1306" s="46"/>
      <c r="G1306" s="46"/>
      <c r="H1306" s="46"/>
    </row>
    <row r="1307" spans="6:8" x14ac:dyDescent="0.25">
      <c r="F1307" s="46"/>
      <c r="G1307" s="46"/>
      <c r="H1307" s="46"/>
    </row>
    <row r="1308" spans="6:8" x14ac:dyDescent="0.25">
      <c r="F1308" s="46"/>
      <c r="G1308" s="46"/>
      <c r="H1308" s="46"/>
    </row>
    <row r="1309" spans="6:8" x14ac:dyDescent="0.25">
      <c r="F1309" s="46"/>
      <c r="G1309" s="46"/>
      <c r="H1309" s="46"/>
    </row>
    <row r="1310" spans="6:8" x14ac:dyDescent="0.25">
      <c r="F1310" s="46"/>
      <c r="G1310" s="46"/>
      <c r="H1310" s="46"/>
    </row>
    <row r="1311" spans="6:8" x14ac:dyDescent="0.25">
      <c r="F1311" s="46"/>
      <c r="G1311" s="46"/>
      <c r="H1311" s="46"/>
    </row>
    <row r="1312" spans="6:8" x14ac:dyDescent="0.25">
      <c r="F1312" s="46"/>
      <c r="G1312" s="46"/>
      <c r="H1312" s="46"/>
    </row>
    <row r="1313" spans="6:8" x14ac:dyDescent="0.25">
      <c r="F1313" s="46"/>
      <c r="G1313" s="46"/>
      <c r="H1313" s="46"/>
    </row>
    <row r="1314" spans="6:8" x14ac:dyDescent="0.25">
      <c r="F1314" s="46"/>
      <c r="G1314" s="46"/>
      <c r="H1314" s="46"/>
    </row>
    <row r="1315" spans="6:8" x14ac:dyDescent="0.25">
      <c r="F1315" s="46"/>
      <c r="G1315" s="46"/>
      <c r="H1315" s="46"/>
    </row>
    <row r="1316" spans="6:8" x14ac:dyDescent="0.25">
      <c r="F1316" s="46"/>
      <c r="G1316" s="46"/>
      <c r="H1316" s="46"/>
    </row>
    <row r="1317" spans="6:8" x14ac:dyDescent="0.25">
      <c r="F1317" s="46"/>
      <c r="G1317" s="46"/>
      <c r="H1317" s="46"/>
    </row>
    <row r="1318" spans="6:8" x14ac:dyDescent="0.25">
      <c r="F1318" s="46"/>
      <c r="G1318" s="46"/>
      <c r="H1318" s="46"/>
    </row>
    <row r="1319" spans="6:8" x14ac:dyDescent="0.25">
      <c r="F1319" s="46"/>
      <c r="G1319" s="46"/>
      <c r="H1319" s="46"/>
    </row>
    <row r="1320" spans="6:8" x14ac:dyDescent="0.25">
      <c r="F1320" s="46"/>
      <c r="G1320" s="46"/>
      <c r="H1320" s="46"/>
    </row>
    <row r="1321" spans="6:8" x14ac:dyDescent="0.25">
      <c r="F1321" s="46"/>
      <c r="G1321" s="46"/>
      <c r="H1321" s="46"/>
    </row>
    <row r="1322" spans="6:8" x14ac:dyDescent="0.25">
      <c r="F1322" s="46"/>
      <c r="G1322" s="46"/>
      <c r="H1322" s="46"/>
    </row>
    <row r="1323" spans="6:8" x14ac:dyDescent="0.25">
      <c r="F1323" s="46"/>
      <c r="G1323" s="46"/>
      <c r="H1323" s="46"/>
    </row>
    <row r="1324" spans="6:8" x14ac:dyDescent="0.25">
      <c r="F1324" s="46"/>
      <c r="G1324" s="46"/>
      <c r="H1324" s="46"/>
    </row>
    <row r="1325" spans="6:8" x14ac:dyDescent="0.25">
      <c r="F1325" s="46"/>
      <c r="G1325" s="46"/>
      <c r="H1325" s="46"/>
    </row>
    <row r="1326" spans="6:8" x14ac:dyDescent="0.25">
      <c r="F1326" s="46"/>
      <c r="G1326" s="46"/>
      <c r="H1326" s="46"/>
    </row>
    <row r="1327" spans="6:8" x14ac:dyDescent="0.25">
      <c r="F1327" s="46"/>
      <c r="G1327" s="46"/>
      <c r="H1327" s="46"/>
    </row>
    <row r="1328" spans="6:8" x14ac:dyDescent="0.25">
      <c r="F1328" s="46"/>
      <c r="G1328" s="46"/>
      <c r="H1328" s="46"/>
    </row>
    <row r="1329" spans="6:8" x14ac:dyDescent="0.25">
      <c r="F1329" s="46"/>
      <c r="G1329" s="46"/>
      <c r="H1329" s="46"/>
    </row>
    <row r="1330" spans="6:8" x14ac:dyDescent="0.25">
      <c r="F1330" s="46"/>
      <c r="G1330" s="46"/>
      <c r="H1330" s="46"/>
    </row>
    <row r="1331" spans="6:8" x14ac:dyDescent="0.25">
      <c r="F1331" s="46"/>
      <c r="G1331" s="46"/>
      <c r="H1331" s="46"/>
    </row>
    <row r="1332" spans="6:8" x14ac:dyDescent="0.25">
      <c r="F1332" s="46"/>
      <c r="G1332" s="46"/>
      <c r="H1332" s="46"/>
    </row>
    <row r="1333" spans="6:8" x14ac:dyDescent="0.25">
      <c r="F1333" s="46"/>
      <c r="G1333" s="46"/>
      <c r="H1333" s="46"/>
    </row>
    <row r="1334" spans="6:8" x14ac:dyDescent="0.25">
      <c r="F1334" s="46"/>
      <c r="G1334" s="46"/>
      <c r="H1334" s="46"/>
    </row>
    <row r="1335" spans="6:8" x14ac:dyDescent="0.25">
      <c r="F1335" s="46"/>
      <c r="G1335" s="46"/>
      <c r="H1335" s="46"/>
    </row>
    <row r="1336" spans="6:8" x14ac:dyDescent="0.25">
      <c r="F1336" s="46"/>
      <c r="G1336" s="46"/>
      <c r="H1336" s="46"/>
    </row>
    <row r="1337" spans="6:8" x14ac:dyDescent="0.25">
      <c r="F1337" s="46"/>
      <c r="G1337" s="46"/>
      <c r="H1337" s="46"/>
    </row>
    <row r="1338" spans="6:8" x14ac:dyDescent="0.25">
      <c r="F1338" s="46"/>
      <c r="G1338" s="46"/>
      <c r="H1338" s="46"/>
    </row>
    <row r="1339" spans="6:8" x14ac:dyDescent="0.25">
      <c r="F1339" s="46"/>
      <c r="G1339" s="46"/>
      <c r="H1339" s="46"/>
    </row>
    <row r="1340" spans="6:8" x14ac:dyDescent="0.25">
      <c r="F1340" s="46"/>
      <c r="G1340" s="46"/>
      <c r="H1340" s="46"/>
    </row>
    <row r="1341" spans="6:8" x14ac:dyDescent="0.25">
      <c r="F1341" s="46"/>
      <c r="G1341" s="46"/>
      <c r="H1341" s="46"/>
    </row>
    <row r="1342" spans="6:8" x14ac:dyDescent="0.25">
      <c r="F1342" s="46"/>
      <c r="G1342" s="46"/>
      <c r="H1342" s="46"/>
    </row>
    <row r="1343" spans="6:8" x14ac:dyDescent="0.25">
      <c r="F1343" s="46"/>
      <c r="G1343" s="46"/>
      <c r="H1343" s="46"/>
    </row>
    <row r="1344" spans="6:8" x14ac:dyDescent="0.25">
      <c r="F1344" s="46"/>
      <c r="G1344" s="46"/>
      <c r="H1344" s="46"/>
    </row>
    <row r="1345" spans="6:8" x14ac:dyDescent="0.25">
      <c r="F1345" s="46"/>
      <c r="G1345" s="46"/>
      <c r="H1345" s="46"/>
    </row>
    <row r="1346" spans="6:8" x14ac:dyDescent="0.25">
      <c r="F1346" s="46"/>
      <c r="G1346" s="46"/>
      <c r="H1346" s="46"/>
    </row>
    <row r="1347" spans="6:8" x14ac:dyDescent="0.25">
      <c r="F1347" s="46"/>
      <c r="G1347" s="46"/>
      <c r="H1347" s="46"/>
    </row>
    <row r="1348" spans="6:8" x14ac:dyDescent="0.25">
      <c r="F1348" s="46"/>
      <c r="G1348" s="46"/>
      <c r="H1348" s="46"/>
    </row>
    <row r="1349" spans="6:8" x14ac:dyDescent="0.25">
      <c r="F1349" s="46"/>
      <c r="G1349" s="46"/>
      <c r="H1349" s="46"/>
    </row>
    <row r="1350" spans="6:8" x14ac:dyDescent="0.25">
      <c r="F1350" s="46"/>
      <c r="G1350" s="46"/>
      <c r="H1350" s="46"/>
    </row>
    <row r="1351" spans="6:8" x14ac:dyDescent="0.25">
      <c r="F1351" s="46"/>
      <c r="G1351" s="46"/>
      <c r="H1351" s="46"/>
    </row>
    <row r="1352" spans="6:8" x14ac:dyDescent="0.25">
      <c r="F1352" s="46"/>
      <c r="G1352" s="46"/>
      <c r="H1352" s="46"/>
    </row>
    <row r="1353" spans="6:8" x14ac:dyDescent="0.25">
      <c r="F1353" s="46"/>
      <c r="G1353" s="46"/>
      <c r="H1353" s="46"/>
    </row>
    <row r="1354" spans="6:8" x14ac:dyDescent="0.25">
      <c r="F1354" s="46"/>
      <c r="G1354" s="46"/>
      <c r="H1354" s="46"/>
    </row>
    <row r="1355" spans="6:8" x14ac:dyDescent="0.25">
      <c r="F1355" s="46"/>
      <c r="G1355" s="46"/>
      <c r="H1355" s="46"/>
    </row>
    <row r="1356" spans="6:8" x14ac:dyDescent="0.25">
      <c r="F1356" s="46"/>
      <c r="G1356" s="46"/>
      <c r="H1356" s="46"/>
    </row>
    <row r="1357" spans="6:8" x14ac:dyDescent="0.25">
      <c r="F1357" s="46"/>
      <c r="G1357" s="46"/>
      <c r="H1357" s="46"/>
    </row>
    <row r="1358" spans="6:8" x14ac:dyDescent="0.25">
      <c r="F1358" s="46"/>
      <c r="G1358" s="46"/>
      <c r="H1358" s="46"/>
    </row>
    <row r="1359" spans="6:8" x14ac:dyDescent="0.25">
      <c r="F1359" s="46"/>
      <c r="G1359" s="46"/>
      <c r="H1359" s="46"/>
    </row>
    <row r="1360" spans="6:8" x14ac:dyDescent="0.25">
      <c r="F1360" s="46"/>
      <c r="G1360" s="46"/>
      <c r="H1360" s="46"/>
    </row>
    <row r="1361" spans="6:8" x14ac:dyDescent="0.25">
      <c r="F1361" s="46"/>
      <c r="G1361" s="46"/>
      <c r="H1361" s="46"/>
    </row>
    <row r="1362" spans="6:8" x14ac:dyDescent="0.25">
      <c r="F1362" s="46"/>
      <c r="G1362" s="46"/>
      <c r="H1362" s="46"/>
    </row>
    <row r="1363" spans="6:8" x14ac:dyDescent="0.25">
      <c r="F1363" s="46"/>
      <c r="G1363" s="46"/>
      <c r="H1363" s="46"/>
    </row>
    <row r="1364" spans="6:8" x14ac:dyDescent="0.25">
      <c r="F1364" s="46"/>
      <c r="G1364" s="46"/>
      <c r="H1364" s="46"/>
    </row>
    <row r="1365" spans="6:8" x14ac:dyDescent="0.25">
      <c r="F1365" s="46"/>
      <c r="G1365" s="46"/>
      <c r="H1365" s="46"/>
    </row>
    <row r="1366" spans="6:8" x14ac:dyDescent="0.25">
      <c r="F1366" s="46"/>
      <c r="G1366" s="46"/>
      <c r="H1366" s="46"/>
    </row>
    <row r="1367" spans="6:8" x14ac:dyDescent="0.25">
      <c r="F1367" s="46"/>
      <c r="G1367" s="46"/>
      <c r="H1367" s="46"/>
    </row>
    <row r="1368" spans="6:8" x14ac:dyDescent="0.25">
      <c r="F1368" s="46"/>
      <c r="G1368" s="46"/>
      <c r="H1368" s="46"/>
    </row>
    <row r="1369" spans="6:8" x14ac:dyDescent="0.25">
      <c r="F1369" s="46"/>
      <c r="G1369" s="46"/>
      <c r="H1369" s="46"/>
    </row>
    <row r="1370" spans="6:8" x14ac:dyDescent="0.25">
      <c r="F1370" s="46"/>
      <c r="G1370" s="46"/>
      <c r="H1370" s="46"/>
    </row>
    <row r="1371" spans="6:8" x14ac:dyDescent="0.25">
      <c r="F1371" s="46"/>
      <c r="G1371" s="46"/>
      <c r="H1371" s="46"/>
    </row>
    <row r="1372" spans="6:8" x14ac:dyDescent="0.25">
      <c r="F1372" s="46"/>
      <c r="G1372" s="46"/>
      <c r="H1372" s="46"/>
    </row>
    <row r="1373" spans="6:8" x14ac:dyDescent="0.25">
      <c r="F1373" s="46"/>
      <c r="G1373" s="46"/>
      <c r="H1373" s="46"/>
    </row>
    <row r="1374" spans="6:8" x14ac:dyDescent="0.25">
      <c r="F1374" s="46"/>
      <c r="G1374" s="46"/>
      <c r="H1374" s="46"/>
    </row>
    <row r="1375" spans="6:8" x14ac:dyDescent="0.25">
      <c r="F1375" s="46"/>
      <c r="G1375" s="46"/>
      <c r="H1375" s="46"/>
    </row>
    <row r="1376" spans="6:8" x14ac:dyDescent="0.25">
      <c r="F1376" s="46"/>
      <c r="G1376" s="46"/>
      <c r="H1376" s="46"/>
    </row>
    <row r="1377" spans="6:8" x14ac:dyDescent="0.25">
      <c r="F1377" s="46"/>
      <c r="G1377" s="46"/>
      <c r="H1377" s="46"/>
    </row>
    <row r="1378" spans="6:8" x14ac:dyDescent="0.25">
      <c r="F1378" s="46"/>
      <c r="G1378" s="46"/>
      <c r="H1378" s="46"/>
    </row>
    <row r="1379" spans="6:8" x14ac:dyDescent="0.25">
      <c r="F1379" s="46"/>
      <c r="G1379" s="46"/>
      <c r="H1379" s="46"/>
    </row>
    <row r="1380" spans="6:8" x14ac:dyDescent="0.25">
      <c r="F1380" s="46"/>
      <c r="G1380" s="46"/>
      <c r="H1380" s="46"/>
    </row>
    <row r="1381" spans="6:8" x14ac:dyDescent="0.25">
      <c r="F1381" s="46"/>
      <c r="G1381" s="46"/>
      <c r="H1381" s="46"/>
    </row>
    <row r="1382" spans="6:8" x14ac:dyDescent="0.25">
      <c r="F1382" s="46"/>
      <c r="G1382" s="46"/>
      <c r="H1382" s="46"/>
    </row>
    <row r="1383" spans="6:8" x14ac:dyDescent="0.25">
      <c r="F1383" s="46"/>
      <c r="G1383" s="46"/>
      <c r="H1383" s="46"/>
    </row>
    <row r="1384" spans="6:8" x14ac:dyDescent="0.25">
      <c r="F1384" s="46"/>
      <c r="G1384" s="46"/>
      <c r="H1384" s="46"/>
    </row>
    <row r="1385" spans="6:8" x14ac:dyDescent="0.25">
      <c r="F1385" s="46"/>
      <c r="G1385" s="46"/>
      <c r="H1385" s="46"/>
    </row>
    <row r="1386" spans="6:8" x14ac:dyDescent="0.25">
      <c r="F1386" s="46"/>
      <c r="G1386" s="46"/>
      <c r="H1386" s="46"/>
    </row>
    <row r="1387" spans="6:8" x14ac:dyDescent="0.25">
      <c r="F1387" s="46"/>
      <c r="G1387" s="46"/>
      <c r="H1387" s="46"/>
    </row>
    <row r="1388" spans="6:8" x14ac:dyDescent="0.25">
      <c r="F1388" s="46"/>
      <c r="G1388" s="46"/>
      <c r="H1388" s="46"/>
    </row>
    <row r="1389" spans="6:8" x14ac:dyDescent="0.25">
      <c r="F1389" s="46"/>
      <c r="G1389" s="46"/>
      <c r="H1389" s="46"/>
    </row>
    <row r="1390" spans="6:8" x14ac:dyDescent="0.25">
      <c r="F1390" s="46"/>
      <c r="G1390" s="46"/>
      <c r="H1390" s="46"/>
    </row>
    <row r="1391" spans="6:8" x14ac:dyDescent="0.25">
      <c r="F1391" s="46"/>
      <c r="G1391" s="46"/>
      <c r="H1391" s="46"/>
    </row>
    <row r="1392" spans="6:8" x14ac:dyDescent="0.25">
      <c r="F1392" s="46"/>
      <c r="G1392" s="46"/>
      <c r="H1392" s="46"/>
    </row>
    <row r="1393" spans="6:8" x14ac:dyDescent="0.25">
      <c r="F1393" s="46"/>
      <c r="G1393" s="46"/>
      <c r="H1393" s="46"/>
    </row>
    <row r="1394" spans="6:8" x14ac:dyDescent="0.25">
      <c r="F1394" s="46"/>
      <c r="G1394" s="46"/>
      <c r="H1394" s="46"/>
    </row>
    <row r="1395" spans="6:8" x14ac:dyDescent="0.25">
      <c r="F1395" s="46"/>
      <c r="G1395" s="46"/>
      <c r="H1395" s="46"/>
    </row>
    <row r="1396" spans="6:8" x14ac:dyDescent="0.25">
      <c r="F1396" s="46"/>
      <c r="G1396" s="46"/>
      <c r="H1396" s="46"/>
    </row>
    <row r="1397" spans="6:8" x14ac:dyDescent="0.25">
      <c r="F1397" s="46"/>
      <c r="G1397" s="46"/>
      <c r="H1397" s="46"/>
    </row>
    <row r="1398" spans="6:8" x14ac:dyDescent="0.25">
      <c r="F1398" s="46"/>
      <c r="G1398" s="46"/>
      <c r="H1398" s="46"/>
    </row>
    <row r="1399" spans="6:8" x14ac:dyDescent="0.25">
      <c r="F1399" s="46"/>
      <c r="G1399" s="46"/>
      <c r="H1399" s="46"/>
    </row>
    <row r="1400" spans="6:8" x14ac:dyDescent="0.25">
      <c r="F1400" s="46"/>
      <c r="G1400" s="46"/>
      <c r="H1400" s="46"/>
    </row>
    <row r="1401" spans="6:8" x14ac:dyDescent="0.25">
      <c r="F1401" s="46"/>
      <c r="G1401" s="46"/>
      <c r="H1401" s="46"/>
    </row>
    <row r="1402" spans="6:8" x14ac:dyDescent="0.25">
      <c r="F1402" s="46"/>
      <c r="G1402" s="46"/>
      <c r="H1402" s="46"/>
    </row>
    <row r="1403" spans="6:8" x14ac:dyDescent="0.25">
      <c r="F1403" s="46"/>
      <c r="G1403" s="46"/>
      <c r="H1403" s="46"/>
    </row>
    <row r="1404" spans="6:8" x14ac:dyDescent="0.25">
      <c r="F1404" s="46"/>
      <c r="G1404" s="46"/>
      <c r="H1404" s="46"/>
    </row>
    <row r="1405" spans="6:8" x14ac:dyDescent="0.25">
      <c r="F1405" s="46"/>
      <c r="G1405" s="46"/>
      <c r="H1405" s="46"/>
    </row>
    <row r="1406" spans="6:8" x14ac:dyDescent="0.25">
      <c r="F1406" s="46"/>
      <c r="G1406" s="46"/>
      <c r="H1406" s="46"/>
    </row>
    <row r="1407" spans="6:8" x14ac:dyDescent="0.25">
      <c r="F1407" s="46"/>
      <c r="G1407" s="46"/>
      <c r="H1407" s="46"/>
    </row>
    <row r="1408" spans="6:8" x14ac:dyDescent="0.25">
      <c r="F1408" s="46"/>
      <c r="G1408" s="46"/>
      <c r="H1408" s="46"/>
    </row>
    <row r="1409" spans="6:8" x14ac:dyDescent="0.25">
      <c r="F1409" s="46"/>
      <c r="G1409" s="46"/>
      <c r="H1409" s="46"/>
    </row>
    <row r="1410" spans="6:8" x14ac:dyDescent="0.25">
      <c r="F1410" s="46"/>
      <c r="G1410" s="46"/>
      <c r="H1410" s="46"/>
    </row>
    <row r="1411" spans="6:8" x14ac:dyDescent="0.25">
      <c r="F1411" s="46"/>
      <c r="G1411" s="46"/>
      <c r="H1411" s="46"/>
    </row>
    <row r="1412" spans="6:8" x14ac:dyDescent="0.25">
      <c r="F1412" s="46"/>
      <c r="G1412" s="46"/>
      <c r="H1412" s="46"/>
    </row>
    <row r="1413" spans="6:8" x14ac:dyDescent="0.25">
      <c r="F1413" s="46"/>
      <c r="G1413" s="46"/>
      <c r="H1413" s="46"/>
    </row>
    <row r="1414" spans="6:8" x14ac:dyDescent="0.25">
      <c r="F1414" s="46"/>
      <c r="G1414" s="46"/>
      <c r="H1414" s="46"/>
    </row>
    <row r="1415" spans="6:8" x14ac:dyDescent="0.25">
      <c r="F1415" s="46"/>
      <c r="G1415" s="46"/>
      <c r="H1415" s="46"/>
    </row>
    <row r="1416" spans="6:8" x14ac:dyDescent="0.25">
      <c r="F1416" s="46"/>
      <c r="G1416" s="46"/>
      <c r="H1416" s="46"/>
    </row>
    <row r="1417" spans="6:8" x14ac:dyDescent="0.25">
      <c r="F1417" s="46"/>
      <c r="G1417" s="46"/>
      <c r="H1417" s="46"/>
    </row>
    <row r="1418" spans="6:8" x14ac:dyDescent="0.25">
      <c r="F1418" s="46"/>
      <c r="G1418" s="46"/>
      <c r="H1418" s="46"/>
    </row>
    <row r="1419" spans="6:8" x14ac:dyDescent="0.25">
      <c r="F1419" s="46"/>
      <c r="G1419" s="46"/>
      <c r="H1419" s="46"/>
    </row>
    <row r="1420" spans="6:8" x14ac:dyDescent="0.25">
      <c r="F1420" s="46"/>
      <c r="G1420" s="46"/>
      <c r="H1420" s="46"/>
    </row>
    <row r="1421" spans="6:8" x14ac:dyDescent="0.25">
      <c r="F1421" s="46"/>
      <c r="G1421" s="46"/>
      <c r="H1421" s="46"/>
    </row>
    <row r="1422" spans="6:8" x14ac:dyDescent="0.25">
      <c r="F1422" s="46"/>
      <c r="G1422" s="46"/>
      <c r="H1422" s="46"/>
    </row>
    <row r="1423" spans="6:8" x14ac:dyDescent="0.25">
      <c r="F1423" s="46"/>
      <c r="G1423" s="46"/>
      <c r="H1423" s="46"/>
    </row>
    <row r="1424" spans="6:8" x14ac:dyDescent="0.25">
      <c r="F1424" s="46"/>
      <c r="G1424" s="46"/>
      <c r="H1424" s="46"/>
    </row>
    <row r="1425" spans="6:8" x14ac:dyDescent="0.25">
      <c r="F1425" s="46"/>
      <c r="G1425" s="46"/>
      <c r="H1425" s="46"/>
    </row>
    <row r="1426" spans="6:8" x14ac:dyDescent="0.25">
      <c r="F1426" s="46"/>
      <c r="G1426" s="46"/>
      <c r="H1426" s="46"/>
    </row>
    <row r="1427" spans="6:8" x14ac:dyDescent="0.25">
      <c r="F1427" s="46"/>
      <c r="G1427" s="46"/>
      <c r="H1427" s="46"/>
    </row>
    <row r="1428" spans="6:8" x14ac:dyDescent="0.25">
      <c r="F1428" s="46"/>
      <c r="G1428" s="46"/>
      <c r="H1428" s="46"/>
    </row>
    <row r="1429" spans="6:8" x14ac:dyDescent="0.25">
      <c r="F1429" s="46"/>
      <c r="G1429" s="46"/>
      <c r="H1429" s="46"/>
    </row>
    <row r="1430" spans="6:8" x14ac:dyDescent="0.25">
      <c r="F1430" s="46"/>
      <c r="G1430" s="46"/>
      <c r="H1430" s="46"/>
    </row>
    <row r="1431" spans="6:8" x14ac:dyDescent="0.25">
      <c r="F1431" s="46"/>
      <c r="G1431" s="46"/>
      <c r="H1431" s="46"/>
    </row>
    <row r="1432" spans="6:8" x14ac:dyDescent="0.25">
      <c r="F1432" s="46"/>
      <c r="G1432" s="46"/>
      <c r="H1432" s="46"/>
    </row>
    <row r="1433" spans="6:8" x14ac:dyDescent="0.25">
      <c r="F1433" s="46"/>
      <c r="G1433" s="46"/>
      <c r="H1433" s="46"/>
    </row>
    <row r="1434" spans="6:8" x14ac:dyDescent="0.25">
      <c r="F1434" s="46"/>
      <c r="G1434" s="46"/>
      <c r="H1434" s="46"/>
    </row>
    <row r="1435" spans="6:8" x14ac:dyDescent="0.25">
      <c r="F1435" s="46"/>
      <c r="G1435" s="46"/>
      <c r="H1435" s="46"/>
    </row>
    <row r="1436" spans="6:8" x14ac:dyDescent="0.25">
      <c r="F1436" s="46"/>
      <c r="G1436" s="46"/>
      <c r="H1436" s="46"/>
    </row>
    <row r="1437" spans="6:8" x14ac:dyDescent="0.25">
      <c r="F1437" s="46"/>
      <c r="G1437" s="46"/>
      <c r="H1437" s="46"/>
    </row>
    <row r="1438" spans="6:8" x14ac:dyDescent="0.25">
      <c r="F1438" s="46"/>
      <c r="G1438" s="46"/>
      <c r="H1438" s="46"/>
    </row>
    <row r="1439" spans="6:8" x14ac:dyDescent="0.25">
      <c r="F1439" s="46"/>
      <c r="G1439" s="46"/>
      <c r="H1439" s="46"/>
    </row>
    <row r="1440" spans="6:8" x14ac:dyDescent="0.25">
      <c r="F1440" s="46"/>
      <c r="G1440" s="46"/>
      <c r="H1440" s="46"/>
    </row>
    <row r="1441" spans="6:8" x14ac:dyDescent="0.25">
      <c r="F1441" s="46"/>
      <c r="G1441" s="46"/>
      <c r="H1441" s="46"/>
    </row>
    <row r="1442" spans="6:8" x14ac:dyDescent="0.25">
      <c r="F1442" s="46"/>
      <c r="G1442" s="46"/>
      <c r="H1442" s="46"/>
    </row>
    <row r="1443" spans="6:8" x14ac:dyDescent="0.25">
      <c r="F1443" s="46"/>
      <c r="G1443" s="46"/>
      <c r="H1443" s="46"/>
    </row>
    <row r="1444" spans="6:8" x14ac:dyDescent="0.25">
      <c r="F1444" s="46"/>
      <c r="G1444" s="46"/>
      <c r="H1444" s="46"/>
    </row>
    <row r="1445" spans="6:8" x14ac:dyDescent="0.25">
      <c r="F1445" s="46"/>
      <c r="G1445" s="46"/>
      <c r="H1445" s="46"/>
    </row>
    <row r="1446" spans="6:8" x14ac:dyDescent="0.25">
      <c r="F1446" s="46"/>
      <c r="G1446" s="46"/>
      <c r="H1446" s="46"/>
    </row>
    <row r="1447" spans="6:8" x14ac:dyDescent="0.25">
      <c r="F1447" s="46"/>
      <c r="G1447" s="46"/>
      <c r="H1447" s="46"/>
    </row>
    <row r="1448" spans="6:8" x14ac:dyDescent="0.25">
      <c r="F1448" s="46"/>
      <c r="G1448" s="46"/>
      <c r="H1448" s="46"/>
    </row>
    <row r="1449" spans="6:8" x14ac:dyDescent="0.25">
      <c r="F1449" s="46"/>
      <c r="G1449" s="46"/>
      <c r="H1449" s="46"/>
    </row>
    <row r="1450" spans="6:8" x14ac:dyDescent="0.25">
      <c r="F1450" s="46"/>
      <c r="G1450" s="46"/>
      <c r="H1450" s="46"/>
    </row>
    <row r="1451" spans="6:8" x14ac:dyDescent="0.25">
      <c r="F1451" s="46"/>
      <c r="G1451" s="46"/>
      <c r="H1451" s="46"/>
    </row>
    <row r="1452" spans="6:8" x14ac:dyDescent="0.25">
      <c r="F1452" s="46"/>
      <c r="G1452" s="46"/>
      <c r="H1452" s="46"/>
    </row>
    <row r="1453" spans="6:8" x14ac:dyDescent="0.25">
      <c r="F1453" s="46"/>
      <c r="G1453" s="46"/>
      <c r="H1453" s="46"/>
    </row>
    <row r="1454" spans="6:8" x14ac:dyDescent="0.25">
      <c r="F1454" s="46"/>
      <c r="G1454" s="46"/>
      <c r="H1454" s="46"/>
    </row>
    <row r="1455" spans="6:8" x14ac:dyDescent="0.25">
      <c r="F1455" s="46"/>
      <c r="G1455" s="46"/>
      <c r="H1455" s="46"/>
    </row>
    <row r="1456" spans="6:8" x14ac:dyDescent="0.25">
      <c r="F1456" s="46"/>
      <c r="G1456" s="46"/>
      <c r="H1456" s="46"/>
    </row>
    <row r="1457" spans="6:8" x14ac:dyDescent="0.25">
      <c r="F1457" s="46"/>
      <c r="G1457" s="46"/>
      <c r="H1457" s="46"/>
    </row>
    <row r="1458" spans="6:8" x14ac:dyDescent="0.25">
      <c r="F1458" s="46"/>
      <c r="G1458" s="46"/>
      <c r="H1458" s="46"/>
    </row>
    <row r="1459" spans="6:8" x14ac:dyDescent="0.25">
      <c r="F1459" s="46"/>
      <c r="G1459" s="46"/>
      <c r="H1459" s="46"/>
    </row>
    <row r="1460" spans="6:8" x14ac:dyDescent="0.25">
      <c r="F1460" s="46"/>
      <c r="G1460" s="46"/>
      <c r="H1460" s="46"/>
    </row>
    <row r="1461" spans="6:8" x14ac:dyDescent="0.25">
      <c r="F1461" s="46"/>
      <c r="G1461" s="46"/>
      <c r="H1461" s="46"/>
    </row>
    <row r="1462" spans="6:8" x14ac:dyDescent="0.25">
      <c r="F1462" s="46"/>
      <c r="G1462" s="46"/>
      <c r="H1462" s="46"/>
    </row>
    <row r="1463" spans="6:8" x14ac:dyDescent="0.25">
      <c r="F1463" s="46"/>
      <c r="G1463" s="46"/>
      <c r="H1463" s="46"/>
    </row>
    <row r="1464" spans="6:8" x14ac:dyDescent="0.25">
      <c r="F1464" s="46"/>
      <c r="G1464" s="46"/>
      <c r="H1464" s="46"/>
    </row>
    <row r="1465" spans="6:8" x14ac:dyDescent="0.25">
      <c r="F1465" s="46"/>
      <c r="G1465" s="46"/>
      <c r="H1465" s="46"/>
    </row>
    <row r="1466" spans="6:8" x14ac:dyDescent="0.25">
      <c r="F1466" s="46"/>
      <c r="G1466" s="46"/>
      <c r="H1466" s="46"/>
    </row>
    <row r="1467" spans="6:8" x14ac:dyDescent="0.25">
      <c r="F1467" s="46"/>
      <c r="G1467" s="46"/>
      <c r="H1467" s="46"/>
    </row>
    <row r="1468" spans="6:8" x14ac:dyDescent="0.25">
      <c r="F1468" s="46"/>
      <c r="G1468" s="46"/>
      <c r="H1468" s="46"/>
    </row>
    <row r="1469" spans="6:8" x14ac:dyDescent="0.25">
      <c r="F1469" s="46"/>
      <c r="G1469" s="46"/>
      <c r="H1469" s="46"/>
    </row>
    <row r="1470" spans="6:8" x14ac:dyDescent="0.25">
      <c r="F1470" s="46"/>
      <c r="G1470" s="46"/>
      <c r="H1470" s="46"/>
    </row>
    <row r="1471" spans="6:8" x14ac:dyDescent="0.25">
      <c r="F1471" s="46"/>
      <c r="G1471" s="46"/>
      <c r="H1471" s="46"/>
    </row>
    <row r="1472" spans="6:8" x14ac:dyDescent="0.25">
      <c r="F1472" s="46"/>
      <c r="G1472" s="46"/>
      <c r="H1472" s="46"/>
    </row>
    <row r="1473" spans="6:8" x14ac:dyDescent="0.25">
      <c r="F1473" s="46"/>
      <c r="G1473" s="46"/>
      <c r="H1473" s="46"/>
    </row>
    <row r="1474" spans="6:8" x14ac:dyDescent="0.25">
      <c r="F1474" s="46"/>
      <c r="G1474" s="46"/>
      <c r="H1474" s="46"/>
    </row>
    <row r="1475" spans="6:8" x14ac:dyDescent="0.25">
      <c r="F1475" s="46"/>
      <c r="G1475" s="46"/>
      <c r="H1475" s="46"/>
    </row>
    <row r="1476" spans="6:8" x14ac:dyDescent="0.25">
      <c r="F1476" s="46"/>
      <c r="G1476" s="46"/>
      <c r="H1476" s="46"/>
    </row>
    <row r="1477" spans="6:8" x14ac:dyDescent="0.25">
      <c r="F1477" s="46"/>
      <c r="G1477" s="46"/>
      <c r="H1477" s="46"/>
    </row>
    <row r="1478" spans="6:8" x14ac:dyDescent="0.25">
      <c r="F1478" s="46"/>
      <c r="G1478" s="46"/>
      <c r="H1478" s="46"/>
    </row>
    <row r="1479" spans="6:8" x14ac:dyDescent="0.25">
      <c r="F1479" s="46"/>
      <c r="G1479" s="46"/>
      <c r="H1479" s="46"/>
    </row>
    <row r="1480" spans="6:8" x14ac:dyDescent="0.25">
      <c r="F1480" s="46"/>
      <c r="G1480" s="46"/>
      <c r="H1480" s="46"/>
    </row>
    <row r="1481" spans="6:8" x14ac:dyDescent="0.25">
      <c r="F1481" s="46"/>
      <c r="G1481" s="46"/>
      <c r="H1481" s="46"/>
    </row>
    <row r="1482" spans="6:8" x14ac:dyDescent="0.25">
      <c r="F1482" s="46"/>
      <c r="G1482" s="46"/>
      <c r="H1482" s="46"/>
    </row>
    <row r="1483" spans="6:8" x14ac:dyDescent="0.25">
      <c r="F1483" s="46"/>
      <c r="G1483" s="46"/>
      <c r="H1483" s="46"/>
    </row>
    <row r="1484" spans="6:8" x14ac:dyDescent="0.25">
      <c r="F1484" s="46"/>
      <c r="G1484" s="46"/>
      <c r="H1484" s="46"/>
    </row>
    <row r="1485" spans="6:8" x14ac:dyDescent="0.25">
      <c r="F1485" s="46"/>
      <c r="G1485" s="46"/>
      <c r="H1485" s="46"/>
    </row>
    <row r="1486" spans="6:8" x14ac:dyDescent="0.25">
      <c r="F1486" s="46"/>
      <c r="G1486" s="46"/>
      <c r="H1486" s="46"/>
    </row>
    <row r="1487" spans="6:8" x14ac:dyDescent="0.25">
      <c r="F1487" s="46"/>
      <c r="G1487" s="46"/>
      <c r="H1487" s="46"/>
    </row>
    <row r="1488" spans="6:8" x14ac:dyDescent="0.25">
      <c r="F1488" s="46"/>
      <c r="G1488" s="46"/>
      <c r="H1488" s="46"/>
    </row>
    <row r="1489" spans="6:8" x14ac:dyDescent="0.25">
      <c r="F1489" s="46"/>
      <c r="G1489" s="46"/>
      <c r="H1489" s="46"/>
    </row>
    <row r="1490" spans="6:8" x14ac:dyDescent="0.25">
      <c r="F1490" s="46"/>
      <c r="G1490" s="46"/>
      <c r="H1490" s="46"/>
    </row>
    <row r="1491" spans="6:8" x14ac:dyDescent="0.25">
      <c r="F1491" s="46"/>
      <c r="G1491" s="46"/>
      <c r="H1491" s="46"/>
    </row>
    <row r="1492" spans="6:8" x14ac:dyDescent="0.25">
      <c r="F1492" s="46"/>
      <c r="G1492" s="46"/>
      <c r="H1492" s="46"/>
    </row>
    <row r="1493" spans="6:8" x14ac:dyDescent="0.25">
      <c r="F1493" s="46"/>
      <c r="G1493" s="46"/>
      <c r="H1493" s="46"/>
    </row>
    <row r="1494" spans="6:8" x14ac:dyDescent="0.25">
      <c r="F1494" s="46"/>
      <c r="G1494" s="46"/>
      <c r="H1494" s="46"/>
    </row>
    <row r="1495" spans="6:8" x14ac:dyDescent="0.25">
      <c r="F1495" s="46"/>
      <c r="G1495" s="46"/>
      <c r="H1495" s="46"/>
    </row>
    <row r="1496" spans="6:8" x14ac:dyDescent="0.25">
      <c r="F1496" s="46"/>
      <c r="G1496" s="46"/>
      <c r="H1496" s="46"/>
    </row>
    <row r="1497" spans="6:8" x14ac:dyDescent="0.25">
      <c r="F1497" s="46"/>
      <c r="G1497" s="46"/>
      <c r="H1497" s="46"/>
    </row>
    <row r="1498" spans="6:8" x14ac:dyDescent="0.25">
      <c r="F1498" s="46"/>
      <c r="G1498" s="46"/>
      <c r="H1498" s="46"/>
    </row>
    <row r="1499" spans="6:8" x14ac:dyDescent="0.25">
      <c r="F1499" s="46"/>
      <c r="G1499" s="46"/>
      <c r="H1499" s="46"/>
    </row>
    <row r="1500" spans="6:8" x14ac:dyDescent="0.25">
      <c r="F1500" s="46"/>
      <c r="G1500" s="46"/>
      <c r="H1500" s="46"/>
    </row>
    <row r="1501" spans="6:8" x14ac:dyDescent="0.25">
      <c r="F1501" s="46"/>
      <c r="G1501" s="46"/>
      <c r="H1501" s="46"/>
    </row>
    <row r="1502" spans="6:8" x14ac:dyDescent="0.25">
      <c r="F1502" s="46"/>
      <c r="G1502" s="46"/>
      <c r="H1502" s="46"/>
    </row>
    <row r="1503" spans="6:8" x14ac:dyDescent="0.25">
      <c r="F1503" s="46"/>
      <c r="G1503" s="46"/>
      <c r="H1503" s="46"/>
    </row>
    <row r="1504" spans="6:8" x14ac:dyDescent="0.25">
      <c r="F1504" s="46"/>
      <c r="G1504" s="46"/>
      <c r="H1504" s="46"/>
    </row>
    <row r="1505" spans="6:8" x14ac:dyDescent="0.25">
      <c r="F1505" s="46"/>
      <c r="G1505" s="46"/>
      <c r="H1505" s="46"/>
    </row>
    <row r="1506" spans="6:8" x14ac:dyDescent="0.25">
      <c r="F1506" s="46"/>
      <c r="G1506" s="46"/>
      <c r="H1506" s="46"/>
    </row>
    <row r="1507" spans="6:8" x14ac:dyDescent="0.25">
      <c r="F1507" s="46"/>
      <c r="G1507" s="46"/>
      <c r="H1507" s="46"/>
    </row>
    <row r="1508" spans="6:8" x14ac:dyDescent="0.25">
      <c r="F1508" s="46"/>
      <c r="G1508" s="46"/>
      <c r="H1508" s="46"/>
    </row>
    <row r="1509" spans="6:8" x14ac:dyDescent="0.25">
      <c r="F1509" s="46"/>
      <c r="G1509" s="46"/>
      <c r="H1509" s="46"/>
    </row>
    <row r="1510" spans="6:8" x14ac:dyDescent="0.25">
      <c r="F1510" s="46"/>
      <c r="G1510" s="46"/>
      <c r="H1510" s="46"/>
    </row>
    <row r="1511" spans="6:8" x14ac:dyDescent="0.25">
      <c r="F1511" s="46"/>
      <c r="G1511" s="46"/>
      <c r="H1511" s="46"/>
    </row>
    <row r="1512" spans="6:8" x14ac:dyDescent="0.25">
      <c r="F1512" s="46"/>
      <c r="G1512" s="46"/>
      <c r="H1512" s="46"/>
    </row>
    <row r="1513" spans="6:8" x14ac:dyDescent="0.25">
      <c r="F1513" s="46"/>
      <c r="G1513" s="46"/>
      <c r="H1513" s="46"/>
    </row>
    <row r="1514" spans="6:8" x14ac:dyDescent="0.25">
      <c r="F1514" s="46"/>
      <c r="G1514" s="46"/>
      <c r="H1514" s="46"/>
    </row>
    <row r="1515" spans="6:8" x14ac:dyDescent="0.25">
      <c r="F1515" s="46"/>
      <c r="G1515" s="46"/>
      <c r="H1515" s="46"/>
    </row>
    <row r="1516" spans="6:8" x14ac:dyDescent="0.25">
      <c r="F1516" s="46"/>
      <c r="G1516" s="46"/>
      <c r="H1516" s="46"/>
    </row>
    <row r="1517" spans="6:8" x14ac:dyDescent="0.25">
      <c r="F1517" s="46"/>
      <c r="G1517" s="46"/>
      <c r="H1517" s="46"/>
    </row>
    <row r="1518" spans="6:8" x14ac:dyDescent="0.25">
      <c r="F1518" s="46"/>
      <c r="G1518" s="46"/>
      <c r="H1518" s="46"/>
    </row>
    <row r="1519" spans="6:8" x14ac:dyDescent="0.25">
      <c r="F1519" s="46"/>
      <c r="G1519" s="46"/>
      <c r="H1519" s="46"/>
    </row>
    <row r="1520" spans="6:8" x14ac:dyDescent="0.25">
      <c r="F1520" s="46"/>
      <c r="G1520" s="46"/>
      <c r="H1520" s="46"/>
    </row>
    <row r="1521" spans="6:8" x14ac:dyDescent="0.25">
      <c r="F1521" s="46"/>
      <c r="G1521" s="46"/>
      <c r="H1521" s="46"/>
    </row>
    <row r="1522" spans="6:8" x14ac:dyDescent="0.25">
      <c r="F1522" s="46"/>
      <c r="G1522" s="46"/>
      <c r="H1522" s="46"/>
    </row>
    <row r="1523" spans="6:8" x14ac:dyDescent="0.25">
      <c r="F1523" s="46"/>
      <c r="G1523" s="46"/>
      <c r="H1523" s="46"/>
    </row>
    <row r="1524" spans="6:8" x14ac:dyDescent="0.25">
      <c r="F1524" s="46"/>
      <c r="G1524" s="46"/>
      <c r="H1524" s="46"/>
    </row>
    <row r="1525" spans="6:8" x14ac:dyDescent="0.25">
      <c r="F1525" s="46"/>
      <c r="G1525" s="46"/>
      <c r="H1525" s="46"/>
    </row>
    <row r="1526" spans="6:8" x14ac:dyDescent="0.25">
      <c r="F1526" s="46"/>
      <c r="G1526" s="46"/>
      <c r="H1526" s="46"/>
    </row>
    <row r="1527" spans="6:8" x14ac:dyDescent="0.25">
      <c r="F1527" s="46"/>
      <c r="G1527" s="46"/>
      <c r="H1527" s="46"/>
    </row>
    <row r="1528" spans="6:8" x14ac:dyDescent="0.25">
      <c r="F1528" s="46"/>
      <c r="G1528" s="46"/>
      <c r="H1528" s="46"/>
    </row>
    <row r="1529" spans="6:8" x14ac:dyDescent="0.25">
      <c r="F1529" s="46"/>
      <c r="G1529" s="46"/>
      <c r="H1529" s="46"/>
    </row>
    <row r="1530" spans="6:8" x14ac:dyDescent="0.25">
      <c r="F1530" s="46"/>
      <c r="G1530" s="46"/>
      <c r="H1530" s="46"/>
    </row>
    <row r="1531" spans="6:8" x14ac:dyDescent="0.25">
      <c r="F1531" s="46"/>
      <c r="G1531" s="46"/>
      <c r="H1531" s="46"/>
    </row>
    <row r="1532" spans="6:8" x14ac:dyDescent="0.25">
      <c r="F1532" s="46"/>
      <c r="G1532" s="46"/>
      <c r="H1532" s="46"/>
    </row>
    <row r="1533" spans="6:8" x14ac:dyDescent="0.25">
      <c r="F1533" s="46"/>
      <c r="G1533" s="46"/>
      <c r="H1533" s="46"/>
    </row>
    <row r="1534" spans="6:8" x14ac:dyDescent="0.25">
      <c r="F1534" s="46"/>
      <c r="G1534" s="46"/>
      <c r="H1534" s="46"/>
    </row>
    <row r="1535" spans="6:8" x14ac:dyDescent="0.25">
      <c r="F1535" s="46"/>
      <c r="G1535" s="46"/>
      <c r="H1535" s="46"/>
    </row>
    <row r="1536" spans="6:8" x14ac:dyDescent="0.25">
      <c r="F1536" s="46"/>
      <c r="G1536" s="46"/>
      <c r="H1536" s="46"/>
    </row>
    <row r="1537" spans="6:8" x14ac:dyDescent="0.25">
      <c r="F1537" s="46"/>
      <c r="G1537" s="46"/>
      <c r="H1537" s="46"/>
    </row>
    <row r="1538" spans="6:8" x14ac:dyDescent="0.25">
      <c r="F1538" s="46"/>
      <c r="G1538" s="46"/>
      <c r="H1538" s="46"/>
    </row>
    <row r="1539" spans="6:8" x14ac:dyDescent="0.25">
      <c r="F1539" s="46"/>
      <c r="G1539" s="46"/>
      <c r="H1539" s="46"/>
    </row>
    <row r="1540" spans="6:8" x14ac:dyDescent="0.25">
      <c r="F1540" s="46"/>
      <c r="G1540" s="46"/>
      <c r="H1540" s="46"/>
    </row>
    <row r="1541" spans="6:8" x14ac:dyDescent="0.25">
      <c r="F1541" s="46"/>
      <c r="G1541" s="46"/>
      <c r="H1541" s="46"/>
    </row>
    <row r="1542" spans="6:8" x14ac:dyDescent="0.25">
      <c r="F1542" s="46"/>
      <c r="G1542" s="46"/>
      <c r="H1542" s="46"/>
    </row>
    <row r="1543" spans="6:8" x14ac:dyDescent="0.25">
      <c r="F1543" s="46"/>
      <c r="G1543" s="46"/>
      <c r="H1543" s="46"/>
    </row>
    <row r="1544" spans="6:8" x14ac:dyDescent="0.25">
      <c r="F1544" s="46"/>
      <c r="G1544" s="46"/>
      <c r="H1544" s="46"/>
    </row>
    <row r="1545" spans="6:8" x14ac:dyDescent="0.25">
      <c r="F1545" s="46"/>
      <c r="G1545" s="46"/>
      <c r="H1545" s="46"/>
    </row>
    <row r="1546" spans="6:8" x14ac:dyDescent="0.25">
      <c r="F1546" s="46"/>
      <c r="G1546" s="46"/>
      <c r="H1546" s="46"/>
    </row>
    <row r="1547" spans="6:8" x14ac:dyDescent="0.25">
      <c r="F1547" s="46"/>
      <c r="G1547" s="46"/>
      <c r="H1547" s="46"/>
    </row>
    <row r="1548" spans="6:8" x14ac:dyDescent="0.25">
      <c r="F1548" s="46"/>
      <c r="G1548" s="46"/>
      <c r="H1548" s="46"/>
    </row>
    <row r="1549" spans="6:8" x14ac:dyDescent="0.25">
      <c r="F1549" s="46"/>
      <c r="G1549" s="46"/>
      <c r="H1549" s="46"/>
    </row>
    <row r="1550" spans="6:8" x14ac:dyDescent="0.25">
      <c r="F1550" s="46"/>
      <c r="G1550" s="46"/>
      <c r="H1550" s="46"/>
    </row>
    <row r="1551" spans="6:8" x14ac:dyDescent="0.25">
      <c r="F1551" s="46"/>
      <c r="G1551" s="46"/>
      <c r="H1551" s="46"/>
    </row>
    <row r="1552" spans="6:8" x14ac:dyDescent="0.25">
      <c r="F1552" s="46"/>
      <c r="G1552" s="46"/>
      <c r="H1552" s="46"/>
    </row>
    <row r="1553" spans="6:8" x14ac:dyDescent="0.25">
      <c r="F1553" s="46"/>
      <c r="G1553" s="46"/>
      <c r="H1553" s="46"/>
    </row>
    <row r="1554" spans="6:8" x14ac:dyDescent="0.25">
      <c r="F1554" s="46"/>
      <c r="G1554" s="46"/>
      <c r="H1554" s="46"/>
    </row>
    <row r="1555" spans="6:8" x14ac:dyDescent="0.25">
      <c r="F1555" s="46"/>
      <c r="G1555" s="46"/>
      <c r="H1555" s="46"/>
    </row>
    <row r="1556" spans="6:8" x14ac:dyDescent="0.25">
      <c r="F1556" s="46"/>
      <c r="G1556" s="46"/>
      <c r="H1556" s="46"/>
    </row>
    <row r="1557" spans="6:8" x14ac:dyDescent="0.25">
      <c r="F1557" s="46"/>
      <c r="G1557" s="46"/>
      <c r="H1557" s="46"/>
    </row>
    <row r="1558" spans="6:8" x14ac:dyDescent="0.25">
      <c r="F1558" s="46"/>
      <c r="G1558" s="46"/>
      <c r="H1558" s="46"/>
    </row>
    <row r="1559" spans="6:8" x14ac:dyDescent="0.25">
      <c r="F1559" s="46"/>
      <c r="G1559" s="46"/>
      <c r="H1559" s="46"/>
    </row>
    <row r="1560" spans="6:8" x14ac:dyDescent="0.25">
      <c r="F1560" s="46"/>
      <c r="G1560" s="46"/>
      <c r="H1560" s="46"/>
    </row>
    <row r="1561" spans="6:8" x14ac:dyDescent="0.25">
      <c r="F1561" s="46"/>
      <c r="G1561" s="46"/>
      <c r="H1561" s="46"/>
    </row>
    <row r="1562" spans="6:8" x14ac:dyDescent="0.25">
      <c r="F1562" s="46"/>
      <c r="G1562" s="46"/>
      <c r="H1562" s="46"/>
    </row>
    <row r="1563" spans="6:8" x14ac:dyDescent="0.25">
      <c r="F1563" s="46"/>
      <c r="G1563" s="46"/>
      <c r="H1563" s="46"/>
    </row>
    <row r="1564" spans="6:8" x14ac:dyDescent="0.25">
      <c r="F1564" s="46"/>
      <c r="G1564" s="46"/>
      <c r="H1564" s="46"/>
    </row>
    <row r="1565" spans="6:8" x14ac:dyDescent="0.25">
      <c r="F1565" s="46"/>
      <c r="G1565" s="46"/>
      <c r="H1565" s="46"/>
    </row>
    <row r="1566" spans="6:8" x14ac:dyDescent="0.25">
      <c r="F1566" s="46"/>
      <c r="G1566" s="46"/>
      <c r="H1566" s="46"/>
    </row>
    <row r="1567" spans="6:8" x14ac:dyDescent="0.25">
      <c r="F1567" s="46"/>
      <c r="G1567" s="46"/>
      <c r="H1567" s="46"/>
    </row>
    <row r="1568" spans="6:8" x14ac:dyDescent="0.25">
      <c r="F1568" s="46"/>
      <c r="G1568" s="46"/>
      <c r="H1568" s="46"/>
    </row>
    <row r="1569" spans="6:8" x14ac:dyDescent="0.25">
      <c r="F1569" s="46"/>
      <c r="G1569" s="46"/>
      <c r="H1569" s="46"/>
    </row>
    <row r="1570" spans="6:8" x14ac:dyDescent="0.25">
      <c r="F1570" s="46"/>
      <c r="G1570" s="46"/>
      <c r="H1570" s="46"/>
    </row>
    <row r="1571" spans="6:8" x14ac:dyDescent="0.25">
      <c r="F1571" s="46"/>
      <c r="G1571" s="46"/>
      <c r="H1571" s="46"/>
    </row>
    <row r="1572" spans="6:8" x14ac:dyDescent="0.25">
      <c r="F1572" s="46"/>
      <c r="G1572" s="46"/>
      <c r="H1572" s="46"/>
    </row>
    <row r="1573" spans="6:8" x14ac:dyDescent="0.25">
      <c r="F1573" s="46"/>
      <c r="G1573" s="46"/>
      <c r="H1573" s="46"/>
    </row>
    <row r="1574" spans="6:8" x14ac:dyDescent="0.25">
      <c r="F1574" s="46"/>
      <c r="G1574" s="46"/>
      <c r="H1574" s="46"/>
    </row>
    <row r="1575" spans="6:8" x14ac:dyDescent="0.25">
      <c r="F1575" s="46"/>
      <c r="G1575" s="46"/>
      <c r="H1575" s="46"/>
    </row>
    <row r="1576" spans="6:8" x14ac:dyDescent="0.25">
      <c r="F1576" s="46"/>
      <c r="G1576" s="46"/>
      <c r="H1576" s="46"/>
    </row>
    <row r="1577" spans="6:8" x14ac:dyDescent="0.25">
      <c r="F1577" s="46"/>
      <c r="G1577" s="46"/>
      <c r="H1577" s="46"/>
    </row>
    <row r="1578" spans="6:8" x14ac:dyDescent="0.25">
      <c r="F1578" s="46"/>
      <c r="G1578" s="46"/>
      <c r="H1578" s="46"/>
    </row>
    <row r="1579" spans="6:8" x14ac:dyDescent="0.25">
      <c r="F1579" s="46"/>
      <c r="G1579" s="46"/>
      <c r="H1579" s="46"/>
    </row>
    <row r="1580" spans="6:8" x14ac:dyDescent="0.25">
      <c r="F1580" s="46"/>
      <c r="G1580" s="46"/>
      <c r="H1580" s="46"/>
    </row>
    <row r="1581" spans="6:8" x14ac:dyDescent="0.25">
      <c r="F1581" s="46"/>
      <c r="G1581" s="46"/>
      <c r="H1581" s="46"/>
    </row>
    <row r="1582" spans="6:8" x14ac:dyDescent="0.25">
      <c r="F1582" s="46"/>
      <c r="G1582" s="46"/>
      <c r="H1582" s="46"/>
    </row>
    <row r="1583" spans="6:8" x14ac:dyDescent="0.25">
      <c r="F1583" s="46"/>
      <c r="G1583" s="46"/>
      <c r="H1583" s="46"/>
    </row>
    <row r="1584" spans="6:8" x14ac:dyDescent="0.25">
      <c r="F1584" s="46"/>
      <c r="G1584" s="46"/>
      <c r="H1584" s="46"/>
    </row>
    <row r="1585" spans="6:8" x14ac:dyDescent="0.25">
      <c r="F1585" s="46"/>
      <c r="G1585" s="46"/>
      <c r="H1585" s="46"/>
    </row>
    <row r="1586" spans="6:8" x14ac:dyDescent="0.25">
      <c r="F1586" s="46"/>
      <c r="G1586" s="46"/>
      <c r="H1586" s="46"/>
    </row>
    <row r="1587" spans="6:8" x14ac:dyDescent="0.25">
      <c r="F1587" s="46"/>
      <c r="G1587" s="46"/>
      <c r="H1587" s="46"/>
    </row>
    <row r="1588" spans="6:8" x14ac:dyDescent="0.25">
      <c r="F1588" s="46"/>
      <c r="G1588" s="46"/>
      <c r="H1588" s="46"/>
    </row>
    <row r="1589" spans="6:8" x14ac:dyDescent="0.25">
      <c r="F1589" s="46"/>
      <c r="G1589" s="46"/>
      <c r="H1589" s="46"/>
    </row>
    <row r="1590" spans="6:8" x14ac:dyDescent="0.25">
      <c r="F1590" s="46"/>
      <c r="G1590" s="46"/>
      <c r="H1590" s="46"/>
    </row>
    <row r="1591" spans="6:8" x14ac:dyDescent="0.25">
      <c r="F1591" s="46"/>
      <c r="G1591" s="46"/>
      <c r="H1591" s="46"/>
    </row>
    <row r="1592" spans="6:8" x14ac:dyDescent="0.25">
      <c r="F1592" s="46"/>
      <c r="G1592" s="46"/>
      <c r="H1592" s="46"/>
    </row>
    <row r="1593" spans="6:8" x14ac:dyDescent="0.25">
      <c r="F1593" s="46"/>
      <c r="G1593" s="46"/>
      <c r="H1593" s="46"/>
    </row>
    <row r="1594" spans="6:8" x14ac:dyDescent="0.25">
      <c r="F1594" s="46"/>
      <c r="G1594" s="46"/>
      <c r="H1594" s="46"/>
    </row>
    <row r="1595" spans="6:8" x14ac:dyDescent="0.25">
      <c r="F1595" s="46"/>
      <c r="G1595" s="46"/>
      <c r="H1595" s="46"/>
    </row>
    <row r="1596" spans="6:8" x14ac:dyDescent="0.25">
      <c r="F1596" s="46"/>
      <c r="G1596" s="46"/>
      <c r="H1596" s="46"/>
    </row>
    <row r="1597" spans="6:8" x14ac:dyDescent="0.25">
      <c r="F1597" s="46"/>
      <c r="G1597" s="46"/>
      <c r="H1597" s="46"/>
    </row>
    <row r="1598" spans="6:8" x14ac:dyDescent="0.25">
      <c r="F1598" s="46"/>
      <c r="G1598" s="46"/>
      <c r="H1598" s="46"/>
    </row>
    <row r="1599" spans="6:8" x14ac:dyDescent="0.25">
      <c r="F1599" s="46"/>
      <c r="G1599" s="46"/>
      <c r="H1599" s="46"/>
    </row>
    <row r="1600" spans="6:8" x14ac:dyDescent="0.25">
      <c r="F1600" s="46"/>
      <c r="G1600" s="46"/>
      <c r="H1600" s="46"/>
    </row>
    <row r="1601" spans="6:8" x14ac:dyDescent="0.25">
      <c r="F1601" s="46"/>
      <c r="G1601" s="46"/>
      <c r="H1601" s="46"/>
    </row>
    <row r="1602" spans="6:8" x14ac:dyDescent="0.25">
      <c r="F1602" s="46"/>
      <c r="G1602" s="46"/>
      <c r="H1602" s="46"/>
    </row>
    <row r="1603" spans="6:8" x14ac:dyDescent="0.25">
      <c r="F1603" s="46"/>
      <c r="G1603" s="46"/>
      <c r="H1603" s="46"/>
    </row>
    <row r="1604" spans="6:8" x14ac:dyDescent="0.25">
      <c r="F1604" s="46"/>
      <c r="G1604" s="46"/>
      <c r="H1604" s="46"/>
    </row>
    <row r="1605" spans="6:8" x14ac:dyDescent="0.25">
      <c r="F1605" s="46"/>
      <c r="G1605" s="46"/>
      <c r="H1605" s="46"/>
    </row>
    <row r="1606" spans="6:8" x14ac:dyDescent="0.25">
      <c r="F1606" s="46"/>
      <c r="G1606" s="46"/>
      <c r="H1606" s="46"/>
    </row>
    <row r="1607" spans="6:8" x14ac:dyDescent="0.25">
      <c r="F1607" s="46"/>
      <c r="G1607" s="46"/>
      <c r="H1607" s="46"/>
    </row>
    <row r="1608" spans="6:8" x14ac:dyDescent="0.25">
      <c r="F1608" s="46"/>
      <c r="G1608" s="46"/>
      <c r="H1608" s="46"/>
    </row>
    <row r="1609" spans="6:8" x14ac:dyDescent="0.25">
      <c r="F1609" s="46"/>
      <c r="G1609" s="46"/>
      <c r="H1609" s="46"/>
    </row>
    <row r="1610" spans="6:8" x14ac:dyDescent="0.25">
      <c r="F1610" s="46"/>
      <c r="G1610" s="46"/>
      <c r="H1610" s="46"/>
    </row>
    <row r="1611" spans="6:8" x14ac:dyDescent="0.25">
      <c r="F1611" s="46"/>
      <c r="G1611" s="46"/>
      <c r="H1611" s="46"/>
    </row>
    <row r="1612" spans="6:8" x14ac:dyDescent="0.25">
      <c r="F1612" s="46"/>
      <c r="G1612" s="46"/>
      <c r="H1612" s="46"/>
    </row>
    <row r="1613" spans="6:8" x14ac:dyDescent="0.25">
      <c r="F1613" s="46"/>
      <c r="G1613" s="46"/>
      <c r="H1613" s="46"/>
    </row>
    <row r="1614" spans="6:8" x14ac:dyDescent="0.25">
      <c r="F1614" s="46"/>
      <c r="G1614" s="46"/>
      <c r="H1614" s="46"/>
    </row>
    <row r="1615" spans="6:8" x14ac:dyDescent="0.25">
      <c r="F1615" s="46"/>
      <c r="G1615" s="46"/>
      <c r="H1615" s="46"/>
    </row>
    <row r="1616" spans="6:8" x14ac:dyDescent="0.25">
      <c r="F1616" s="46"/>
      <c r="G1616" s="46"/>
      <c r="H1616" s="46"/>
    </row>
    <row r="1617" spans="6:8" x14ac:dyDescent="0.25">
      <c r="F1617" s="46"/>
      <c r="G1617" s="46"/>
      <c r="H1617" s="46"/>
    </row>
    <row r="1618" spans="6:8" x14ac:dyDescent="0.25">
      <c r="F1618" s="46"/>
      <c r="G1618" s="46"/>
      <c r="H1618" s="46"/>
    </row>
    <row r="1619" spans="6:8" x14ac:dyDescent="0.25">
      <c r="F1619" s="46"/>
      <c r="G1619" s="46"/>
      <c r="H1619" s="46"/>
    </row>
    <row r="1620" spans="6:8" x14ac:dyDescent="0.25">
      <c r="F1620" s="46"/>
      <c r="G1620" s="46"/>
      <c r="H1620" s="46"/>
    </row>
    <row r="1621" spans="6:8" x14ac:dyDescent="0.25">
      <c r="F1621" s="46"/>
      <c r="G1621" s="46"/>
      <c r="H1621" s="46"/>
    </row>
    <row r="1622" spans="6:8" x14ac:dyDescent="0.25">
      <c r="F1622" s="46"/>
      <c r="G1622" s="46"/>
      <c r="H1622" s="46"/>
    </row>
    <row r="1623" spans="6:8" x14ac:dyDescent="0.25">
      <c r="F1623" s="46"/>
      <c r="G1623" s="46"/>
      <c r="H1623" s="46"/>
    </row>
    <row r="1624" spans="6:8" x14ac:dyDescent="0.25">
      <c r="F1624" s="46"/>
      <c r="G1624" s="46"/>
      <c r="H1624" s="46"/>
    </row>
    <row r="1625" spans="6:8" x14ac:dyDescent="0.25">
      <c r="F1625" s="46"/>
      <c r="G1625" s="46"/>
      <c r="H1625" s="46"/>
    </row>
    <row r="1626" spans="6:8" x14ac:dyDescent="0.25">
      <c r="F1626" s="46"/>
      <c r="G1626" s="46"/>
      <c r="H1626" s="46"/>
    </row>
    <row r="1627" spans="6:8" x14ac:dyDescent="0.25">
      <c r="F1627" s="46"/>
      <c r="G1627" s="46"/>
      <c r="H1627" s="46"/>
    </row>
    <row r="1628" spans="6:8" x14ac:dyDescent="0.25">
      <c r="F1628" s="46"/>
      <c r="G1628" s="46"/>
      <c r="H1628" s="46"/>
    </row>
    <row r="1629" spans="6:8" x14ac:dyDescent="0.25">
      <c r="F1629" s="46"/>
      <c r="G1629" s="46"/>
      <c r="H1629" s="46"/>
    </row>
    <row r="1630" spans="6:8" x14ac:dyDescent="0.25">
      <c r="F1630" s="46"/>
      <c r="G1630" s="46"/>
      <c r="H1630" s="46"/>
    </row>
    <row r="1631" spans="6:8" x14ac:dyDescent="0.25">
      <c r="F1631" s="46"/>
      <c r="G1631" s="46"/>
      <c r="H1631" s="46"/>
    </row>
    <row r="1632" spans="6:8" x14ac:dyDescent="0.25">
      <c r="F1632" s="46"/>
      <c r="G1632" s="46"/>
      <c r="H1632" s="46"/>
    </row>
    <row r="1633" spans="6:8" x14ac:dyDescent="0.25">
      <c r="F1633" s="46"/>
      <c r="G1633" s="46"/>
      <c r="H1633" s="46"/>
    </row>
    <row r="1634" spans="6:8" x14ac:dyDescent="0.25">
      <c r="F1634" s="46"/>
      <c r="G1634" s="46"/>
      <c r="H1634" s="46"/>
    </row>
    <row r="1635" spans="6:8" x14ac:dyDescent="0.25">
      <c r="F1635" s="46"/>
      <c r="G1635" s="46"/>
      <c r="H1635" s="46"/>
    </row>
    <row r="1636" spans="6:8" x14ac:dyDescent="0.25">
      <c r="F1636" s="46"/>
      <c r="G1636" s="46"/>
      <c r="H1636" s="46"/>
    </row>
    <row r="1637" spans="6:8" x14ac:dyDescent="0.25">
      <c r="F1637" s="46"/>
      <c r="G1637" s="46"/>
      <c r="H1637" s="46"/>
    </row>
    <row r="1638" spans="6:8" x14ac:dyDescent="0.25">
      <c r="F1638" s="46"/>
      <c r="G1638" s="46"/>
      <c r="H1638" s="46"/>
    </row>
    <row r="1639" spans="6:8" x14ac:dyDescent="0.25">
      <c r="F1639" s="46"/>
      <c r="G1639" s="46"/>
      <c r="H1639" s="46"/>
    </row>
    <row r="1640" spans="6:8" x14ac:dyDescent="0.25">
      <c r="F1640" s="46"/>
      <c r="G1640" s="46"/>
      <c r="H1640" s="46"/>
    </row>
    <row r="1641" spans="6:8" x14ac:dyDescent="0.25">
      <c r="F1641" s="46"/>
      <c r="G1641" s="46"/>
      <c r="H1641" s="46"/>
    </row>
    <row r="1642" spans="6:8" x14ac:dyDescent="0.25">
      <c r="F1642" s="46"/>
      <c r="G1642" s="46"/>
      <c r="H1642" s="46"/>
    </row>
    <row r="1643" spans="6:8" x14ac:dyDescent="0.25">
      <c r="F1643" s="46"/>
      <c r="G1643" s="46"/>
      <c r="H1643" s="46"/>
    </row>
    <row r="1644" spans="6:8" x14ac:dyDescent="0.25">
      <c r="F1644" s="46"/>
      <c r="G1644" s="46"/>
      <c r="H1644" s="46"/>
    </row>
    <row r="1645" spans="6:8" x14ac:dyDescent="0.25">
      <c r="F1645" s="46"/>
      <c r="G1645" s="46"/>
      <c r="H1645" s="46"/>
    </row>
    <row r="1646" spans="6:8" x14ac:dyDescent="0.25">
      <c r="F1646" s="46"/>
      <c r="G1646" s="46"/>
      <c r="H1646" s="46"/>
    </row>
    <row r="1647" spans="6:8" x14ac:dyDescent="0.25">
      <c r="F1647" s="46"/>
      <c r="G1647" s="46"/>
      <c r="H1647" s="46"/>
    </row>
    <row r="1648" spans="6:8" x14ac:dyDescent="0.25">
      <c r="F1648" s="46"/>
      <c r="G1648" s="46"/>
      <c r="H1648" s="46"/>
    </row>
    <row r="1649" spans="6:8" x14ac:dyDescent="0.25">
      <c r="F1649" s="46"/>
      <c r="G1649" s="46"/>
      <c r="H1649" s="46"/>
    </row>
    <row r="1650" spans="6:8" x14ac:dyDescent="0.25">
      <c r="F1650" s="46"/>
      <c r="G1650" s="46"/>
      <c r="H1650" s="46"/>
    </row>
    <row r="1651" spans="6:8" x14ac:dyDescent="0.25">
      <c r="F1651" s="46"/>
      <c r="G1651" s="46"/>
      <c r="H1651" s="46"/>
    </row>
    <row r="1652" spans="6:8" x14ac:dyDescent="0.25">
      <c r="F1652" s="46"/>
      <c r="G1652" s="46"/>
      <c r="H1652" s="46"/>
    </row>
    <row r="1653" spans="6:8" x14ac:dyDescent="0.25">
      <c r="F1653" s="46"/>
      <c r="G1653" s="46"/>
      <c r="H1653" s="46"/>
    </row>
    <row r="1654" spans="6:8" x14ac:dyDescent="0.25">
      <c r="F1654" s="46"/>
      <c r="G1654" s="46"/>
      <c r="H1654" s="46"/>
    </row>
    <row r="1655" spans="6:8" x14ac:dyDescent="0.25">
      <c r="F1655" s="46"/>
      <c r="G1655" s="46"/>
      <c r="H1655" s="46"/>
    </row>
    <row r="1656" spans="6:8" x14ac:dyDescent="0.25">
      <c r="F1656" s="46"/>
      <c r="G1656" s="46"/>
      <c r="H1656" s="46"/>
    </row>
    <row r="1657" spans="6:8" x14ac:dyDescent="0.25">
      <c r="F1657" s="46"/>
      <c r="G1657" s="46"/>
      <c r="H1657" s="46"/>
    </row>
    <row r="1658" spans="6:8" x14ac:dyDescent="0.25">
      <c r="F1658" s="46"/>
      <c r="G1658" s="46"/>
      <c r="H1658" s="46"/>
    </row>
    <row r="1659" spans="6:8" x14ac:dyDescent="0.25">
      <c r="F1659" s="46"/>
      <c r="G1659" s="46"/>
      <c r="H1659" s="46"/>
    </row>
    <row r="1660" spans="6:8" x14ac:dyDescent="0.25">
      <c r="F1660" s="46"/>
      <c r="G1660" s="46"/>
      <c r="H1660" s="46"/>
    </row>
    <row r="1661" spans="6:8" x14ac:dyDescent="0.25">
      <c r="F1661" s="46"/>
      <c r="G1661" s="46"/>
      <c r="H1661" s="46"/>
    </row>
    <row r="1662" spans="6:8" x14ac:dyDescent="0.25">
      <c r="F1662" s="46"/>
      <c r="G1662" s="46"/>
      <c r="H1662" s="46"/>
    </row>
    <row r="1663" spans="6:8" x14ac:dyDescent="0.25">
      <c r="F1663" s="46"/>
      <c r="G1663" s="46"/>
      <c r="H1663" s="46"/>
    </row>
    <row r="1664" spans="6:8" x14ac:dyDescent="0.25">
      <c r="F1664" s="46"/>
      <c r="G1664" s="46"/>
      <c r="H1664" s="46"/>
    </row>
    <row r="1665" spans="6:8" x14ac:dyDescent="0.25">
      <c r="F1665" s="46"/>
      <c r="G1665" s="46"/>
      <c r="H1665" s="46"/>
    </row>
    <row r="1666" spans="6:8" x14ac:dyDescent="0.25">
      <c r="F1666" s="46"/>
      <c r="G1666" s="46"/>
      <c r="H1666" s="46"/>
    </row>
    <row r="1667" spans="6:8" x14ac:dyDescent="0.25">
      <c r="F1667" s="46"/>
      <c r="G1667" s="46"/>
      <c r="H1667" s="46"/>
    </row>
    <row r="1668" spans="6:8" x14ac:dyDescent="0.25">
      <c r="F1668" s="46"/>
      <c r="G1668" s="46"/>
      <c r="H1668" s="46"/>
    </row>
    <row r="1669" spans="6:8" x14ac:dyDescent="0.25">
      <c r="F1669" s="46"/>
      <c r="G1669" s="46"/>
      <c r="H1669" s="46"/>
    </row>
    <row r="1670" spans="6:8" x14ac:dyDescent="0.25">
      <c r="F1670" s="46"/>
      <c r="G1670" s="46"/>
      <c r="H1670" s="46"/>
    </row>
    <row r="1671" spans="6:8" x14ac:dyDescent="0.25">
      <c r="F1671" s="46"/>
      <c r="G1671" s="46"/>
      <c r="H1671" s="46"/>
    </row>
    <row r="1672" spans="6:8" x14ac:dyDescent="0.25">
      <c r="F1672" s="46"/>
      <c r="G1672" s="46"/>
      <c r="H1672" s="46"/>
    </row>
    <row r="1673" spans="6:8" x14ac:dyDescent="0.25">
      <c r="F1673" s="46"/>
      <c r="G1673" s="46"/>
      <c r="H1673" s="46"/>
    </row>
    <row r="1674" spans="6:8" x14ac:dyDescent="0.25">
      <c r="F1674" s="46"/>
      <c r="G1674" s="46"/>
      <c r="H1674" s="46"/>
    </row>
    <row r="1675" spans="6:8" x14ac:dyDescent="0.25">
      <c r="F1675" s="46"/>
      <c r="G1675" s="46"/>
      <c r="H1675" s="46"/>
    </row>
    <row r="1676" spans="6:8" x14ac:dyDescent="0.25">
      <c r="F1676" s="46"/>
      <c r="G1676" s="46"/>
      <c r="H1676" s="46"/>
    </row>
    <row r="1677" spans="6:8" x14ac:dyDescent="0.25">
      <c r="F1677" s="46"/>
      <c r="G1677" s="46"/>
      <c r="H1677" s="46"/>
    </row>
    <row r="1678" spans="6:8" x14ac:dyDescent="0.25">
      <c r="F1678" s="46"/>
      <c r="G1678" s="46"/>
      <c r="H1678" s="46"/>
    </row>
    <row r="1679" spans="6:8" x14ac:dyDescent="0.25">
      <c r="F1679" s="46"/>
      <c r="G1679" s="46"/>
      <c r="H1679" s="46"/>
    </row>
    <row r="1680" spans="6:8" x14ac:dyDescent="0.25">
      <c r="F1680" s="46"/>
      <c r="G1680" s="46"/>
      <c r="H1680" s="46"/>
    </row>
    <row r="1681" spans="6:8" x14ac:dyDescent="0.25">
      <c r="F1681" s="46"/>
      <c r="G1681" s="46"/>
      <c r="H1681" s="46"/>
    </row>
    <row r="1682" spans="6:8" x14ac:dyDescent="0.25">
      <c r="F1682" s="46"/>
      <c r="G1682" s="46"/>
      <c r="H1682" s="46"/>
    </row>
    <row r="1683" spans="6:8" x14ac:dyDescent="0.25">
      <c r="F1683" s="46"/>
      <c r="G1683" s="46"/>
      <c r="H1683" s="46"/>
    </row>
    <row r="1684" spans="6:8" x14ac:dyDescent="0.25">
      <c r="F1684" s="46"/>
      <c r="G1684" s="46"/>
      <c r="H1684" s="46"/>
    </row>
    <row r="1685" spans="6:8" x14ac:dyDescent="0.25">
      <c r="F1685" s="46"/>
      <c r="G1685" s="46"/>
      <c r="H1685" s="46"/>
    </row>
    <row r="1686" spans="6:8" x14ac:dyDescent="0.25">
      <c r="F1686" s="46"/>
      <c r="G1686" s="46"/>
      <c r="H1686" s="46"/>
    </row>
    <row r="1687" spans="6:8" x14ac:dyDescent="0.25">
      <c r="F1687" s="46"/>
      <c r="G1687" s="46"/>
      <c r="H1687" s="46"/>
    </row>
    <row r="1688" spans="6:8" x14ac:dyDescent="0.25">
      <c r="F1688" s="46"/>
      <c r="G1688" s="46"/>
      <c r="H1688" s="46"/>
    </row>
    <row r="1689" spans="6:8" x14ac:dyDescent="0.25">
      <c r="F1689" s="46"/>
      <c r="G1689" s="46"/>
      <c r="H1689" s="46"/>
    </row>
    <row r="1690" spans="6:8" x14ac:dyDescent="0.25">
      <c r="F1690" s="46"/>
      <c r="G1690" s="46"/>
      <c r="H1690" s="46"/>
    </row>
    <row r="1691" spans="6:8" x14ac:dyDescent="0.25">
      <c r="F1691" s="46"/>
      <c r="G1691" s="46"/>
      <c r="H1691" s="46"/>
    </row>
    <row r="1692" spans="6:8" x14ac:dyDescent="0.25">
      <c r="F1692" s="46"/>
      <c r="G1692" s="46"/>
      <c r="H1692" s="46"/>
    </row>
    <row r="1693" spans="6:8" x14ac:dyDescent="0.25">
      <c r="F1693" s="46"/>
      <c r="G1693" s="46"/>
      <c r="H1693" s="46"/>
    </row>
    <row r="1694" spans="6:8" x14ac:dyDescent="0.25">
      <c r="F1694" s="46"/>
      <c r="G1694" s="46"/>
      <c r="H1694" s="46"/>
    </row>
    <row r="1695" spans="6:8" x14ac:dyDescent="0.25">
      <c r="F1695" s="46"/>
      <c r="G1695" s="46"/>
      <c r="H1695" s="46"/>
    </row>
    <row r="1696" spans="6:8" x14ac:dyDescent="0.25">
      <c r="F1696" s="46"/>
      <c r="G1696" s="46"/>
      <c r="H1696" s="46"/>
    </row>
    <row r="1697" spans="6:8" x14ac:dyDescent="0.25">
      <c r="F1697" s="46"/>
      <c r="G1697" s="46"/>
      <c r="H1697" s="46"/>
    </row>
    <row r="1698" spans="6:8" x14ac:dyDescent="0.25">
      <c r="F1698" s="46"/>
      <c r="G1698" s="46"/>
      <c r="H1698" s="46"/>
    </row>
    <row r="1699" spans="6:8" x14ac:dyDescent="0.25">
      <c r="F1699" s="46"/>
      <c r="G1699" s="46"/>
      <c r="H1699" s="46"/>
    </row>
    <row r="1700" spans="6:8" x14ac:dyDescent="0.25">
      <c r="F1700" s="46"/>
      <c r="G1700" s="46"/>
      <c r="H1700" s="46"/>
    </row>
    <row r="1701" spans="6:8" x14ac:dyDescent="0.25">
      <c r="F1701" s="46"/>
      <c r="G1701" s="46"/>
      <c r="H1701" s="46"/>
    </row>
    <row r="1702" spans="6:8" x14ac:dyDescent="0.25">
      <c r="F1702" s="46"/>
      <c r="G1702" s="46"/>
      <c r="H1702" s="46"/>
    </row>
    <row r="1703" spans="6:8" x14ac:dyDescent="0.25">
      <c r="F1703" s="46"/>
      <c r="G1703" s="46"/>
      <c r="H1703" s="46"/>
    </row>
    <row r="1704" spans="6:8" x14ac:dyDescent="0.25">
      <c r="F1704" s="46"/>
      <c r="G1704" s="46"/>
      <c r="H1704" s="46"/>
    </row>
    <row r="1705" spans="6:8" x14ac:dyDescent="0.25">
      <c r="F1705" s="46"/>
      <c r="G1705" s="46"/>
      <c r="H1705" s="46"/>
    </row>
    <row r="1706" spans="6:8" x14ac:dyDescent="0.25">
      <c r="F1706" s="46"/>
      <c r="G1706" s="46"/>
      <c r="H1706" s="46"/>
    </row>
    <row r="1707" spans="6:8" x14ac:dyDescent="0.25">
      <c r="F1707" s="46"/>
      <c r="G1707" s="46"/>
      <c r="H1707" s="46"/>
    </row>
    <row r="1708" spans="6:8" x14ac:dyDescent="0.25">
      <c r="F1708" s="46"/>
      <c r="G1708" s="46"/>
      <c r="H1708" s="46"/>
    </row>
    <row r="1709" spans="6:8" x14ac:dyDescent="0.25">
      <c r="F1709" s="46"/>
      <c r="G1709" s="46"/>
      <c r="H1709" s="46"/>
    </row>
    <row r="1710" spans="6:8" x14ac:dyDescent="0.25">
      <c r="F1710" s="46"/>
      <c r="G1710" s="46"/>
      <c r="H1710" s="46"/>
    </row>
    <row r="1711" spans="6:8" x14ac:dyDescent="0.25">
      <c r="F1711" s="46"/>
      <c r="G1711" s="46"/>
      <c r="H1711" s="46"/>
    </row>
    <row r="1712" spans="6:8" x14ac:dyDescent="0.25">
      <c r="F1712" s="46"/>
      <c r="G1712" s="46"/>
      <c r="H1712" s="46"/>
    </row>
    <row r="1713" spans="6:8" x14ac:dyDescent="0.25">
      <c r="F1713" s="46"/>
      <c r="G1713" s="46"/>
      <c r="H1713" s="46"/>
    </row>
    <row r="1714" spans="6:8" x14ac:dyDescent="0.25">
      <c r="F1714" s="46"/>
      <c r="G1714" s="46"/>
      <c r="H1714" s="46"/>
    </row>
    <row r="1715" spans="6:8" x14ac:dyDescent="0.25">
      <c r="F1715" s="46"/>
      <c r="G1715" s="46"/>
      <c r="H1715" s="46"/>
    </row>
    <row r="1716" spans="6:8" x14ac:dyDescent="0.25">
      <c r="F1716" s="46"/>
      <c r="G1716" s="46"/>
      <c r="H1716" s="46"/>
    </row>
    <row r="1717" spans="6:8" x14ac:dyDescent="0.25">
      <c r="F1717" s="46"/>
      <c r="G1717" s="46"/>
      <c r="H1717" s="46"/>
    </row>
    <row r="1718" spans="6:8" x14ac:dyDescent="0.25">
      <c r="F1718" s="46"/>
      <c r="G1718" s="46"/>
      <c r="H1718" s="46"/>
    </row>
    <row r="1719" spans="6:8" x14ac:dyDescent="0.25">
      <c r="F1719" s="46"/>
      <c r="G1719" s="46"/>
      <c r="H1719" s="46"/>
    </row>
    <row r="1720" spans="6:8" x14ac:dyDescent="0.25">
      <c r="F1720" s="46"/>
      <c r="G1720" s="46"/>
      <c r="H1720" s="46"/>
    </row>
    <row r="1721" spans="6:8" x14ac:dyDescent="0.25">
      <c r="F1721" s="46"/>
      <c r="G1721" s="46"/>
      <c r="H1721" s="46"/>
    </row>
    <row r="1722" spans="6:8" x14ac:dyDescent="0.25">
      <c r="F1722" s="46"/>
      <c r="G1722" s="46"/>
      <c r="H1722" s="46"/>
    </row>
    <row r="1723" spans="6:8" x14ac:dyDescent="0.25">
      <c r="F1723" s="46"/>
      <c r="G1723" s="46"/>
      <c r="H1723" s="46"/>
    </row>
    <row r="1724" spans="6:8" x14ac:dyDescent="0.25">
      <c r="F1724" s="46"/>
      <c r="G1724" s="46"/>
      <c r="H1724" s="46"/>
    </row>
    <row r="1725" spans="6:8" x14ac:dyDescent="0.25">
      <c r="F1725" s="46"/>
      <c r="G1725" s="46"/>
      <c r="H1725" s="46"/>
    </row>
    <row r="1726" spans="6:8" x14ac:dyDescent="0.25">
      <c r="F1726" s="46"/>
      <c r="G1726" s="46"/>
      <c r="H1726" s="46"/>
    </row>
    <row r="1727" spans="6:8" x14ac:dyDescent="0.25">
      <c r="F1727" s="46"/>
      <c r="G1727" s="46"/>
      <c r="H1727" s="46"/>
    </row>
    <row r="1728" spans="6:8" x14ac:dyDescent="0.25">
      <c r="F1728" s="46"/>
      <c r="G1728" s="46"/>
      <c r="H1728" s="46"/>
    </row>
    <row r="1729" spans="6:8" x14ac:dyDescent="0.25">
      <c r="F1729" s="46"/>
      <c r="G1729" s="46"/>
      <c r="H1729" s="46"/>
    </row>
    <row r="1730" spans="6:8" x14ac:dyDescent="0.25">
      <c r="F1730" s="46"/>
      <c r="G1730" s="46"/>
      <c r="H1730" s="46"/>
    </row>
    <row r="1731" spans="6:8" x14ac:dyDescent="0.25">
      <c r="F1731" s="46"/>
      <c r="G1731" s="46"/>
      <c r="H1731" s="46"/>
    </row>
    <row r="1732" spans="6:8" x14ac:dyDescent="0.25">
      <c r="F1732" s="46"/>
      <c r="G1732" s="46"/>
      <c r="H1732" s="46"/>
    </row>
    <row r="1733" spans="6:8" x14ac:dyDescent="0.25">
      <c r="F1733" s="46"/>
      <c r="G1733" s="46"/>
      <c r="H1733" s="46"/>
    </row>
    <row r="1734" spans="6:8" x14ac:dyDescent="0.25">
      <c r="F1734" s="46"/>
      <c r="G1734" s="46"/>
      <c r="H1734" s="46"/>
    </row>
    <row r="1735" spans="6:8" x14ac:dyDescent="0.25">
      <c r="F1735" s="46"/>
      <c r="G1735" s="46"/>
      <c r="H1735" s="46"/>
    </row>
    <row r="1736" spans="6:8" x14ac:dyDescent="0.25">
      <c r="F1736" s="46"/>
      <c r="G1736" s="46"/>
      <c r="H1736" s="46"/>
    </row>
    <row r="1737" spans="6:8" x14ac:dyDescent="0.25">
      <c r="F1737" s="46"/>
      <c r="G1737" s="46"/>
      <c r="H1737" s="46"/>
    </row>
    <row r="1738" spans="6:8" x14ac:dyDescent="0.25">
      <c r="F1738" s="46"/>
      <c r="G1738" s="46"/>
      <c r="H1738" s="46"/>
    </row>
    <row r="1739" spans="6:8" x14ac:dyDescent="0.25">
      <c r="F1739" s="46"/>
      <c r="G1739" s="46"/>
      <c r="H1739" s="46"/>
    </row>
    <row r="1740" spans="6:8" x14ac:dyDescent="0.25">
      <c r="F1740" s="46"/>
      <c r="G1740" s="46"/>
      <c r="H1740" s="46"/>
    </row>
    <row r="1741" spans="6:8" x14ac:dyDescent="0.25">
      <c r="F1741" s="46"/>
      <c r="G1741" s="46"/>
      <c r="H1741" s="46"/>
    </row>
    <row r="1742" spans="6:8" x14ac:dyDescent="0.25">
      <c r="F1742" s="46"/>
      <c r="G1742" s="46"/>
      <c r="H1742" s="46"/>
    </row>
    <row r="1743" spans="6:8" x14ac:dyDescent="0.25">
      <c r="F1743" s="46"/>
      <c r="G1743" s="46"/>
      <c r="H1743" s="46"/>
    </row>
    <row r="1744" spans="6:8" x14ac:dyDescent="0.25">
      <c r="F1744" s="46"/>
      <c r="G1744" s="46"/>
      <c r="H1744" s="46"/>
    </row>
    <row r="1745" spans="6:8" x14ac:dyDescent="0.25">
      <c r="F1745" s="46"/>
      <c r="G1745" s="46"/>
      <c r="H1745" s="46"/>
    </row>
    <row r="1746" spans="6:8" x14ac:dyDescent="0.25">
      <c r="F1746" s="46"/>
      <c r="G1746" s="46"/>
      <c r="H1746" s="46"/>
    </row>
    <row r="1747" spans="6:8" x14ac:dyDescent="0.25">
      <c r="F1747" s="46"/>
      <c r="G1747" s="46"/>
      <c r="H1747" s="46"/>
    </row>
    <row r="1748" spans="6:8" x14ac:dyDescent="0.25">
      <c r="F1748" s="46"/>
      <c r="G1748" s="46"/>
      <c r="H1748" s="46"/>
    </row>
    <row r="1749" spans="6:8" x14ac:dyDescent="0.25">
      <c r="F1749" s="46"/>
      <c r="G1749" s="46"/>
      <c r="H1749" s="46"/>
    </row>
    <row r="1750" spans="6:8" x14ac:dyDescent="0.25">
      <c r="F1750" s="46"/>
      <c r="G1750" s="46"/>
      <c r="H1750" s="46"/>
    </row>
    <row r="1751" spans="6:8" x14ac:dyDescent="0.25">
      <c r="F1751" s="46"/>
      <c r="G1751" s="46"/>
      <c r="H1751" s="46"/>
    </row>
    <row r="1752" spans="6:8" x14ac:dyDescent="0.25">
      <c r="F1752" s="46"/>
      <c r="G1752" s="46"/>
      <c r="H1752" s="46"/>
    </row>
    <row r="1753" spans="6:8" x14ac:dyDescent="0.25">
      <c r="F1753" s="46"/>
      <c r="G1753" s="46"/>
      <c r="H1753" s="46"/>
    </row>
    <row r="1754" spans="6:8" x14ac:dyDescent="0.25">
      <c r="F1754" s="46"/>
      <c r="G1754" s="46"/>
      <c r="H1754" s="46"/>
    </row>
    <row r="1755" spans="6:8" x14ac:dyDescent="0.25">
      <c r="F1755" s="46"/>
      <c r="G1755" s="46"/>
      <c r="H1755" s="46"/>
    </row>
    <row r="1756" spans="6:8" x14ac:dyDescent="0.25">
      <c r="F1756" s="46"/>
      <c r="G1756" s="46"/>
      <c r="H1756" s="46"/>
    </row>
    <row r="1757" spans="6:8" x14ac:dyDescent="0.25">
      <c r="F1757" s="46"/>
      <c r="G1757" s="46"/>
      <c r="H1757" s="46"/>
    </row>
    <row r="1758" spans="6:8" x14ac:dyDescent="0.25">
      <c r="F1758" s="46"/>
      <c r="G1758" s="46"/>
      <c r="H1758" s="46"/>
    </row>
    <row r="1759" spans="6:8" x14ac:dyDescent="0.25">
      <c r="F1759" s="46"/>
      <c r="G1759" s="46"/>
      <c r="H1759" s="46"/>
    </row>
    <row r="1760" spans="6:8" x14ac:dyDescent="0.25">
      <c r="F1760" s="46"/>
      <c r="G1760" s="46"/>
      <c r="H1760" s="46"/>
    </row>
    <row r="1761" spans="6:8" x14ac:dyDescent="0.25">
      <c r="F1761" s="46"/>
      <c r="G1761" s="46"/>
      <c r="H1761" s="46"/>
    </row>
    <row r="1762" spans="6:8" x14ac:dyDescent="0.25">
      <c r="F1762" s="46"/>
      <c r="G1762" s="46"/>
      <c r="H1762" s="46"/>
    </row>
    <row r="1763" spans="6:8" x14ac:dyDescent="0.25">
      <c r="F1763" s="46"/>
      <c r="G1763" s="46"/>
      <c r="H1763" s="46"/>
    </row>
    <row r="1764" spans="6:8" x14ac:dyDescent="0.25">
      <c r="F1764" s="46"/>
      <c r="G1764" s="46"/>
      <c r="H1764" s="46"/>
    </row>
    <row r="1765" spans="6:8" x14ac:dyDescent="0.25">
      <c r="F1765" s="46"/>
      <c r="G1765" s="46"/>
      <c r="H1765" s="46"/>
    </row>
    <row r="1766" spans="6:8" x14ac:dyDescent="0.25">
      <c r="F1766" s="46"/>
      <c r="G1766" s="46"/>
      <c r="H1766" s="46"/>
    </row>
    <row r="1767" spans="6:8" x14ac:dyDescent="0.25">
      <c r="F1767" s="46"/>
      <c r="G1767" s="46"/>
      <c r="H1767" s="46"/>
    </row>
    <row r="1768" spans="6:8" x14ac:dyDescent="0.25">
      <c r="F1768" s="46"/>
      <c r="G1768" s="46"/>
      <c r="H1768" s="46"/>
    </row>
    <row r="1769" spans="6:8" x14ac:dyDescent="0.25">
      <c r="F1769" s="46"/>
      <c r="G1769" s="46"/>
      <c r="H1769" s="46"/>
    </row>
    <row r="1770" spans="6:8" x14ac:dyDescent="0.25">
      <c r="F1770" s="46"/>
      <c r="G1770" s="46"/>
      <c r="H1770" s="46"/>
    </row>
    <row r="1771" spans="6:8" x14ac:dyDescent="0.25">
      <c r="F1771" s="46"/>
      <c r="G1771" s="46"/>
      <c r="H1771" s="46"/>
    </row>
    <row r="1772" spans="6:8" x14ac:dyDescent="0.25">
      <c r="F1772" s="46"/>
      <c r="G1772" s="46"/>
      <c r="H1772" s="46"/>
    </row>
    <row r="1773" spans="6:8" x14ac:dyDescent="0.25">
      <c r="F1773" s="46"/>
      <c r="G1773" s="46"/>
      <c r="H1773" s="46"/>
    </row>
    <row r="1774" spans="6:8" x14ac:dyDescent="0.25">
      <c r="F1774" s="46"/>
      <c r="G1774" s="46"/>
      <c r="H1774" s="46"/>
    </row>
    <row r="1775" spans="6:8" x14ac:dyDescent="0.25">
      <c r="F1775" s="46"/>
      <c r="G1775" s="46"/>
      <c r="H1775" s="46"/>
    </row>
    <row r="1776" spans="6:8" x14ac:dyDescent="0.25">
      <c r="F1776" s="46"/>
      <c r="G1776" s="46"/>
      <c r="H1776" s="46"/>
    </row>
    <row r="1777" spans="6:8" x14ac:dyDescent="0.25">
      <c r="F1777" s="46"/>
      <c r="G1777" s="46"/>
      <c r="H1777" s="46"/>
    </row>
    <row r="1778" spans="6:8" x14ac:dyDescent="0.25">
      <c r="F1778" s="46"/>
      <c r="G1778" s="46"/>
      <c r="H1778" s="46"/>
    </row>
    <row r="1779" spans="6:8" x14ac:dyDescent="0.25">
      <c r="F1779" s="46"/>
      <c r="G1779" s="46"/>
      <c r="H1779" s="46"/>
    </row>
    <row r="1780" spans="6:8" x14ac:dyDescent="0.25">
      <c r="F1780" s="46"/>
      <c r="G1780" s="46"/>
      <c r="H1780" s="46"/>
    </row>
    <row r="1781" spans="6:8" x14ac:dyDescent="0.25">
      <c r="F1781" s="46"/>
      <c r="G1781" s="46"/>
      <c r="H1781" s="46"/>
    </row>
    <row r="1782" spans="6:8" x14ac:dyDescent="0.25">
      <c r="F1782" s="46"/>
      <c r="G1782" s="46"/>
      <c r="H1782" s="46"/>
    </row>
    <row r="1783" spans="6:8" x14ac:dyDescent="0.25">
      <c r="F1783" s="46"/>
      <c r="G1783" s="46"/>
      <c r="H1783" s="46"/>
    </row>
    <row r="1784" spans="6:8" x14ac:dyDescent="0.25">
      <c r="F1784" s="46"/>
      <c r="G1784" s="46"/>
      <c r="H1784" s="46"/>
    </row>
    <row r="1785" spans="6:8" x14ac:dyDescent="0.25">
      <c r="F1785" s="46"/>
      <c r="G1785" s="46"/>
      <c r="H1785" s="46"/>
    </row>
    <row r="1786" spans="6:8" x14ac:dyDescent="0.25">
      <c r="F1786" s="46"/>
      <c r="G1786" s="46"/>
      <c r="H1786" s="46"/>
    </row>
    <row r="1787" spans="6:8" x14ac:dyDescent="0.25">
      <c r="F1787" s="46"/>
      <c r="G1787" s="46"/>
      <c r="H1787" s="46"/>
    </row>
    <row r="1788" spans="6:8" x14ac:dyDescent="0.25">
      <c r="F1788" s="46"/>
      <c r="G1788" s="46"/>
      <c r="H1788" s="46"/>
    </row>
    <row r="1789" spans="6:8" x14ac:dyDescent="0.25">
      <c r="F1789" s="46"/>
      <c r="G1789" s="46"/>
      <c r="H1789" s="46"/>
    </row>
    <row r="1790" spans="6:8" x14ac:dyDescent="0.25">
      <c r="F1790" s="46"/>
      <c r="G1790" s="46"/>
      <c r="H1790" s="46"/>
    </row>
    <row r="1791" spans="6:8" x14ac:dyDescent="0.25">
      <c r="F1791" s="46"/>
      <c r="G1791" s="46"/>
      <c r="H1791" s="46"/>
    </row>
    <row r="1792" spans="6:8" x14ac:dyDescent="0.25">
      <c r="F1792" s="46"/>
      <c r="G1792" s="46"/>
      <c r="H1792" s="46"/>
    </row>
    <row r="1793" spans="6:8" x14ac:dyDescent="0.25">
      <c r="F1793" s="46"/>
      <c r="G1793" s="46"/>
      <c r="H1793" s="46"/>
    </row>
    <row r="1794" spans="6:8" x14ac:dyDescent="0.25">
      <c r="F1794" s="46"/>
      <c r="G1794" s="46"/>
      <c r="H1794" s="46"/>
    </row>
    <row r="1795" spans="6:8" x14ac:dyDescent="0.25">
      <c r="F1795" s="46"/>
      <c r="G1795" s="46"/>
      <c r="H1795" s="46"/>
    </row>
    <row r="1796" spans="6:8" x14ac:dyDescent="0.25">
      <c r="F1796" s="46"/>
      <c r="G1796" s="46"/>
      <c r="H1796" s="46"/>
    </row>
    <row r="1797" spans="6:8" x14ac:dyDescent="0.25">
      <c r="F1797" s="46"/>
      <c r="G1797" s="46"/>
      <c r="H1797" s="46"/>
    </row>
    <row r="1798" spans="6:8" x14ac:dyDescent="0.25">
      <c r="F1798" s="46"/>
      <c r="G1798" s="46"/>
      <c r="H1798" s="46"/>
    </row>
    <row r="1799" spans="6:8" x14ac:dyDescent="0.25">
      <c r="F1799" s="46"/>
      <c r="G1799" s="46"/>
      <c r="H1799" s="46"/>
    </row>
    <row r="1800" spans="6:8" x14ac:dyDescent="0.25">
      <c r="F1800" s="46"/>
      <c r="G1800" s="46"/>
      <c r="H1800" s="46"/>
    </row>
    <row r="1801" spans="6:8" x14ac:dyDescent="0.25">
      <c r="F1801" s="46"/>
      <c r="G1801" s="46"/>
      <c r="H1801" s="46"/>
    </row>
    <row r="1802" spans="6:8" x14ac:dyDescent="0.25">
      <c r="F1802" s="46"/>
      <c r="G1802" s="46"/>
      <c r="H1802" s="46"/>
    </row>
    <row r="1803" spans="6:8" x14ac:dyDescent="0.25">
      <c r="F1803" s="46"/>
      <c r="G1803" s="46"/>
      <c r="H1803" s="46"/>
    </row>
    <row r="1804" spans="6:8" x14ac:dyDescent="0.25">
      <c r="F1804" s="46"/>
      <c r="G1804" s="46"/>
      <c r="H1804" s="46"/>
    </row>
    <row r="1805" spans="6:8" x14ac:dyDescent="0.25">
      <c r="F1805" s="46"/>
      <c r="G1805" s="46"/>
      <c r="H1805" s="46"/>
    </row>
    <row r="1806" spans="6:8" x14ac:dyDescent="0.25">
      <c r="F1806" s="46"/>
      <c r="G1806" s="46"/>
      <c r="H1806" s="46"/>
    </row>
    <row r="1807" spans="6:8" x14ac:dyDescent="0.25">
      <c r="F1807" s="46"/>
      <c r="G1807" s="46"/>
      <c r="H1807" s="46"/>
    </row>
    <row r="1808" spans="6:8" x14ac:dyDescent="0.25">
      <c r="F1808" s="46"/>
      <c r="G1808" s="46"/>
      <c r="H1808" s="46"/>
    </row>
    <row r="1809" spans="6:8" x14ac:dyDescent="0.25">
      <c r="F1809" s="46"/>
      <c r="G1809" s="46"/>
      <c r="H1809" s="46"/>
    </row>
    <row r="1810" spans="6:8" x14ac:dyDescent="0.25">
      <c r="F1810" s="46"/>
      <c r="G1810" s="46"/>
      <c r="H1810" s="46"/>
    </row>
    <row r="1811" spans="6:8" x14ac:dyDescent="0.25">
      <c r="F1811" s="46"/>
      <c r="G1811" s="46"/>
      <c r="H1811" s="46"/>
    </row>
    <row r="1812" spans="6:8" x14ac:dyDescent="0.25">
      <c r="F1812" s="46"/>
      <c r="G1812" s="46"/>
      <c r="H1812" s="46"/>
    </row>
    <row r="1813" spans="6:8" x14ac:dyDescent="0.25">
      <c r="F1813" s="46"/>
      <c r="G1813" s="46"/>
      <c r="H1813" s="46"/>
    </row>
    <row r="1814" spans="6:8" x14ac:dyDescent="0.25">
      <c r="F1814" s="46"/>
      <c r="G1814" s="46"/>
      <c r="H1814" s="46"/>
    </row>
    <row r="1815" spans="6:8" x14ac:dyDescent="0.25">
      <c r="F1815" s="46"/>
      <c r="G1815" s="46"/>
      <c r="H1815" s="46"/>
    </row>
    <row r="1816" spans="6:8" x14ac:dyDescent="0.25">
      <c r="F1816" s="46"/>
      <c r="G1816" s="46"/>
      <c r="H1816" s="46"/>
    </row>
    <row r="1817" spans="6:8" x14ac:dyDescent="0.25">
      <c r="F1817" s="46"/>
      <c r="G1817" s="46"/>
      <c r="H1817" s="46"/>
    </row>
    <row r="1818" spans="6:8" x14ac:dyDescent="0.25">
      <c r="F1818" s="46"/>
      <c r="G1818" s="46"/>
      <c r="H1818" s="46"/>
    </row>
    <row r="1819" spans="6:8" x14ac:dyDescent="0.25">
      <c r="F1819" s="46"/>
      <c r="G1819" s="46"/>
      <c r="H1819" s="46"/>
    </row>
    <row r="1820" spans="6:8" x14ac:dyDescent="0.25">
      <c r="F1820" s="46"/>
      <c r="G1820" s="46"/>
      <c r="H1820" s="46"/>
    </row>
    <row r="1821" spans="6:8" x14ac:dyDescent="0.25">
      <c r="F1821" s="46"/>
      <c r="G1821" s="46"/>
      <c r="H1821" s="46"/>
    </row>
    <row r="1822" spans="6:8" x14ac:dyDescent="0.25">
      <c r="F1822" s="46"/>
      <c r="G1822" s="46"/>
      <c r="H1822" s="46"/>
    </row>
    <row r="1823" spans="6:8" x14ac:dyDescent="0.25">
      <c r="F1823" s="46"/>
      <c r="G1823" s="46"/>
      <c r="H1823" s="46"/>
    </row>
    <row r="1824" spans="6:8" x14ac:dyDescent="0.25">
      <c r="F1824" s="46"/>
      <c r="G1824" s="46"/>
      <c r="H1824" s="46"/>
    </row>
    <row r="1825" spans="6:8" x14ac:dyDescent="0.25">
      <c r="F1825" s="46"/>
      <c r="G1825" s="46"/>
      <c r="H1825" s="46"/>
    </row>
    <row r="1826" spans="6:8" x14ac:dyDescent="0.25">
      <c r="F1826" s="46"/>
      <c r="G1826" s="46"/>
      <c r="H1826" s="46"/>
    </row>
    <row r="1827" spans="6:8" x14ac:dyDescent="0.25">
      <c r="F1827" s="46"/>
      <c r="G1827" s="46"/>
      <c r="H1827" s="46"/>
    </row>
    <row r="1828" spans="6:8" x14ac:dyDescent="0.25">
      <c r="F1828" s="46"/>
      <c r="G1828" s="46"/>
      <c r="H1828" s="46"/>
    </row>
    <row r="1829" spans="6:8" x14ac:dyDescent="0.25">
      <c r="F1829" s="46"/>
      <c r="G1829" s="46"/>
      <c r="H1829" s="46"/>
    </row>
    <row r="1830" spans="6:8" x14ac:dyDescent="0.25">
      <c r="F1830" s="46"/>
      <c r="G1830" s="46"/>
      <c r="H1830" s="46"/>
    </row>
    <row r="1831" spans="6:8" x14ac:dyDescent="0.25">
      <c r="F1831" s="46"/>
      <c r="G1831" s="46"/>
      <c r="H1831" s="46"/>
    </row>
    <row r="1832" spans="6:8" x14ac:dyDescent="0.25">
      <c r="F1832" s="46"/>
      <c r="G1832" s="46"/>
      <c r="H1832" s="46"/>
    </row>
    <row r="1833" spans="6:8" x14ac:dyDescent="0.25">
      <c r="F1833" s="46"/>
      <c r="G1833" s="46"/>
      <c r="H1833" s="46"/>
    </row>
    <row r="1834" spans="6:8" x14ac:dyDescent="0.25">
      <c r="F1834" s="46"/>
      <c r="G1834" s="46"/>
      <c r="H1834" s="46"/>
    </row>
    <row r="1835" spans="6:8" x14ac:dyDescent="0.25">
      <c r="F1835" s="46"/>
      <c r="G1835" s="46"/>
      <c r="H1835" s="46"/>
    </row>
    <row r="1836" spans="6:8" x14ac:dyDescent="0.25">
      <c r="F1836" s="46"/>
      <c r="G1836" s="46"/>
      <c r="H1836" s="46"/>
    </row>
    <row r="1837" spans="6:8" x14ac:dyDescent="0.25">
      <c r="F1837" s="46"/>
      <c r="G1837" s="46"/>
      <c r="H1837" s="46"/>
    </row>
    <row r="1838" spans="6:8" x14ac:dyDescent="0.25">
      <c r="F1838" s="46"/>
      <c r="G1838" s="46"/>
      <c r="H1838" s="46"/>
    </row>
    <row r="1839" spans="6:8" x14ac:dyDescent="0.25">
      <c r="F1839" s="46"/>
      <c r="G1839" s="46"/>
      <c r="H1839" s="46"/>
    </row>
    <row r="1840" spans="6:8" x14ac:dyDescent="0.25">
      <c r="F1840" s="46"/>
      <c r="G1840" s="46"/>
      <c r="H1840" s="46"/>
    </row>
    <row r="1841" spans="6:8" x14ac:dyDescent="0.25">
      <c r="F1841" s="46"/>
      <c r="G1841" s="46"/>
      <c r="H1841" s="46"/>
    </row>
    <row r="1842" spans="6:8" x14ac:dyDescent="0.25">
      <c r="F1842" s="46"/>
      <c r="G1842" s="46"/>
      <c r="H1842" s="46"/>
    </row>
    <row r="1843" spans="6:8" x14ac:dyDescent="0.25">
      <c r="F1843" s="46"/>
      <c r="G1843" s="46"/>
      <c r="H1843" s="46"/>
    </row>
    <row r="1844" spans="6:8" x14ac:dyDescent="0.25">
      <c r="F1844" s="46"/>
      <c r="G1844" s="46"/>
      <c r="H1844" s="46"/>
    </row>
    <row r="1845" spans="6:8" x14ac:dyDescent="0.25">
      <c r="F1845" s="46"/>
      <c r="G1845" s="46"/>
      <c r="H1845" s="46"/>
    </row>
    <row r="1846" spans="6:8" x14ac:dyDescent="0.25">
      <c r="F1846" s="46"/>
      <c r="G1846" s="46"/>
      <c r="H1846" s="46"/>
    </row>
    <row r="1847" spans="6:8" x14ac:dyDescent="0.25">
      <c r="F1847" s="46"/>
      <c r="G1847" s="46"/>
      <c r="H1847" s="46"/>
    </row>
    <row r="1848" spans="6:8" x14ac:dyDescent="0.25">
      <c r="F1848" s="46"/>
      <c r="G1848" s="46"/>
      <c r="H1848" s="46"/>
    </row>
    <row r="1849" spans="6:8" x14ac:dyDescent="0.25">
      <c r="F1849" s="46"/>
      <c r="G1849" s="46"/>
      <c r="H1849" s="46"/>
    </row>
    <row r="1850" spans="6:8" x14ac:dyDescent="0.25">
      <c r="F1850" s="46"/>
      <c r="G1850" s="46"/>
      <c r="H1850" s="46"/>
    </row>
    <row r="1851" spans="6:8" x14ac:dyDescent="0.25">
      <c r="F1851" s="46"/>
      <c r="G1851" s="46"/>
      <c r="H1851" s="46"/>
    </row>
    <row r="1852" spans="6:8" x14ac:dyDescent="0.25">
      <c r="F1852" s="46"/>
      <c r="G1852" s="46"/>
      <c r="H1852" s="46"/>
    </row>
    <row r="1853" spans="6:8" x14ac:dyDescent="0.25">
      <c r="F1853" s="46"/>
      <c r="G1853" s="46"/>
      <c r="H1853" s="46"/>
    </row>
    <row r="1854" spans="6:8" x14ac:dyDescent="0.25">
      <c r="F1854" s="46"/>
      <c r="G1854" s="46"/>
      <c r="H1854" s="46"/>
    </row>
    <row r="1855" spans="6:8" x14ac:dyDescent="0.25">
      <c r="F1855" s="46"/>
      <c r="G1855" s="46"/>
      <c r="H1855" s="46"/>
    </row>
    <row r="1856" spans="6:8" x14ac:dyDescent="0.25">
      <c r="F1856" s="46"/>
      <c r="G1856" s="46"/>
      <c r="H1856" s="46"/>
    </row>
    <row r="1857" spans="6:8" x14ac:dyDescent="0.25">
      <c r="F1857" s="46"/>
      <c r="G1857" s="46"/>
      <c r="H1857" s="46"/>
    </row>
    <row r="1858" spans="6:8" x14ac:dyDescent="0.25">
      <c r="F1858" s="46"/>
      <c r="G1858" s="46"/>
      <c r="H1858" s="46"/>
    </row>
    <row r="1859" spans="6:8" x14ac:dyDescent="0.25">
      <c r="F1859" s="46"/>
      <c r="G1859" s="46"/>
      <c r="H1859" s="46"/>
    </row>
    <row r="1860" spans="6:8" x14ac:dyDescent="0.25">
      <c r="F1860" s="46"/>
      <c r="G1860" s="46"/>
      <c r="H1860" s="46"/>
    </row>
    <row r="1861" spans="6:8" x14ac:dyDescent="0.25">
      <c r="F1861" s="46"/>
      <c r="G1861" s="46"/>
      <c r="H1861" s="46"/>
    </row>
    <row r="1862" spans="6:8" x14ac:dyDescent="0.25">
      <c r="F1862" s="46"/>
      <c r="G1862" s="46"/>
      <c r="H1862" s="46"/>
    </row>
    <row r="1863" spans="6:8" x14ac:dyDescent="0.25">
      <c r="F1863" s="46"/>
      <c r="G1863" s="46"/>
      <c r="H1863" s="46"/>
    </row>
    <row r="1864" spans="6:8" x14ac:dyDescent="0.25">
      <c r="F1864" s="46"/>
      <c r="G1864" s="46"/>
      <c r="H1864" s="46"/>
    </row>
    <row r="1865" spans="6:8" x14ac:dyDescent="0.25">
      <c r="F1865" s="46"/>
      <c r="G1865" s="46"/>
      <c r="H1865" s="46"/>
    </row>
    <row r="1866" spans="6:8" x14ac:dyDescent="0.25">
      <c r="F1866" s="46"/>
      <c r="G1866" s="46"/>
      <c r="H1866" s="46"/>
    </row>
    <row r="1867" spans="6:8" x14ac:dyDescent="0.25">
      <c r="F1867" s="46"/>
      <c r="G1867" s="46"/>
      <c r="H1867" s="46"/>
    </row>
    <row r="1868" spans="6:8" x14ac:dyDescent="0.25">
      <c r="F1868" s="46"/>
      <c r="G1868" s="46"/>
      <c r="H1868" s="46"/>
    </row>
    <row r="1869" spans="6:8" x14ac:dyDescent="0.25">
      <c r="F1869" s="46"/>
      <c r="G1869" s="46"/>
      <c r="H1869" s="46"/>
    </row>
    <row r="1870" spans="6:8" x14ac:dyDescent="0.25">
      <c r="F1870" s="46"/>
      <c r="G1870" s="46"/>
      <c r="H1870" s="46"/>
    </row>
    <row r="1871" spans="6:8" x14ac:dyDescent="0.25">
      <c r="F1871" s="46"/>
      <c r="G1871" s="46"/>
      <c r="H1871" s="46"/>
    </row>
    <row r="1872" spans="6:8" x14ac:dyDescent="0.25">
      <c r="F1872" s="46"/>
      <c r="G1872" s="46"/>
      <c r="H1872" s="46"/>
    </row>
    <row r="1873" spans="6:8" x14ac:dyDescent="0.25">
      <c r="F1873" s="46"/>
      <c r="G1873" s="46"/>
      <c r="H1873" s="46"/>
    </row>
    <row r="1874" spans="6:8" x14ac:dyDescent="0.25">
      <c r="F1874" s="46"/>
      <c r="G1874" s="46"/>
      <c r="H1874" s="46"/>
    </row>
    <row r="1875" spans="6:8" x14ac:dyDescent="0.25">
      <c r="F1875" s="46"/>
      <c r="G1875" s="46"/>
      <c r="H1875" s="46"/>
    </row>
    <row r="1876" spans="6:8" x14ac:dyDescent="0.25">
      <c r="F1876" s="46"/>
      <c r="G1876" s="46"/>
      <c r="H1876" s="46"/>
    </row>
    <row r="1877" spans="6:8" x14ac:dyDescent="0.25">
      <c r="F1877" s="46"/>
      <c r="G1877" s="46"/>
      <c r="H1877" s="46"/>
    </row>
    <row r="1878" spans="6:8" x14ac:dyDescent="0.25">
      <c r="F1878" s="46"/>
      <c r="G1878" s="46"/>
      <c r="H1878" s="46"/>
    </row>
    <row r="1879" spans="6:8" x14ac:dyDescent="0.25">
      <c r="F1879" s="46"/>
      <c r="G1879" s="46"/>
      <c r="H1879" s="46"/>
    </row>
    <row r="1880" spans="6:8" x14ac:dyDescent="0.25">
      <c r="F1880" s="46"/>
      <c r="G1880" s="46"/>
      <c r="H1880" s="46"/>
    </row>
    <row r="1881" spans="6:8" x14ac:dyDescent="0.25">
      <c r="F1881" s="46"/>
      <c r="G1881" s="46"/>
      <c r="H1881" s="46"/>
    </row>
    <row r="1882" spans="6:8" x14ac:dyDescent="0.25">
      <c r="F1882" s="46"/>
      <c r="G1882" s="46"/>
      <c r="H1882" s="46"/>
    </row>
    <row r="1883" spans="6:8" x14ac:dyDescent="0.25">
      <c r="F1883" s="46"/>
      <c r="G1883" s="46"/>
      <c r="H1883" s="46"/>
    </row>
    <row r="1884" spans="6:8" x14ac:dyDescent="0.25">
      <c r="F1884" s="46"/>
      <c r="G1884" s="46"/>
      <c r="H1884" s="46"/>
    </row>
    <row r="1885" spans="6:8" x14ac:dyDescent="0.25">
      <c r="F1885" s="46"/>
      <c r="G1885" s="46"/>
      <c r="H1885" s="46"/>
    </row>
    <row r="1886" spans="6:8" x14ac:dyDescent="0.25">
      <c r="F1886" s="46"/>
      <c r="G1886" s="46"/>
      <c r="H1886" s="46"/>
    </row>
    <row r="1887" spans="6:8" x14ac:dyDescent="0.25">
      <c r="F1887" s="46"/>
      <c r="G1887" s="46"/>
      <c r="H1887" s="46"/>
    </row>
    <row r="1888" spans="6:8" x14ac:dyDescent="0.25">
      <c r="F1888" s="46"/>
      <c r="G1888" s="46"/>
      <c r="H1888" s="46"/>
    </row>
    <row r="1889" spans="6:8" x14ac:dyDescent="0.25">
      <c r="F1889" s="46"/>
      <c r="G1889" s="46"/>
      <c r="H1889" s="46"/>
    </row>
    <row r="1890" spans="6:8" x14ac:dyDescent="0.25">
      <c r="F1890" s="46"/>
      <c r="G1890" s="46"/>
      <c r="H1890" s="46"/>
    </row>
    <row r="1891" spans="6:8" x14ac:dyDescent="0.25">
      <c r="F1891" s="46"/>
      <c r="G1891" s="46"/>
      <c r="H1891" s="46"/>
    </row>
    <row r="1892" spans="6:8" x14ac:dyDescent="0.25">
      <c r="F1892" s="46"/>
      <c r="G1892" s="46"/>
      <c r="H1892" s="46"/>
    </row>
    <row r="1893" spans="6:8" x14ac:dyDescent="0.25">
      <c r="F1893" s="46"/>
      <c r="G1893" s="46"/>
      <c r="H1893" s="46"/>
    </row>
    <row r="1894" spans="6:8" x14ac:dyDescent="0.25">
      <c r="F1894" s="46"/>
      <c r="G1894" s="46"/>
      <c r="H1894" s="46"/>
    </row>
    <row r="1895" spans="6:8" x14ac:dyDescent="0.25">
      <c r="F1895" s="46"/>
      <c r="G1895" s="46"/>
      <c r="H1895" s="46"/>
    </row>
    <row r="1896" spans="6:8" x14ac:dyDescent="0.25">
      <c r="F1896" s="46"/>
      <c r="G1896" s="46"/>
      <c r="H1896" s="46"/>
    </row>
    <row r="1897" spans="6:8" x14ac:dyDescent="0.25">
      <c r="F1897" s="46"/>
      <c r="G1897" s="46"/>
      <c r="H1897" s="46"/>
    </row>
    <row r="1898" spans="6:8" x14ac:dyDescent="0.25">
      <c r="F1898" s="46"/>
      <c r="G1898" s="46"/>
      <c r="H1898" s="46"/>
    </row>
    <row r="1899" spans="6:8" x14ac:dyDescent="0.25">
      <c r="F1899" s="46"/>
      <c r="G1899" s="46"/>
      <c r="H1899" s="46"/>
    </row>
    <row r="1900" spans="6:8" x14ac:dyDescent="0.25">
      <c r="F1900" s="46"/>
      <c r="G1900" s="46"/>
      <c r="H1900" s="46"/>
    </row>
    <row r="1901" spans="6:8" x14ac:dyDescent="0.25">
      <c r="F1901" s="46"/>
      <c r="G1901" s="46"/>
      <c r="H1901" s="46"/>
    </row>
    <row r="1902" spans="6:8" x14ac:dyDescent="0.25">
      <c r="F1902" s="46"/>
      <c r="G1902" s="46"/>
      <c r="H1902" s="46"/>
    </row>
    <row r="1903" spans="6:8" x14ac:dyDescent="0.25">
      <c r="F1903" s="46"/>
      <c r="G1903" s="46"/>
      <c r="H1903" s="46"/>
    </row>
    <row r="1904" spans="6:8" x14ac:dyDescent="0.25">
      <c r="F1904" s="46"/>
      <c r="G1904" s="46"/>
      <c r="H1904" s="46"/>
    </row>
    <row r="1905" spans="6:8" x14ac:dyDescent="0.25">
      <c r="F1905" s="46"/>
      <c r="G1905" s="46"/>
      <c r="H1905" s="46"/>
    </row>
    <row r="1906" spans="6:8" x14ac:dyDescent="0.25">
      <c r="F1906" s="46"/>
      <c r="G1906" s="46"/>
      <c r="H1906" s="46"/>
    </row>
    <row r="1907" spans="6:8" x14ac:dyDescent="0.25">
      <c r="F1907" s="46"/>
      <c r="G1907" s="46"/>
      <c r="H1907" s="46"/>
    </row>
    <row r="1908" spans="6:8" x14ac:dyDescent="0.25">
      <c r="F1908" s="46"/>
      <c r="G1908" s="46"/>
      <c r="H1908" s="46"/>
    </row>
    <row r="1909" spans="6:8" x14ac:dyDescent="0.25">
      <c r="F1909" s="46"/>
      <c r="G1909" s="46"/>
      <c r="H1909" s="46"/>
    </row>
    <row r="1910" spans="6:8" x14ac:dyDescent="0.25">
      <c r="F1910" s="46"/>
      <c r="G1910" s="46"/>
      <c r="H1910" s="46"/>
    </row>
    <row r="1911" spans="6:8" x14ac:dyDescent="0.25">
      <c r="F1911" s="46"/>
      <c r="G1911" s="46"/>
      <c r="H1911" s="46"/>
    </row>
    <row r="1912" spans="6:8" x14ac:dyDescent="0.25">
      <c r="F1912" s="46"/>
      <c r="G1912" s="46"/>
      <c r="H1912" s="46"/>
    </row>
    <row r="1913" spans="6:8" x14ac:dyDescent="0.25">
      <c r="F1913" s="46"/>
      <c r="G1913" s="46"/>
      <c r="H1913" s="46"/>
    </row>
    <row r="1914" spans="6:8" x14ac:dyDescent="0.25">
      <c r="F1914" s="46"/>
      <c r="G1914" s="46"/>
      <c r="H1914" s="46"/>
    </row>
    <row r="1915" spans="6:8" x14ac:dyDescent="0.25">
      <c r="F1915" s="46"/>
      <c r="G1915" s="46"/>
      <c r="H1915" s="46"/>
    </row>
    <row r="1916" spans="6:8" x14ac:dyDescent="0.25">
      <c r="F1916" s="46"/>
      <c r="G1916" s="46"/>
      <c r="H1916" s="46"/>
    </row>
    <row r="1917" spans="6:8" x14ac:dyDescent="0.25">
      <c r="F1917" s="46"/>
      <c r="G1917" s="46"/>
      <c r="H1917" s="46"/>
    </row>
    <row r="1918" spans="6:8" x14ac:dyDescent="0.25">
      <c r="F1918" s="46"/>
      <c r="G1918" s="46"/>
      <c r="H1918" s="46"/>
    </row>
    <row r="1919" spans="6:8" x14ac:dyDescent="0.25">
      <c r="F1919" s="46"/>
      <c r="G1919" s="46"/>
      <c r="H1919" s="46"/>
    </row>
    <row r="1920" spans="6:8" x14ac:dyDescent="0.25">
      <c r="F1920" s="46"/>
      <c r="G1920" s="46"/>
      <c r="H1920" s="46"/>
    </row>
    <row r="1921" spans="6:8" x14ac:dyDescent="0.25">
      <c r="F1921" s="46"/>
      <c r="G1921" s="46"/>
      <c r="H1921" s="46"/>
    </row>
    <row r="1922" spans="6:8" x14ac:dyDescent="0.25">
      <c r="F1922" s="46"/>
      <c r="G1922" s="46"/>
      <c r="H1922" s="46"/>
    </row>
    <row r="1923" spans="6:8" x14ac:dyDescent="0.25">
      <c r="F1923" s="46"/>
      <c r="G1923" s="46"/>
      <c r="H1923" s="46"/>
    </row>
    <row r="1924" spans="6:8" x14ac:dyDescent="0.25">
      <c r="F1924" s="46"/>
      <c r="G1924" s="46"/>
      <c r="H1924" s="46"/>
    </row>
    <row r="1925" spans="6:8" x14ac:dyDescent="0.25">
      <c r="F1925" s="46"/>
      <c r="G1925" s="46"/>
      <c r="H1925" s="46"/>
    </row>
    <row r="1926" spans="6:8" x14ac:dyDescent="0.25">
      <c r="F1926" s="46"/>
      <c r="G1926" s="46"/>
      <c r="H1926" s="46"/>
    </row>
    <row r="1927" spans="6:8" x14ac:dyDescent="0.25">
      <c r="F1927" s="46"/>
      <c r="G1927" s="46"/>
      <c r="H1927" s="46"/>
    </row>
    <row r="1928" spans="6:8" x14ac:dyDescent="0.25">
      <c r="F1928" s="46"/>
      <c r="G1928" s="46"/>
      <c r="H1928" s="46"/>
    </row>
    <row r="1929" spans="6:8" x14ac:dyDescent="0.25">
      <c r="F1929" s="46"/>
      <c r="G1929" s="46"/>
      <c r="H1929" s="46"/>
    </row>
    <row r="1930" spans="6:8" x14ac:dyDescent="0.25">
      <c r="F1930" s="46"/>
      <c r="G1930" s="46"/>
      <c r="H1930" s="46"/>
    </row>
    <row r="1931" spans="6:8" x14ac:dyDescent="0.25">
      <c r="F1931" s="46"/>
      <c r="G1931" s="46"/>
      <c r="H1931" s="46"/>
    </row>
    <row r="1932" spans="6:8" x14ac:dyDescent="0.25">
      <c r="F1932" s="46"/>
      <c r="G1932" s="46"/>
      <c r="H1932" s="46"/>
    </row>
    <row r="1933" spans="6:8" x14ac:dyDescent="0.25">
      <c r="F1933" s="46"/>
      <c r="G1933" s="46"/>
      <c r="H1933" s="46"/>
    </row>
    <row r="1934" spans="6:8" x14ac:dyDescent="0.25">
      <c r="F1934" s="46"/>
      <c r="G1934" s="46"/>
      <c r="H1934" s="46"/>
    </row>
    <row r="1935" spans="6:8" x14ac:dyDescent="0.25">
      <c r="F1935" s="46"/>
      <c r="G1935" s="46"/>
      <c r="H1935" s="46"/>
    </row>
    <row r="1936" spans="6:8" x14ac:dyDescent="0.25">
      <c r="F1936" s="46"/>
      <c r="G1936" s="46"/>
      <c r="H1936" s="46"/>
    </row>
    <row r="1937" spans="6:8" x14ac:dyDescent="0.25">
      <c r="F1937" s="46"/>
      <c r="G1937" s="46"/>
      <c r="H1937" s="46"/>
    </row>
    <row r="1938" spans="6:8" x14ac:dyDescent="0.25">
      <c r="F1938" s="46"/>
      <c r="G1938" s="46"/>
      <c r="H1938" s="46"/>
    </row>
    <row r="1939" spans="6:8" x14ac:dyDescent="0.25">
      <c r="F1939" s="46"/>
      <c r="G1939" s="46"/>
      <c r="H1939" s="46"/>
    </row>
    <row r="1940" spans="6:8" x14ac:dyDescent="0.25">
      <c r="F1940" s="46"/>
      <c r="G1940" s="46"/>
      <c r="H1940" s="46"/>
    </row>
    <row r="1941" spans="6:8" x14ac:dyDescent="0.25">
      <c r="F1941" s="46"/>
      <c r="G1941" s="46"/>
      <c r="H1941" s="46"/>
    </row>
    <row r="1942" spans="6:8" x14ac:dyDescent="0.25">
      <c r="F1942" s="46"/>
      <c r="G1942" s="46"/>
      <c r="H1942" s="46"/>
    </row>
    <row r="1943" spans="6:8" x14ac:dyDescent="0.25">
      <c r="F1943" s="46"/>
      <c r="G1943" s="46"/>
      <c r="H1943" s="46"/>
    </row>
    <row r="1944" spans="6:8" x14ac:dyDescent="0.25">
      <c r="F1944" s="46"/>
      <c r="G1944" s="46"/>
      <c r="H1944" s="46"/>
    </row>
    <row r="1945" spans="6:8" x14ac:dyDescent="0.25">
      <c r="F1945" s="46"/>
      <c r="G1945" s="46"/>
      <c r="H1945" s="46"/>
    </row>
    <row r="1946" spans="6:8" x14ac:dyDescent="0.25">
      <c r="F1946" s="46"/>
      <c r="G1946" s="46"/>
      <c r="H1946" s="46"/>
    </row>
    <row r="1947" spans="6:8" x14ac:dyDescent="0.25">
      <c r="F1947" s="46"/>
      <c r="G1947" s="46"/>
      <c r="H1947" s="46"/>
    </row>
    <row r="1948" spans="6:8" x14ac:dyDescent="0.25">
      <c r="F1948" s="46"/>
      <c r="G1948" s="46"/>
      <c r="H1948" s="46"/>
    </row>
    <row r="1949" spans="6:8" x14ac:dyDescent="0.25">
      <c r="F1949" s="46"/>
      <c r="G1949" s="46"/>
      <c r="H1949" s="46"/>
    </row>
    <row r="1950" spans="6:8" x14ac:dyDescent="0.25">
      <c r="F1950" s="46"/>
      <c r="G1950" s="46"/>
      <c r="H1950" s="46"/>
    </row>
    <row r="1951" spans="6:8" x14ac:dyDescent="0.25">
      <c r="F1951" s="46"/>
      <c r="G1951" s="46"/>
      <c r="H1951" s="46"/>
    </row>
    <row r="1952" spans="6:8" x14ac:dyDescent="0.25">
      <c r="F1952" s="46"/>
      <c r="G1952" s="46"/>
      <c r="H1952" s="46"/>
    </row>
    <row r="1953" spans="6:8" x14ac:dyDescent="0.25">
      <c r="F1953" s="46"/>
      <c r="G1953" s="46"/>
      <c r="H1953" s="46"/>
    </row>
    <row r="1954" spans="6:8" x14ac:dyDescent="0.25">
      <c r="F1954" s="46"/>
      <c r="G1954" s="46"/>
      <c r="H1954" s="46"/>
    </row>
    <row r="1955" spans="6:8" x14ac:dyDescent="0.25">
      <c r="F1955" s="46"/>
      <c r="G1955" s="46"/>
      <c r="H1955" s="46"/>
    </row>
    <row r="1956" spans="6:8" x14ac:dyDescent="0.25">
      <c r="F1956" s="46"/>
      <c r="G1956" s="46"/>
      <c r="H1956" s="46"/>
    </row>
    <row r="1957" spans="6:8" x14ac:dyDescent="0.25">
      <c r="F1957" s="46"/>
      <c r="G1957" s="46"/>
      <c r="H1957" s="46"/>
    </row>
    <row r="1958" spans="6:8" x14ac:dyDescent="0.25">
      <c r="F1958" s="46"/>
      <c r="G1958" s="46"/>
      <c r="H1958" s="46"/>
    </row>
    <row r="1959" spans="6:8" x14ac:dyDescent="0.25">
      <c r="F1959" s="46"/>
      <c r="G1959" s="46"/>
      <c r="H1959" s="46"/>
    </row>
    <row r="1960" spans="6:8" x14ac:dyDescent="0.25">
      <c r="F1960" s="46"/>
      <c r="G1960" s="46"/>
      <c r="H1960" s="46"/>
    </row>
    <row r="1961" spans="6:8" x14ac:dyDescent="0.25">
      <c r="F1961" s="46"/>
      <c r="G1961" s="46"/>
      <c r="H1961" s="46"/>
    </row>
    <row r="1962" spans="6:8" x14ac:dyDescent="0.25">
      <c r="F1962" s="46"/>
      <c r="G1962" s="46"/>
      <c r="H1962" s="46"/>
    </row>
    <row r="1963" spans="6:8" x14ac:dyDescent="0.25">
      <c r="F1963" s="46"/>
      <c r="G1963" s="46"/>
      <c r="H1963" s="46"/>
    </row>
    <row r="1964" spans="6:8" x14ac:dyDescent="0.25">
      <c r="F1964" s="46"/>
      <c r="G1964" s="46"/>
      <c r="H1964" s="46"/>
    </row>
    <row r="1965" spans="6:8" x14ac:dyDescent="0.25">
      <c r="F1965" s="46"/>
      <c r="G1965" s="46"/>
      <c r="H1965" s="46"/>
    </row>
    <row r="1966" spans="6:8" x14ac:dyDescent="0.25">
      <c r="F1966" s="46"/>
      <c r="G1966" s="46"/>
      <c r="H1966" s="46"/>
    </row>
    <row r="1967" spans="6:8" x14ac:dyDescent="0.25">
      <c r="F1967" s="46"/>
      <c r="G1967" s="46"/>
      <c r="H1967" s="46"/>
    </row>
    <row r="1968" spans="6:8" x14ac:dyDescent="0.25">
      <c r="F1968" s="46"/>
      <c r="G1968" s="46"/>
      <c r="H1968" s="46"/>
    </row>
    <row r="1969" spans="6:8" x14ac:dyDescent="0.25">
      <c r="F1969" s="46"/>
      <c r="G1969" s="46"/>
      <c r="H1969" s="46"/>
    </row>
    <row r="1970" spans="6:8" x14ac:dyDescent="0.25">
      <c r="F1970" s="46"/>
      <c r="G1970" s="46"/>
      <c r="H1970" s="46"/>
    </row>
    <row r="1971" spans="6:8" x14ac:dyDescent="0.25">
      <c r="F1971" s="46"/>
      <c r="G1971" s="46"/>
      <c r="H1971" s="46"/>
    </row>
    <row r="1972" spans="6:8" x14ac:dyDescent="0.25">
      <c r="F1972" s="46"/>
      <c r="G1972" s="46"/>
      <c r="H1972" s="46"/>
    </row>
    <row r="1973" spans="6:8" x14ac:dyDescent="0.25">
      <c r="F1973" s="46"/>
      <c r="G1973" s="46"/>
      <c r="H1973" s="46"/>
    </row>
    <row r="1974" spans="6:8" x14ac:dyDescent="0.25">
      <c r="F1974" s="46"/>
      <c r="G1974" s="46"/>
      <c r="H1974" s="46"/>
    </row>
    <row r="1975" spans="6:8" x14ac:dyDescent="0.25">
      <c r="F1975" s="46"/>
      <c r="G1975" s="46"/>
      <c r="H1975" s="46"/>
    </row>
    <row r="1976" spans="6:8" x14ac:dyDescent="0.25">
      <c r="F1976" s="46"/>
      <c r="G1976" s="46"/>
      <c r="H1976" s="46"/>
    </row>
    <row r="1977" spans="6:8" x14ac:dyDescent="0.25">
      <c r="F1977" s="46"/>
      <c r="G1977" s="46"/>
      <c r="H1977" s="46"/>
    </row>
    <row r="1978" spans="6:8" x14ac:dyDescent="0.25">
      <c r="F1978" s="46"/>
      <c r="G1978" s="46"/>
      <c r="H1978" s="46"/>
    </row>
    <row r="1979" spans="6:8" x14ac:dyDescent="0.25">
      <c r="F1979" s="46"/>
      <c r="G1979" s="46"/>
      <c r="H1979" s="46"/>
    </row>
    <row r="1980" spans="6:8" x14ac:dyDescent="0.25">
      <c r="F1980" s="46"/>
      <c r="G1980" s="46"/>
      <c r="H1980" s="46"/>
    </row>
    <row r="1981" spans="6:8" x14ac:dyDescent="0.25">
      <c r="F1981" s="46"/>
      <c r="G1981" s="46"/>
      <c r="H1981" s="46"/>
    </row>
    <row r="1982" spans="6:8" x14ac:dyDescent="0.25">
      <c r="F1982" s="46"/>
      <c r="G1982" s="46"/>
      <c r="H1982" s="46"/>
    </row>
    <row r="1983" spans="6:8" x14ac:dyDescent="0.25">
      <c r="F1983" s="46"/>
      <c r="G1983" s="46"/>
      <c r="H1983" s="46"/>
    </row>
    <row r="1984" spans="6:8" x14ac:dyDescent="0.25">
      <c r="F1984" s="46"/>
      <c r="G1984" s="46"/>
      <c r="H1984" s="46"/>
    </row>
    <row r="1985" spans="6:8" x14ac:dyDescent="0.25">
      <c r="F1985" s="46"/>
      <c r="G1985" s="46"/>
      <c r="H1985" s="46"/>
    </row>
    <row r="1986" spans="6:8" x14ac:dyDescent="0.25">
      <c r="F1986" s="46"/>
      <c r="G1986" s="46"/>
      <c r="H1986" s="46"/>
    </row>
    <row r="1987" spans="6:8" x14ac:dyDescent="0.25">
      <c r="F1987" s="46"/>
      <c r="G1987" s="46"/>
      <c r="H1987" s="46"/>
    </row>
    <row r="1988" spans="6:8" x14ac:dyDescent="0.25">
      <c r="F1988" s="46"/>
      <c r="G1988" s="46"/>
      <c r="H1988" s="46"/>
    </row>
    <row r="1989" spans="6:8" x14ac:dyDescent="0.25">
      <c r="F1989" s="46"/>
      <c r="G1989" s="46"/>
      <c r="H1989" s="46"/>
    </row>
    <row r="1990" spans="6:8" x14ac:dyDescent="0.25">
      <c r="F1990" s="46"/>
      <c r="G1990" s="46"/>
      <c r="H1990" s="46"/>
    </row>
    <row r="1991" spans="6:8" x14ac:dyDescent="0.25">
      <c r="F1991" s="46"/>
      <c r="G1991" s="46"/>
      <c r="H1991" s="46"/>
    </row>
    <row r="1992" spans="6:8" x14ac:dyDescent="0.25">
      <c r="F1992" s="46"/>
      <c r="G1992" s="46"/>
      <c r="H1992" s="46"/>
    </row>
    <row r="1993" spans="6:8" x14ac:dyDescent="0.25">
      <c r="F1993" s="46"/>
      <c r="G1993" s="46"/>
      <c r="H1993" s="46"/>
    </row>
    <row r="1994" spans="6:8" x14ac:dyDescent="0.25">
      <c r="F1994" s="46"/>
      <c r="G1994" s="46"/>
      <c r="H1994" s="46"/>
    </row>
    <row r="1995" spans="6:8" x14ac:dyDescent="0.25">
      <c r="F1995" s="46"/>
      <c r="G1995" s="46"/>
      <c r="H1995" s="46"/>
    </row>
    <row r="1996" spans="6:8" x14ac:dyDescent="0.25">
      <c r="F1996" s="46"/>
      <c r="G1996" s="46"/>
      <c r="H1996" s="46"/>
    </row>
    <row r="1997" spans="6:8" x14ac:dyDescent="0.25">
      <c r="F1997" s="46"/>
      <c r="G1997" s="46"/>
      <c r="H1997" s="46"/>
    </row>
    <row r="1998" spans="6:8" x14ac:dyDescent="0.25">
      <c r="F1998" s="46"/>
      <c r="G1998" s="46"/>
      <c r="H1998" s="46"/>
    </row>
    <row r="1999" spans="6:8" x14ac:dyDescent="0.25">
      <c r="F1999" s="46"/>
      <c r="G1999" s="46"/>
      <c r="H1999" s="46"/>
    </row>
    <row r="2000" spans="6:8" x14ac:dyDescent="0.25">
      <c r="F2000" s="46"/>
      <c r="G2000" s="46"/>
      <c r="H2000" s="46"/>
    </row>
    <row r="2001" spans="6:8" x14ac:dyDescent="0.25">
      <c r="F2001" s="46"/>
      <c r="G2001" s="46"/>
      <c r="H2001" s="46"/>
    </row>
    <row r="2002" spans="6:8" x14ac:dyDescent="0.25">
      <c r="F2002" s="46"/>
      <c r="G2002" s="46"/>
      <c r="H2002" s="46"/>
    </row>
    <row r="2003" spans="6:8" x14ac:dyDescent="0.25">
      <c r="F2003" s="46"/>
      <c r="G2003" s="46"/>
      <c r="H2003" s="46"/>
    </row>
    <row r="2004" spans="6:8" x14ac:dyDescent="0.25">
      <c r="F2004" s="46"/>
      <c r="G2004" s="46"/>
      <c r="H2004" s="46"/>
    </row>
    <row r="2005" spans="6:8" x14ac:dyDescent="0.25">
      <c r="F2005" s="46"/>
      <c r="G2005" s="46"/>
      <c r="H2005" s="46"/>
    </row>
    <row r="2006" spans="6:8" x14ac:dyDescent="0.25">
      <c r="F2006" s="46"/>
      <c r="G2006" s="46"/>
      <c r="H2006" s="46"/>
    </row>
    <row r="2007" spans="6:8" x14ac:dyDescent="0.25">
      <c r="F2007" s="46"/>
      <c r="G2007" s="46"/>
      <c r="H2007" s="46"/>
    </row>
    <row r="2008" spans="6:8" x14ac:dyDescent="0.25">
      <c r="F2008" s="46"/>
      <c r="G2008" s="46"/>
      <c r="H2008" s="46"/>
    </row>
    <row r="2009" spans="6:8" x14ac:dyDescent="0.25">
      <c r="F2009" s="46"/>
      <c r="G2009" s="46"/>
      <c r="H2009" s="46"/>
    </row>
    <row r="2010" spans="6:8" x14ac:dyDescent="0.25">
      <c r="F2010" s="46"/>
      <c r="G2010" s="46"/>
      <c r="H2010" s="46"/>
    </row>
    <row r="2011" spans="6:8" x14ac:dyDescent="0.25">
      <c r="F2011" s="46"/>
      <c r="G2011" s="46"/>
      <c r="H2011" s="46"/>
    </row>
    <row r="2012" spans="6:8" x14ac:dyDescent="0.25">
      <c r="F2012" s="46"/>
      <c r="G2012" s="46"/>
      <c r="H2012" s="46"/>
    </row>
    <row r="2013" spans="6:8" x14ac:dyDescent="0.25">
      <c r="F2013" s="46"/>
      <c r="G2013" s="46"/>
      <c r="H2013" s="46"/>
    </row>
    <row r="2014" spans="6:8" x14ac:dyDescent="0.25">
      <c r="F2014" s="46"/>
      <c r="G2014" s="46"/>
      <c r="H2014" s="46"/>
    </row>
    <row r="2015" spans="6:8" x14ac:dyDescent="0.25">
      <c r="F2015" s="46"/>
      <c r="G2015" s="46"/>
      <c r="H2015" s="46"/>
    </row>
    <row r="2016" spans="6:8" x14ac:dyDescent="0.25">
      <c r="F2016" s="46"/>
      <c r="G2016" s="46"/>
      <c r="H2016" s="46"/>
    </row>
    <row r="2017" spans="6:8" x14ac:dyDescent="0.25">
      <c r="F2017" s="46"/>
      <c r="G2017" s="46"/>
      <c r="H2017" s="46"/>
    </row>
    <row r="2018" spans="6:8" x14ac:dyDescent="0.25">
      <c r="F2018" s="46"/>
      <c r="G2018" s="46"/>
      <c r="H2018" s="46"/>
    </row>
    <row r="2019" spans="6:8" x14ac:dyDescent="0.25">
      <c r="F2019" s="46"/>
      <c r="G2019" s="46"/>
      <c r="H2019" s="46"/>
    </row>
    <row r="2020" spans="6:8" x14ac:dyDescent="0.25">
      <c r="F2020" s="46"/>
      <c r="G2020" s="46"/>
      <c r="H2020" s="46"/>
    </row>
    <row r="2021" spans="6:8" x14ac:dyDescent="0.25">
      <c r="F2021" s="46"/>
      <c r="G2021" s="46"/>
      <c r="H2021" s="46"/>
    </row>
    <row r="2022" spans="6:8" x14ac:dyDescent="0.25">
      <c r="F2022" s="46"/>
      <c r="G2022" s="46"/>
      <c r="H2022" s="46"/>
    </row>
    <row r="2023" spans="6:8" x14ac:dyDescent="0.25">
      <c r="F2023" s="46"/>
      <c r="G2023" s="46"/>
      <c r="H2023" s="46"/>
    </row>
    <row r="2024" spans="6:8" x14ac:dyDescent="0.25">
      <c r="F2024" s="46"/>
      <c r="G2024" s="46"/>
      <c r="H2024" s="46"/>
    </row>
    <row r="2025" spans="6:8" x14ac:dyDescent="0.25">
      <c r="F2025" s="46"/>
      <c r="G2025" s="46"/>
      <c r="H2025" s="46"/>
    </row>
    <row r="2026" spans="6:8" x14ac:dyDescent="0.25">
      <c r="F2026" s="46"/>
      <c r="G2026" s="46"/>
      <c r="H2026" s="46"/>
    </row>
    <row r="2027" spans="6:8" x14ac:dyDescent="0.25">
      <c r="F2027" s="46"/>
      <c r="G2027" s="46"/>
      <c r="H2027" s="46"/>
    </row>
    <row r="2028" spans="6:8" x14ac:dyDescent="0.25">
      <c r="F2028" s="46"/>
      <c r="G2028" s="46"/>
      <c r="H2028" s="46"/>
    </row>
    <row r="2029" spans="6:8" x14ac:dyDescent="0.25">
      <c r="F2029" s="46"/>
      <c r="G2029" s="46"/>
      <c r="H2029" s="46"/>
    </row>
    <row r="2030" spans="6:8" x14ac:dyDescent="0.25">
      <c r="F2030" s="46"/>
      <c r="G2030" s="46"/>
      <c r="H2030" s="46"/>
    </row>
    <row r="2031" spans="6:8" x14ac:dyDescent="0.25">
      <c r="F2031" s="46"/>
      <c r="G2031" s="46"/>
      <c r="H2031" s="46"/>
    </row>
    <row r="2032" spans="6:8" x14ac:dyDescent="0.25">
      <c r="F2032" s="46"/>
      <c r="G2032" s="46"/>
      <c r="H2032" s="46"/>
    </row>
    <row r="2033" spans="6:8" x14ac:dyDescent="0.25">
      <c r="F2033" s="46"/>
      <c r="G2033" s="46"/>
      <c r="H2033" s="46"/>
    </row>
    <row r="2034" spans="6:8" x14ac:dyDescent="0.25">
      <c r="F2034" s="46"/>
      <c r="G2034" s="46"/>
      <c r="H2034" s="46"/>
    </row>
    <row r="2035" spans="6:8" x14ac:dyDescent="0.25">
      <c r="F2035" s="46"/>
      <c r="G2035" s="46"/>
      <c r="H2035" s="46"/>
    </row>
    <row r="2036" spans="6:8" x14ac:dyDescent="0.25">
      <c r="F2036" s="46"/>
      <c r="G2036" s="46"/>
      <c r="H2036" s="46"/>
    </row>
    <row r="2037" spans="6:8" x14ac:dyDescent="0.25">
      <c r="F2037" s="46"/>
      <c r="G2037" s="46"/>
      <c r="H2037" s="46"/>
    </row>
    <row r="2038" spans="6:8" x14ac:dyDescent="0.25">
      <c r="F2038" s="46"/>
      <c r="G2038" s="46"/>
      <c r="H2038" s="46"/>
    </row>
    <row r="2039" spans="6:8" x14ac:dyDescent="0.25">
      <c r="F2039" s="46"/>
      <c r="G2039" s="46"/>
      <c r="H2039" s="46"/>
    </row>
    <row r="2040" spans="6:8" x14ac:dyDescent="0.25">
      <c r="F2040" s="46"/>
      <c r="G2040" s="46"/>
      <c r="H2040" s="46"/>
    </row>
    <row r="2041" spans="6:8" x14ac:dyDescent="0.25">
      <c r="F2041" s="46"/>
      <c r="G2041" s="46"/>
      <c r="H2041" s="46"/>
    </row>
    <row r="2042" spans="6:8" x14ac:dyDescent="0.25">
      <c r="F2042" s="46"/>
      <c r="G2042" s="46"/>
      <c r="H2042" s="46"/>
    </row>
    <row r="2043" spans="6:8" x14ac:dyDescent="0.25">
      <c r="F2043" s="46"/>
      <c r="G2043" s="46"/>
      <c r="H2043" s="46"/>
    </row>
    <row r="2044" spans="6:8" x14ac:dyDescent="0.25">
      <c r="F2044" s="46"/>
      <c r="G2044" s="46"/>
      <c r="H2044" s="46"/>
    </row>
    <row r="2045" spans="6:8" x14ac:dyDescent="0.25">
      <c r="F2045" s="46"/>
      <c r="G2045" s="46"/>
      <c r="H2045" s="46"/>
    </row>
    <row r="2046" spans="6:8" x14ac:dyDescent="0.25">
      <c r="F2046" s="46"/>
      <c r="G2046" s="46"/>
      <c r="H2046" s="46"/>
    </row>
    <row r="2047" spans="6:8" x14ac:dyDescent="0.25">
      <c r="F2047" s="46"/>
      <c r="G2047" s="46"/>
      <c r="H2047" s="46"/>
    </row>
    <row r="2048" spans="6:8" x14ac:dyDescent="0.25">
      <c r="F2048" s="46"/>
      <c r="G2048" s="46"/>
      <c r="H2048" s="46"/>
    </row>
    <row r="2049" spans="6:8" x14ac:dyDescent="0.25">
      <c r="F2049" s="46"/>
      <c r="G2049" s="46"/>
      <c r="H2049" s="46"/>
    </row>
    <row r="2050" spans="6:8" x14ac:dyDescent="0.25">
      <c r="F2050" s="46"/>
      <c r="G2050" s="46"/>
      <c r="H2050" s="46"/>
    </row>
    <row r="2051" spans="6:8" x14ac:dyDescent="0.25">
      <c r="F2051" s="46"/>
      <c r="G2051" s="46"/>
      <c r="H2051" s="46"/>
    </row>
    <row r="2052" spans="6:8" x14ac:dyDescent="0.25">
      <c r="F2052" s="46"/>
      <c r="G2052" s="46"/>
      <c r="H2052" s="46"/>
    </row>
    <row r="2053" spans="6:8" x14ac:dyDescent="0.25">
      <c r="F2053" s="46"/>
      <c r="G2053" s="46"/>
      <c r="H2053" s="46"/>
    </row>
    <row r="2054" spans="6:8" x14ac:dyDescent="0.25">
      <c r="F2054" s="46"/>
      <c r="G2054" s="46"/>
      <c r="H2054" s="46"/>
    </row>
    <row r="2055" spans="6:8" x14ac:dyDescent="0.25">
      <c r="F2055" s="46"/>
      <c r="G2055" s="46"/>
      <c r="H2055" s="46"/>
    </row>
    <row r="2056" spans="6:8" x14ac:dyDescent="0.25">
      <c r="F2056" s="46"/>
      <c r="G2056" s="46"/>
      <c r="H2056" s="46"/>
    </row>
    <row r="2057" spans="6:8" x14ac:dyDescent="0.25">
      <c r="F2057" s="46"/>
      <c r="G2057" s="46"/>
      <c r="H2057" s="46"/>
    </row>
    <row r="2058" spans="6:8" x14ac:dyDescent="0.25">
      <c r="F2058" s="46"/>
      <c r="G2058" s="46"/>
      <c r="H2058" s="46"/>
    </row>
    <row r="2059" spans="6:8" x14ac:dyDescent="0.25">
      <c r="F2059" s="46"/>
      <c r="G2059" s="46"/>
      <c r="H2059" s="46"/>
    </row>
    <row r="2060" spans="6:8" x14ac:dyDescent="0.25">
      <c r="F2060" s="46"/>
      <c r="G2060" s="46"/>
      <c r="H2060" s="46"/>
    </row>
    <row r="2061" spans="6:8" x14ac:dyDescent="0.25">
      <c r="F2061" s="46"/>
      <c r="G2061" s="46"/>
      <c r="H2061" s="46"/>
    </row>
    <row r="2062" spans="6:8" x14ac:dyDescent="0.25">
      <c r="F2062" s="46"/>
      <c r="G2062" s="46"/>
      <c r="H2062" s="46"/>
    </row>
    <row r="2063" spans="6:8" x14ac:dyDescent="0.25">
      <c r="F2063" s="46"/>
      <c r="G2063" s="46"/>
      <c r="H2063" s="46"/>
    </row>
    <row r="2064" spans="6:8" x14ac:dyDescent="0.25">
      <c r="F2064" s="46"/>
      <c r="G2064" s="46"/>
      <c r="H2064" s="46"/>
    </row>
    <row r="2065" spans="6:8" x14ac:dyDescent="0.25">
      <c r="F2065" s="46"/>
      <c r="G2065" s="46"/>
      <c r="H2065" s="46"/>
    </row>
    <row r="2066" spans="6:8" x14ac:dyDescent="0.25">
      <c r="F2066" s="46"/>
      <c r="G2066" s="46"/>
      <c r="H2066" s="46"/>
    </row>
    <row r="2067" spans="6:8" x14ac:dyDescent="0.25">
      <c r="F2067" s="46"/>
      <c r="G2067" s="46"/>
      <c r="H2067" s="46"/>
    </row>
    <row r="2068" spans="6:8" x14ac:dyDescent="0.25">
      <c r="F2068" s="46"/>
      <c r="G2068" s="46"/>
      <c r="H2068" s="46"/>
    </row>
    <row r="2069" spans="6:8" x14ac:dyDescent="0.25">
      <c r="F2069" s="46"/>
      <c r="G2069" s="46"/>
      <c r="H2069" s="46"/>
    </row>
    <row r="2070" spans="6:8" x14ac:dyDescent="0.25">
      <c r="F2070" s="46"/>
      <c r="G2070" s="46"/>
      <c r="H2070" s="46"/>
    </row>
    <row r="2071" spans="6:8" x14ac:dyDescent="0.25">
      <c r="F2071" s="46"/>
      <c r="G2071" s="46"/>
      <c r="H2071" s="46"/>
    </row>
    <row r="2072" spans="6:8" x14ac:dyDescent="0.25">
      <c r="F2072" s="46"/>
      <c r="G2072" s="46"/>
      <c r="H2072" s="46"/>
    </row>
    <row r="2073" spans="6:8" x14ac:dyDescent="0.25">
      <c r="F2073" s="46"/>
      <c r="G2073" s="46"/>
      <c r="H2073" s="46"/>
    </row>
    <row r="2074" spans="6:8" x14ac:dyDescent="0.25">
      <c r="F2074" s="46"/>
      <c r="G2074" s="46"/>
      <c r="H2074" s="46"/>
    </row>
    <row r="2075" spans="6:8" x14ac:dyDescent="0.25">
      <c r="F2075" s="46"/>
      <c r="G2075" s="46"/>
      <c r="H2075" s="46"/>
    </row>
    <row r="2076" spans="6:8" x14ac:dyDescent="0.25">
      <c r="F2076" s="46"/>
      <c r="G2076" s="46"/>
      <c r="H2076" s="46"/>
    </row>
    <row r="2077" spans="6:8" x14ac:dyDescent="0.25">
      <c r="F2077" s="46"/>
      <c r="G2077" s="46"/>
      <c r="H2077" s="46"/>
    </row>
    <row r="2078" spans="6:8" x14ac:dyDescent="0.25">
      <c r="F2078" s="46"/>
      <c r="G2078" s="46"/>
      <c r="H2078" s="46"/>
    </row>
    <row r="2079" spans="6:8" x14ac:dyDescent="0.25">
      <c r="F2079" s="46"/>
      <c r="G2079" s="46"/>
      <c r="H2079" s="46"/>
    </row>
    <row r="2080" spans="6:8" x14ac:dyDescent="0.25">
      <c r="F2080" s="46"/>
      <c r="G2080" s="46"/>
      <c r="H2080" s="46"/>
    </row>
    <row r="2081" spans="6:8" x14ac:dyDescent="0.25">
      <c r="F2081" s="46"/>
      <c r="G2081" s="46"/>
      <c r="H2081" s="46"/>
    </row>
    <row r="2082" spans="6:8" x14ac:dyDescent="0.25">
      <c r="F2082" s="46"/>
      <c r="G2082" s="46"/>
      <c r="H2082" s="46"/>
    </row>
    <row r="2083" spans="6:8" x14ac:dyDescent="0.25">
      <c r="F2083" s="46"/>
      <c r="G2083" s="46"/>
      <c r="H2083" s="46"/>
    </row>
    <row r="2084" spans="6:8" x14ac:dyDescent="0.25">
      <c r="F2084" s="46"/>
      <c r="G2084" s="46"/>
      <c r="H2084" s="46"/>
    </row>
    <row r="2085" spans="6:8" x14ac:dyDescent="0.25">
      <c r="F2085" s="46"/>
      <c r="G2085" s="46"/>
      <c r="H2085" s="46"/>
    </row>
    <row r="2086" spans="6:8" x14ac:dyDescent="0.25">
      <c r="F2086" s="46"/>
      <c r="G2086" s="46"/>
      <c r="H2086" s="46"/>
    </row>
    <row r="2087" spans="6:8" x14ac:dyDescent="0.25">
      <c r="F2087" s="46"/>
      <c r="G2087" s="46"/>
      <c r="H2087" s="46"/>
    </row>
    <row r="2088" spans="6:8" x14ac:dyDescent="0.25">
      <c r="F2088" s="46"/>
      <c r="G2088" s="46"/>
      <c r="H2088" s="46"/>
    </row>
    <row r="2089" spans="6:8" x14ac:dyDescent="0.25">
      <c r="F2089" s="46"/>
      <c r="G2089" s="46"/>
      <c r="H2089" s="46"/>
    </row>
    <row r="2090" spans="6:8" x14ac:dyDescent="0.25">
      <c r="F2090" s="46"/>
      <c r="G2090" s="46"/>
      <c r="H2090" s="46"/>
    </row>
    <row r="2091" spans="6:8" x14ac:dyDescent="0.25">
      <c r="F2091" s="46"/>
      <c r="G2091" s="46"/>
      <c r="H2091" s="46"/>
    </row>
    <row r="2092" spans="6:8" x14ac:dyDescent="0.25">
      <c r="F2092" s="46"/>
      <c r="G2092" s="46"/>
      <c r="H2092" s="46"/>
    </row>
    <row r="2093" spans="6:8" x14ac:dyDescent="0.25">
      <c r="F2093" s="46"/>
      <c r="G2093" s="46"/>
      <c r="H2093" s="46"/>
    </row>
    <row r="2094" spans="6:8" x14ac:dyDescent="0.25">
      <c r="F2094" s="46"/>
      <c r="G2094" s="46"/>
      <c r="H2094" s="46"/>
    </row>
    <row r="2095" spans="6:8" x14ac:dyDescent="0.25">
      <c r="F2095" s="46"/>
      <c r="G2095" s="46"/>
      <c r="H2095" s="46"/>
    </row>
    <row r="2096" spans="6:8" x14ac:dyDescent="0.25">
      <c r="F2096" s="46"/>
      <c r="G2096" s="46"/>
      <c r="H2096" s="46"/>
    </row>
    <row r="2097" spans="6:8" x14ac:dyDescent="0.25">
      <c r="F2097" s="46"/>
      <c r="G2097" s="46"/>
      <c r="H2097" s="46"/>
    </row>
    <row r="2098" spans="6:8" x14ac:dyDescent="0.25">
      <c r="F2098" s="46"/>
      <c r="G2098" s="46"/>
      <c r="H2098" s="46"/>
    </row>
    <row r="2099" spans="6:8" x14ac:dyDescent="0.25">
      <c r="F2099" s="46"/>
      <c r="G2099" s="46"/>
      <c r="H2099" s="46"/>
    </row>
    <row r="2100" spans="6:8" x14ac:dyDescent="0.25">
      <c r="F2100" s="46"/>
      <c r="G2100" s="46"/>
      <c r="H2100" s="46"/>
    </row>
    <row r="2101" spans="6:8" x14ac:dyDescent="0.25">
      <c r="F2101" s="46"/>
      <c r="G2101" s="46"/>
      <c r="H2101" s="46"/>
    </row>
    <row r="2102" spans="6:8" x14ac:dyDescent="0.25">
      <c r="F2102" s="46"/>
      <c r="G2102" s="46"/>
      <c r="H2102" s="46"/>
    </row>
    <row r="2103" spans="6:8" x14ac:dyDescent="0.25">
      <c r="F2103" s="46"/>
      <c r="G2103" s="46"/>
      <c r="H2103" s="46"/>
    </row>
    <row r="2104" spans="6:8" x14ac:dyDescent="0.25">
      <c r="F2104" s="46"/>
      <c r="G2104" s="46"/>
      <c r="H2104" s="46"/>
    </row>
    <row r="2105" spans="6:8" x14ac:dyDescent="0.25">
      <c r="F2105" s="46"/>
      <c r="G2105" s="46"/>
      <c r="H2105" s="46"/>
    </row>
    <row r="2106" spans="6:8" x14ac:dyDescent="0.25">
      <c r="F2106" s="46"/>
      <c r="G2106" s="46"/>
      <c r="H2106" s="46"/>
    </row>
    <row r="2107" spans="6:8" x14ac:dyDescent="0.25">
      <c r="F2107" s="46"/>
      <c r="G2107" s="46"/>
      <c r="H2107" s="46"/>
    </row>
    <row r="2108" spans="6:8" x14ac:dyDescent="0.25">
      <c r="F2108" s="46"/>
      <c r="G2108" s="46"/>
      <c r="H2108" s="46"/>
    </row>
    <row r="2109" spans="6:8" x14ac:dyDescent="0.25">
      <c r="F2109" s="46"/>
      <c r="G2109" s="46"/>
      <c r="H2109" s="46"/>
    </row>
    <row r="2110" spans="6:8" x14ac:dyDescent="0.25">
      <c r="F2110" s="46"/>
      <c r="G2110" s="46"/>
      <c r="H2110" s="46"/>
    </row>
    <row r="2111" spans="6:8" x14ac:dyDescent="0.25">
      <c r="F2111" s="46"/>
      <c r="G2111" s="46"/>
      <c r="H2111" s="46"/>
    </row>
    <row r="2112" spans="6:8" x14ac:dyDescent="0.25">
      <c r="F2112" s="46"/>
      <c r="G2112" s="46"/>
      <c r="H2112" s="46"/>
    </row>
    <row r="2113" spans="6:8" x14ac:dyDescent="0.25">
      <c r="F2113" s="46"/>
      <c r="G2113" s="46"/>
      <c r="H2113" s="46"/>
    </row>
    <row r="2114" spans="6:8" x14ac:dyDescent="0.25">
      <c r="F2114" s="46"/>
      <c r="G2114" s="46"/>
      <c r="H2114" s="46"/>
    </row>
    <row r="2115" spans="6:8" x14ac:dyDescent="0.25">
      <c r="F2115" s="46"/>
      <c r="G2115" s="46"/>
      <c r="H2115" s="46"/>
    </row>
    <row r="2116" spans="6:8" x14ac:dyDescent="0.25">
      <c r="F2116" s="46"/>
      <c r="G2116" s="46"/>
      <c r="H2116" s="46"/>
    </row>
    <row r="2117" spans="6:8" x14ac:dyDescent="0.25">
      <c r="F2117" s="46"/>
      <c r="G2117" s="46"/>
      <c r="H2117" s="46"/>
    </row>
    <row r="2118" spans="6:8" x14ac:dyDescent="0.25">
      <c r="F2118" s="46"/>
      <c r="G2118" s="46"/>
      <c r="H2118" s="46"/>
    </row>
    <row r="2119" spans="6:8" x14ac:dyDescent="0.25">
      <c r="F2119" s="46"/>
      <c r="G2119" s="46"/>
      <c r="H2119" s="46"/>
    </row>
    <row r="2120" spans="6:8" x14ac:dyDescent="0.25">
      <c r="F2120" s="46"/>
      <c r="G2120" s="46"/>
      <c r="H2120" s="46"/>
    </row>
    <row r="2121" spans="6:8" x14ac:dyDescent="0.25">
      <c r="F2121" s="46"/>
      <c r="G2121" s="46"/>
      <c r="H2121" s="46"/>
    </row>
    <row r="2122" spans="6:8" x14ac:dyDescent="0.25">
      <c r="F2122" s="46"/>
      <c r="G2122" s="46"/>
      <c r="H2122" s="46"/>
    </row>
    <row r="2123" spans="6:8" x14ac:dyDescent="0.25">
      <c r="F2123" s="46"/>
      <c r="G2123" s="46"/>
      <c r="H2123" s="46"/>
    </row>
    <row r="2124" spans="6:8" x14ac:dyDescent="0.25">
      <c r="F2124" s="46"/>
      <c r="G2124" s="46"/>
      <c r="H2124" s="46"/>
    </row>
    <row r="2125" spans="6:8" x14ac:dyDescent="0.25">
      <c r="F2125" s="46"/>
      <c r="G2125" s="46"/>
      <c r="H2125" s="46"/>
    </row>
    <row r="2126" spans="6:8" x14ac:dyDescent="0.25">
      <c r="F2126" s="46"/>
      <c r="G2126" s="46"/>
      <c r="H2126" s="46"/>
    </row>
    <row r="2127" spans="6:8" x14ac:dyDescent="0.25">
      <c r="F2127" s="46"/>
      <c r="G2127" s="46"/>
      <c r="H2127" s="46"/>
    </row>
    <row r="2128" spans="6:8" x14ac:dyDescent="0.25">
      <c r="F2128" s="46"/>
      <c r="G2128" s="46"/>
      <c r="H2128" s="46"/>
    </row>
    <row r="2129" spans="6:8" x14ac:dyDescent="0.25">
      <c r="F2129" s="46"/>
      <c r="G2129" s="46"/>
      <c r="H2129" s="46"/>
    </row>
    <row r="2130" spans="6:8" x14ac:dyDescent="0.25">
      <c r="F2130" s="46"/>
      <c r="G2130" s="46"/>
      <c r="H2130" s="46"/>
    </row>
    <row r="2131" spans="6:8" x14ac:dyDescent="0.25">
      <c r="F2131" s="46"/>
      <c r="G2131" s="46"/>
      <c r="H2131" s="46"/>
    </row>
    <row r="2132" spans="6:8" x14ac:dyDescent="0.25">
      <c r="F2132" s="46"/>
      <c r="G2132" s="46"/>
      <c r="H2132" s="46"/>
    </row>
    <row r="2133" spans="6:8" x14ac:dyDescent="0.25">
      <c r="F2133" s="46"/>
      <c r="G2133" s="46"/>
      <c r="H2133" s="46"/>
    </row>
    <row r="2134" spans="6:8" x14ac:dyDescent="0.25">
      <c r="F2134" s="46"/>
      <c r="G2134" s="46"/>
      <c r="H2134" s="46"/>
    </row>
    <row r="2135" spans="6:8" x14ac:dyDescent="0.25">
      <c r="F2135" s="46"/>
      <c r="G2135" s="46"/>
      <c r="H2135" s="46"/>
    </row>
    <row r="2136" spans="6:8" x14ac:dyDescent="0.25">
      <c r="F2136" s="46"/>
      <c r="G2136" s="46"/>
      <c r="H2136" s="46"/>
    </row>
    <row r="2137" spans="6:8" x14ac:dyDescent="0.25">
      <c r="F2137" s="46"/>
      <c r="G2137" s="46"/>
      <c r="H2137" s="46"/>
    </row>
    <row r="2138" spans="6:8" x14ac:dyDescent="0.25">
      <c r="F2138" s="46"/>
      <c r="G2138" s="46"/>
      <c r="H2138" s="46"/>
    </row>
    <row r="2139" spans="6:8" x14ac:dyDescent="0.25">
      <c r="F2139" s="46"/>
      <c r="G2139" s="46"/>
      <c r="H2139" s="46"/>
    </row>
    <row r="2140" spans="6:8" x14ac:dyDescent="0.25">
      <c r="F2140" s="46"/>
      <c r="G2140" s="46"/>
      <c r="H2140" s="46"/>
    </row>
    <row r="2141" spans="6:8" x14ac:dyDescent="0.25">
      <c r="F2141" s="46"/>
      <c r="G2141" s="46"/>
      <c r="H2141" s="46"/>
    </row>
    <row r="2142" spans="6:8" x14ac:dyDescent="0.25">
      <c r="F2142" s="46"/>
      <c r="G2142" s="46"/>
      <c r="H2142" s="46"/>
    </row>
    <row r="2143" spans="6:8" x14ac:dyDescent="0.25">
      <c r="F2143" s="46"/>
      <c r="G2143" s="46"/>
      <c r="H2143" s="46"/>
    </row>
    <row r="2144" spans="6:8" x14ac:dyDescent="0.25">
      <c r="F2144" s="46"/>
      <c r="G2144" s="46"/>
      <c r="H2144" s="46"/>
    </row>
    <row r="2145" spans="6:8" x14ac:dyDescent="0.25">
      <c r="F2145" s="46"/>
      <c r="G2145" s="46"/>
      <c r="H2145" s="46"/>
    </row>
    <row r="2146" spans="6:8" x14ac:dyDescent="0.25">
      <c r="F2146" s="46"/>
      <c r="G2146" s="46"/>
      <c r="H2146" s="46"/>
    </row>
    <row r="2147" spans="6:8" x14ac:dyDescent="0.25">
      <c r="F2147" s="46"/>
      <c r="G2147" s="46"/>
      <c r="H2147" s="46"/>
    </row>
    <row r="2148" spans="6:8" x14ac:dyDescent="0.25">
      <c r="F2148" s="46"/>
      <c r="G2148" s="46"/>
      <c r="H2148" s="46"/>
    </row>
    <row r="2149" spans="6:8" x14ac:dyDescent="0.25">
      <c r="F2149" s="46"/>
      <c r="G2149" s="46"/>
      <c r="H2149" s="46"/>
    </row>
    <row r="2150" spans="6:8" x14ac:dyDescent="0.25">
      <c r="F2150" s="46"/>
      <c r="G2150" s="46"/>
      <c r="H2150" s="46"/>
    </row>
    <row r="2151" spans="6:8" x14ac:dyDescent="0.25">
      <c r="F2151" s="46"/>
      <c r="G2151" s="46"/>
      <c r="H2151" s="46"/>
    </row>
    <row r="2152" spans="6:8" x14ac:dyDescent="0.25">
      <c r="F2152" s="46"/>
      <c r="G2152" s="46"/>
      <c r="H2152" s="46"/>
    </row>
    <row r="2153" spans="6:8" x14ac:dyDescent="0.25">
      <c r="F2153" s="46"/>
      <c r="G2153" s="46"/>
      <c r="H2153" s="46"/>
    </row>
    <row r="2154" spans="6:8" x14ac:dyDescent="0.25">
      <c r="F2154" s="46"/>
      <c r="G2154" s="46"/>
      <c r="H2154" s="46"/>
    </row>
    <row r="2155" spans="6:8" x14ac:dyDescent="0.25">
      <c r="F2155" s="46"/>
      <c r="G2155" s="46"/>
      <c r="H2155" s="46"/>
    </row>
    <row r="2156" spans="6:8" x14ac:dyDescent="0.25">
      <c r="F2156" s="46"/>
      <c r="G2156" s="46"/>
      <c r="H2156" s="46"/>
    </row>
    <row r="2157" spans="6:8" x14ac:dyDescent="0.25">
      <c r="F2157" s="46"/>
      <c r="G2157" s="46"/>
      <c r="H2157" s="46"/>
    </row>
    <row r="2158" spans="6:8" x14ac:dyDescent="0.25">
      <c r="F2158" s="46"/>
      <c r="G2158" s="46"/>
      <c r="H2158" s="46"/>
    </row>
    <row r="2159" spans="6:8" x14ac:dyDescent="0.25">
      <c r="F2159" s="46"/>
      <c r="G2159" s="46"/>
      <c r="H2159" s="46"/>
    </row>
    <row r="2160" spans="6:8" x14ac:dyDescent="0.25">
      <c r="F2160" s="46"/>
      <c r="G2160" s="46"/>
      <c r="H2160" s="46"/>
    </row>
    <row r="2161" spans="6:8" x14ac:dyDescent="0.25">
      <c r="F2161" s="46"/>
      <c r="G2161" s="46"/>
      <c r="H2161" s="46"/>
    </row>
    <row r="2162" spans="6:8" x14ac:dyDescent="0.25">
      <c r="F2162" s="46"/>
      <c r="G2162" s="46"/>
      <c r="H2162" s="46"/>
    </row>
    <row r="2163" spans="6:8" x14ac:dyDescent="0.25">
      <c r="F2163" s="46"/>
      <c r="G2163" s="46"/>
      <c r="H2163" s="46"/>
    </row>
    <row r="2164" spans="6:8" x14ac:dyDescent="0.25">
      <c r="F2164" s="46"/>
      <c r="G2164" s="46"/>
      <c r="H2164" s="46"/>
    </row>
    <row r="2165" spans="6:8" x14ac:dyDescent="0.25">
      <c r="F2165" s="46"/>
      <c r="G2165" s="46"/>
      <c r="H2165" s="46"/>
    </row>
    <row r="2166" spans="6:8" x14ac:dyDescent="0.25">
      <c r="F2166" s="46"/>
      <c r="G2166" s="46"/>
      <c r="H2166" s="46"/>
    </row>
    <row r="2167" spans="6:8" x14ac:dyDescent="0.25">
      <c r="F2167" s="46"/>
      <c r="G2167" s="46"/>
      <c r="H2167" s="46"/>
    </row>
    <row r="2168" spans="6:8" x14ac:dyDescent="0.25">
      <c r="F2168" s="46"/>
      <c r="G2168" s="46"/>
      <c r="H2168" s="46"/>
    </row>
    <row r="2169" spans="6:8" x14ac:dyDescent="0.25">
      <c r="F2169" s="46"/>
      <c r="G2169" s="46"/>
      <c r="H2169" s="46"/>
    </row>
    <row r="2170" spans="6:8" x14ac:dyDescent="0.25">
      <c r="F2170" s="46"/>
      <c r="G2170" s="46"/>
      <c r="H2170" s="46"/>
    </row>
    <row r="2171" spans="6:8" x14ac:dyDescent="0.25">
      <c r="F2171" s="46"/>
      <c r="G2171" s="46"/>
      <c r="H2171" s="46"/>
    </row>
    <row r="2172" spans="6:8" x14ac:dyDescent="0.25">
      <c r="F2172" s="46"/>
      <c r="G2172" s="46"/>
      <c r="H2172" s="46"/>
    </row>
    <row r="2173" spans="6:8" x14ac:dyDescent="0.25">
      <c r="F2173" s="46"/>
      <c r="G2173" s="46"/>
      <c r="H2173" s="46"/>
    </row>
    <row r="2174" spans="6:8" x14ac:dyDescent="0.25">
      <c r="F2174" s="46"/>
      <c r="G2174" s="46"/>
      <c r="H2174" s="46"/>
    </row>
    <row r="2175" spans="6:8" x14ac:dyDescent="0.25">
      <c r="F2175" s="46"/>
      <c r="G2175" s="46"/>
      <c r="H2175" s="46"/>
    </row>
    <row r="2176" spans="6:8" x14ac:dyDescent="0.25">
      <c r="F2176" s="46"/>
      <c r="G2176" s="46"/>
      <c r="H2176" s="46"/>
    </row>
    <row r="2177" spans="6:8" x14ac:dyDescent="0.25">
      <c r="F2177" s="46"/>
      <c r="G2177" s="46"/>
      <c r="H2177" s="46"/>
    </row>
    <row r="2178" spans="6:8" x14ac:dyDescent="0.25">
      <c r="F2178" s="46"/>
      <c r="G2178" s="46"/>
      <c r="H2178" s="46"/>
    </row>
    <row r="2179" spans="6:8" x14ac:dyDescent="0.25">
      <c r="F2179" s="46"/>
      <c r="G2179" s="46"/>
      <c r="H2179" s="46"/>
    </row>
    <row r="2180" spans="6:8" x14ac:dyDescent="0.25">
      <c r="F2180" s="46"/>
      <c r="G2180" s="46"/>
      <c r="H2180" s="46"/>
    </row>
    <row r="2181" spans="6:8" x14ac:dyDescent="0.25">
      <c r="F2181" s="46"/>
      <c r="G2181" s="46"/>
      <c r="H2181" s="46"/>
    </row>
    <row r="2182" spans="6:8" x14ac:dyDescent="0.25">
      <c r="F2182" s="46"/>
      <c r="G2182" s="46"/>
      <c r="H2182" s="46"/>
    </row>
    <row r="2183" spans="6:8" x14ac:dyDescent="0.25">
      <c r="F2183" s="46"/>
      <c r="G2183" s="46"/>
      <c r="H2183" s="46"/>
    </row>
    <row r="2184" spans="6:8" x14ac:dyDescent="0.25">
      <c r="F2184" s="46"/>
      <c r="G2184" s="46"/>
      <c r="H2184" s="46"/>
    </row>
    <row r="2185" spans="6:8" x14ac:dyDescent="0.25">
      <c r="F2185" s="46"/>
      <c r="G2185" s="46"/>
      <c r="H2185" s="46"/>
    </row>
    <row r="2186" spans="6:8" x14ac:dyDescent="0.25">
      <c r="F2186" s="46"/>
      <c r="G2186" s="46"/>
      <c r="H2186" s="46"/>
    </row>
    <row r="2187" spans="6:8" x14ac:dyDescent="0.25">
      <c r="F2187" s="46"/>
      <c r="G2187" s="46"/>
      <c r="H2187" s="46"/>
    </row>
    <row r="2188" spans="6:8" x14ac:dyDescent="0.25">
      <c r="F2188" s="46"/>
      <c r="G2188" s="46"/>
      <c r="H2188" s="46"/>
    </row>
    <row r="2189" spans="6:8" x14ac:dyDescent="0.25">
      <c r="F2189" s="46"/>
      <c r="G2189" s="46"/>
      <c r="H2189" s="46"/>
    </row>
    <row r="2190" spans="6:8" x14ac:dyDescent="0.25">
      <c r="F2190" s="46"/>
      <c r="G2190" s="46"/>
      <c r="H2190" s="46"/>
    </row>
    <row r="2191" spans="6:8" x14ac:dyDescent="0.25">
      <c r="F2191" s="46"/>
      <c r="G2191" s="46"/>
      <c r="H2191" s="46"/>
    </row>
    <row r="2192" spans="6:8" x14ac:dyDescent="0.25">
      <c r="F2192" s="46"/>
      <c r="G2192" s="46"/>
      <c r="H2192" s="46"/>
    </row>
    <row r="2193" spans="6:8" x14ac:dyDescent="0.25">
      <c r="F2193" s="46"/>
      <c r="G2193" s="46"/>
      <c r="H2193" s="46"/>
    </row>
    <row r="2194" spans="6:8" x14ac:dyDescent="0.25">
      <c r="F2194" s="46"/>
      <c r="G2194" s="46"/>
      <c r="H2194" s="46"/>
    </row>
    <row r="2195" spans="6:8" x14ac:dyDescent="0.25">
      <c r="F2195" s="46"/>
      <c r="G2195" s="46"/>
      <c r="H2195" s="46"/>
    </row>
    <row r="2196" spans="6:8" x14ac:dyDescent="0.25">
      <c r="F2196" s="46"/>
      <c r="G2196" s="46"/>
      <c r="H2196" s="46"/>
    </row>
    <row r="2197" spans="6:8" x14ac:dyDescent="0.25">
      <c r="F2197" s="46"/>
      <c r="G2197" s="46"/>
      <c r="H2197" s="46"/>
    </row>
    <row r="2198" spans="6:8" x14ac:dyDescent="0.25">
      <c r="F2198" s="46"/>
      <c r="G2198" s="46"/>
      <c r="H2198" s="46"/>
    </row>
    <row r="2199" spans="6:8" x14ac:dyDescent="0.25">
      <c r="F2199" s="46"/>
      <c r="G2199" s="46"/>
      <c r="H2199" s="46"/>
    </row>
    <row r="2200" spans="6:8" x14ac:dyDescent="0.25">
      <c r="F2200" s="46"/>
      <c r="G2200" s="46"/>
      <c r="H2200" s="46"/>
    </row>
    <row r="2201" spans="6:8" x14ac:dyDescent="0.25">
      <c r="F2201" s="46"/>
      <c r="G2201" s="46"/>
      <c r="H2201" s="46"/>
    </row>
    <row r="2202" spans="6:8" x14ac:dyDescent="0.25">
      <c r="F2202" s="46"/>
      <c r="G2202" s="46"/>
      <c r="H2202" s="46"/>
    </row>
    <row r="2203" spans="6:8" x14ac:dyDescent="0.25">
      <c r="F2203" s="46"/>
      <c r="G2203" s="46"/>
      <c r="H2203" s="46"/>
    </row>
    <row r="2204" spans="6:8" x14ac:dyDescent="0.25">
      <c r="F2204" s="46"/>
      <c r="G2204" s="46"/>
      <c r="H2204" s="46"/>
    </row>
    <row r="2205" spans="6:8" x14ac:dyDescent="0.25">
      <c r="F2205" s="46"/>
      <c r="G2205" s="46"/>
      <c r="H2205" s="46"/>
    </row>
    <row r="2206" spans="6:8" x14ac:dyDescent="0.25">
      <c r="F2206" s="46"/>
      <c r="G2206" s="46"/>
      <c r="H2206" s="46"/>
    </row>
    <row r="2207" spans="6:8" x14ac:dyDescent="0.25">
      <c r="F2207" s="46"/>
      <c r="G2207" s="46"/>
      <c r="H2207" s="46"/>
    </row>
    <row r="2208" spans="6:8" x14ac:dyDescent="0.25">
      <c r="F2208" s="46"/>
      <c r="G2208" s="46"/>
      <c r="H2208" s="46"/>
    </row>
    <row r="2209" spans="6:8" x14ac:dyDescent="0.25">
      <c r="F2209" s="46"/>
      <c r="G2209" s="46"/>
      <c r="H2209" s="46"/>
    </row>
    <row r="2210" spans="6:8" x14ac:dyDescent="0.25">
      <c r="F2210" s="46"/>
      <c r="G2210" s="46"/>
      <c r="H2210" s="46"/>
    </row>
    <row r="2211" spans="6:8" x14ac:dyDescent="0.25">
      <c r="F2211" s="46"/>
      <c r="G2211" s="46"/>
      <c r="H2211" s="46"/>
    </row>
    <row r="2212" spans="6:8" x14ac:dyDescent="0.25">
      <c r="F2212" s="46"/>
      <c r="G2212" s="46"/>
      <c r="H2212" s="46"/>
    </row>
    <row r="2213" spans="6:8" x14ac:dyDescent="0.25">
      <c r="F2213" s="46"/>
      <c r="G2213" s="46"/>
      <c r="H2213" s="46"/>
    </row>
    <row r="2214" spans="6:8" x14ac:dyDescent="0.25">
      <c r="F2214" s="46"/>
      <c r="G2214" s="46"/>
      <c r="H2214" s="46"/>
    </row>
    <row r="2215" spans="6:8" x14ac:dyDescent="0.25">
      <c r="F2215" s="46"/>
      <c r="G2215" s="46"/>
      <c r="H2215" s="46"/>
    </row>
    <row r="2216" spans="6:8" x14ac:dyDescent="0.25">
      <c r="F2216" s="46"/>
      <c r="G2216" s="46"/>
      <c r="H2216" s="46"/>
    </row>
    <row r="2217" spans="6:8" x14ac:dyDescent="0.25">
      <c r="F2217" s="46"/>
      <c r="G2217" s="46"/>
      <c r="H2217" s="46"/>
    </row>
    <row r="2218" spans="6:8" x14ac:dyDescent="0.25">
      <c r="F2218" s="46"/>
      <c r="G2218" s="46"/>
      <c r="H2218" s="46"/>
    </row>
    <row r="2219" spans="6:8" x14ac:dyDescent="0.25">
      <c r="F2219" s="46"/>
      <c r="G2219" s="46"/>
      <c r="H2219" s="46"/>
    </row>
    <row r="2220" spans="6:8" x14ac:dyDescent="0.25">
      <c r="F2220" s="46"/>
      <c r="G2220" s="46"/>
      <c r="H2220" s="46"/>
    </row>
    <row r="2221" spans="6:8" x14ac:dyDescent="0.25">
      <c r="F2221" s="46"/>
      <c r="G2221" s="46"/>
      <c r="H2221" s="46"/>
    </row>
    <row r="2222" spans="6:8" x14ac:dyDescent="0.25">
      <c r="F2222" s="46"/>
      <c r="G2222" s="46"/>
      <c r="H2222" s="46"/>
    </row>
    <row r="2223" spans="6:8" x14ac:dyDescent="0.25">
      <c r="F2223" s="46"/>
      <c r="G2223" s="46"/>
      <c r="H2223" s="46"/>
    </row>
    <row r="2224" spans="6:8" x14ac:dyDescent="0.25">
      <c r="F2224" s="46"/>
      <c r="G2224" s="46"/>
      <c r="H2224" s="46"/>
    </row>
    <row r="2225" spans="6:8" x14ac:dyDescent="0.25">
      <c r="F2225" s="46"/>
      <c r="G2225" s="46"/>
      <c r="H2225" s="46"/>
    </row>
    <row r="2226" spans="6:8" x14ac:dyDescent="0.25">
      <c r="F2226" s="46"/>
      <c r="G2226" s="46"/>
      <c r="H2226" s="46"/>
    </row>
    <row r="2227" spans="6:8" x14ac:dyDescent="0.25">
      <c r="F2227" s="46"/>
      <c r="G2227" s="46"/>
      <c r="H2227" s="46"/>
    </row>
    <row r="2228" spans="6:8" x14ac:dyDescent="0.25">
      <c r="F2228" s="46"/>
      <c r="G2228" s="46"/>
      <c r="H2228" s="46"/>
    </row>
    <row r="2229" spans="6:8" x14ac:dyDescent="0.25">
      <c r="F2229" s="46"/>
      <c r="G2229" s="46"/>
      <c r="H2229" s="46"/>
    </row>
    <row r="2230" spans="6:8" x14ac:dyDescent="0.25">
      <c r="F2230" s="46"/>
      <c r="G2230" s="46"/>
      <c r="H2230" s="46"/>
    </row>
    <row r="2231" spans="6:8" x14ac:dyDescent="0.25">
      <c r="F2231" s="46"/>
      <c r="G2231" s="46"/>
      <c r="H2231" s="46"/>
    </row>
    <row r="2232" spans="6:8" x14ac:dyDescent="0.25">
      <c r="F2232" s="46"/>
      <c r="G2232" s="46"/>
      <c r="H2232" s="46"/>
    </row>
    <row r="2233" spans="6:8" x14ac:dyDescent="0.25">
      <c r="F2233" s="46"/>
      <c r="G2233" s="46"/>
      <c r="H2233" s="46"/>
    </row>
    <row r="2234" spans="6:8" x14ac:dyDescent="0.25">
      <c r="F2234" s="46"/>
      <c r="G2234" s="46"/>
      <c r="H2234" s="46"/>
    </row>
    <row r="2235" spans="6:8" x14ac:dyDescent="0.25">
      <c r="F2235" s="46"/>
      <c r="G2235" s="46"/>
      <c r="H2235" s="46"/>
    </row>
    <row r="2236" spans="6:8" x14ac:dyDescent="0.25">
      <c r="F2236" s="46"/>
      <c r="G2236" s="46"/>
      <c r="H2236" s="46"/>
    </row>
    <row r="2237" spans="6:8" x14ac:dyDescent="0.25">
      <c r="F2237" s="46"/>
      <c r="G2237" s="46"/>
      <c r="H2237" s="46"/>
    </row>
    <row r="2238" spans="6:8" x14ac:dyDescent="0.25">
      <c r="F2238" s="46"/>
      <c r="G2238" s="46"/>
      <c r="H2238" s="46"/>
    </row>
    <row r="2239" spans="6:8" x14ac:dyDescent="0.25">
      <c r="F2239" s="46"/>
      <c r="G2239" s="46"/>
      <c r="H2239" s="46"/>
    </row>
    <row r="2240" spans="6:8" x14ac:dyDescent="0.25">
      <c r="F2240" s="46"/>
      <c r="G2240" s="46"/>
      <c r="H2240" s="46"/>
    </row>
    <row r="2241" spans="6:8" x14ac:dyDescent="0.25">
      <c r="F2241" s="46"/>
      <c r="G2241" s="46"/>
      <c r="H2241" s="46"/>
    </row>
    <row r="2242" spans="6:8" x14ac:dyDescent="0.25">
      <c r="F2242" s="46"/>
      <c r="G2242" s="46"/>
      <c r="H2242" s="46"/>
    </row>
    <row r="2243" spans="6:8" x14ac:dyDescent="0.25">
      <c r="F2243" s="46"/>
      <c r="G2243" s="46"/>
      <c r="H2243" s="46"/>
    </row>
    <row r="2244" spans="6:8" x14ac:dyDescent="0.25">
      <c r="F2244" s="46"/>
      <c r="G2244" s="46"/>
      <c r="H2244" s="46"/>
    </row>
    <row r="2245" spans="6:8" x14ac:dyDescent="0.25">
      <c r="F2245" s="46"/>
      <c r="G2245" s="46"/>
      <c r="H2245" s="46"/>
    </row>
    <row r="2246" spans="6:8" x14ac:dyDescent="0.25">
      <c r="F2246" s="46"/>
      <c r="G2246" s="46"/>
      <c r="H2246" s="46"/>
    </row>
    <row r="2247" spans="6:8" x14ac:dyDescent="0.25">
      <c r="F2247" s="46"/>
      <c r="G2247" s="46"/>
      <c r="H2247" s="46"/>
    </row>
    <row r="2248" spans="6:8" x14ac:dyDescent="0.25">
      <c r="F2248" s="46"/>
      <c r="G2248" s="46"/>
      <c r="H2248" s="46"/>
    </row>
    <row r="2249" spans="6:8" x14ac:dyDescent="0.25">
      <c r="F2249" s="46"/>
      <c r="G2249" s="46"/>
      <c r="H2249" s="46"/>
    </row>
    <row r="2250" spans="6:8" x14ac:dyDescent="0.25">
      <c r="F2250" s="46"/>
      <c r="G2250" s="46"/>
      <c r="H2250" s="46"/>
    </row>
    <row r="2251" spans="6:8" x14ac:dyDescent="0.25">
      <c r="F2251" s="46"/>
      <c r="G2251" s="46"/>
      <c r="H2251" s="46"/>
    </row>
    <row r="2252" spans="6:8" x14ac:dyDescent="0.25">
      <c r="F2252" s="46"/>
      <c r="G2252" s="46"/>
      <c r="H2252" s="46"/>
    </row>
    <row r="2253" spans="6:8" x14ac:dyDescent="0.25">
      <c r="F2253" s="46"/>
      <c r="G2253" s="46"/>
      <c r="H2253" s="46"/>
    </row>
    <row r="2254" spans="6:8" x14ac:dyDescent="0.25">
      <c r="F2254" s="46"/>
      <c r="G2254" s="46"/>
      <c r="H2254" s="46"/>
    </row>
    <row r="2255" spans="6:8" x14ac:dyDescent="0.25">
      <c r="F2255" s="46"/>
      <c r="G2255" s="46"/>
      <c r="H2255" s="46"/>
    </row>
    <row r="2256" spans="6:8" x14ac:dyDescent="0.25">
      <c r="F2256" s="46"/>
      <c r="G2256" s="46"/>
      <c r="H2256" s="46"/>
    </row>
    <row r="2257" spans="6:8" x14ac:dyDescent="0.25">
      <c r="F2257" s="46"/>
      <c r="G2257" s="46"/>
      <c r="H2257" s="46"/>
    </row>
    <row r="2258" spans="6:8" x14ac:dyDescent="0.25">
      <c r="F2258" s="46"/>
      <c r="G2258" s="46"/>
      <c r="H2258" s="46"/>
    </row>
    <row r="2259" spans="6:8" x14ac:dyDescent="0.25">
      <c r="F2259" s="46"/>
      <c r="G2259" s="46"/>
      <c r="H2259" s="46"/>
    </row>
    <row r="2260" spans="6:8" x14ac:dyDescent="0.25">
      <c r="F2260" s="46"/>
      <c r="G2260" s="46"/>
      <c r="H2260" s="46"/>
    </row>
    <row r="2261" spans="6:8" x14ac:dyDescent="0.25">
      <c r="F2261" s="46"/>
      <c r="G2261" s="46"/>
      <c r="H2261" s="46"/>
    </row>
    <row r="2262" spans="6:8" x14ac:dyDescent="0.25">
      <c r="F2262" s="46"/>
      <c r="G2262" s="46"/>
      <c r="H2262" s="46"/>
    </row>
    <row r="2263" spans="6:8" x14ac:dyDescent="0.25">
      <c r="F2263" s="46"/>
      <c r="G2263" s="46"/>
      <c r="H2263" s="46"/>
    </row>
    <row r="2264" spans="6:8" x14ac:dyDescent="0.25">
      <c r="F2264" s="46"/>
      <c r="G2264" s="46"/>
      <c r="H2264" s="46"/>
    </row>
    <row r="2265" spans="6:8" x14ac:dyDescent="0.25">
      <c r="F2265" s="46"/>
      <c r="G2265" s="46"/>
      <c r="H2265" s="46"/>
    </row>
    <row r="2266" spans="6:8" x14ac:dyDescent="0.25">
      <c r="F2266" s="46"/>
      <c r="G2266" s="46"/>
      <c r="H2266" s="46"/>
    </row>
    <row r="2267" spans="6:8" x14ac:dyDescent="0.25">
      <c r="F2267" s="46"/>
      <c r="G2267" s="46"/>
      <c r="H2267" s="46"/>
    </row>
    <row r="2268" spans="6:8" x14ac:dyDescent="0.25">
      <c r="F2268" s="46"/>
      <c r="G2268" s="46"/>
      <c r="H2268" s="46"/>
    </row>
    <row r="2269" spans="6:8" x14ac:dyDescent="0.25">
      <c r="F2269" s="46"/>
      <c r="G2269" s="46"/>
      <c r="H2269" s="46"/>
    </row>
    <row r="2270" spans="6:8" x14ac:dyDescent="0.25">
      <c r="F2270" s="46"/>
      <c r="G2270" s="46"/>
      <c r="H2270" s="46"/>
    </row>
    <row r="2271" spans="6:8" x14ac:dyDescent="0.25">
      <c r="F2271" s="46"/>
      <c r="G2271" s="46"/>
      <c r="H2271" s="46"/>
    </row>
    <row r="2272" spans="6:8" x14ac:dyDescent="0.25">
      <c r="F2272" s="46"/>
      <c r="G2272" s="46"/>
      <c r="H2272" s="46"/>
    </row>
    <row r="2273" spans="6:8" x14ac:dyDescent="0.25">
      <c r="F2273" s="46"/>
      <c r="G2273" s="46"/>
      <c r="H2273" s="46"/>
    </row>
    <row r="2274" spans="6:8" x14ac:dyDescent="0.25">
      <c r="F2274" s="46"/>
      <c r="G2274" s="46"/>
      <c r="H2274" s="46"/>
    </row>
    <row r="2275" spans="6:8" x14ac:dyDescent="0.25">
      <c r="F2275" s="46"/>
      <c r="G2275" s="46"/>
      <c r="H2275" s="46"/>
    </row>
    <row r="2276" spans="6:8" x14ac:dyDescent="0.25">
      <c r="F2276" s="46"/>
      <c r="G2276" s="46"/>
      <c r="H2276" s="46"/>
    </row>
    <row r="2277" spans="6:8" x14ac:dyDescent="0.25">
      <c r="F2277" s="46"/>
      <c r="G2277" s="46"/>
      <c r="H2277" s="46"/>
    </row>
    <row r="2278" spans="6:8" x14ac:dyDescent="0.25">
      <c r="F2278" s="46"/>
      <c r="G2278" s="46"/>
      <c r="H2278" s="46"/>
    </row>
    <row r="2279" spans="6:8" x14ac:dyDescent="0.25">
      <c r="F2279" s="46"/>
      <c r="G2279" s="46"/>
      <c r="H2279" s="46"/>
    </row>
    <row r="2280" spans="6:8" x14ac:dyDescent="0.25">
      <c r="F2280" s="46"/>
      <c r="G2280" s="46"/>
      <c r="H2280" s="46"/>
    </row>
    <row r="2281" spans="6:8" x14ac:dyDescent="0.25">
      <c r="F2281" s="46"/>
      <c r="G2281" s="46"/>
      <c r="H2281" s="46"/>
    </row>
    <row r="2282" spans="6:8" x14ac:dyDescent="0.25">
      <c r="F2282" s="46"/>
      <c r="G2282" s="46"/>
      <c r="H2282" s="46"/>
    </row>
    <row r="2283" spans="6:8" x14ac:dyDescent="0.25">
      <c r="F2283" s="46"/>
      <c r="G2283" s="46"/>
      <c r="H2283" s="46"/>
    </row>
    <row r="2284" spans="6:8" x14ac:dyDescent="0.25">
      <c r="F2284" s="46"/>
      <c r="G2284" s="46"/>
      <c r="H2284" s="46"/>
    </row>
    <row r="2285" spans="6:8" x14ac:dyDescent="0.25">
      <c r="F2285" s="46"/>
      <c r="G2285" s="46"/>
      <c r="H2285" s="46"/>
    </row>
    <row r="2286" spans="6:8" x14ac:dyDescent="0.25">
      <c r="F2286" s="46"/>
      <c r="G2286" s="46"/>
      <c r="H2286" s="46"/>
    </row>
    <row r="2287" spans="6:8" x14ac:dyDescent="0.25">
      <c r="F2287" s="46"/>
      <c r="G2287" s="46"/>
      <c r="H2287" s="46"/>
    </row>
    <row r="2288" spans="6:8" x14ac:dyDescent="0.25">
      <c r="F2288" s="46"/>
      <c r="G2288" s="46"/>
      <c r="H2288" s="46"/>
    </row>
    <row r="2289" spans="6:8" x14ac:dyDescent="0.25">
      <c r="F2289" s="46"/>
      <c r="G2289" s="46"/>
      <c r="H2289" s="46"/>
    </row>
    <row r="2290" spans="6:8" x14ac:dyDescent="0.25">
      <c r="F2290" s="46"/>
      <c r="G2290" s="46"/>
      <c r="H2290" s="46"/>
    </row>
    <row r="2291" spans="6:8" x14ac:dyDescent="0.25">
      <c r="F2291" s="46"/>
      <c r="G2291" s="46"/>
      <c r="H2291" s="46"/>
    </row>
    <row r="2292" spans="6:8" x14ac:dyDescent="0.25">
      <c r="F2292" s="46"/>
      <c r="G2292" s="46"/>
      <c r="H2292" s="46"/>
    </row>
    <row r="2293" spans="6:8" x14ac:dyDescent="0.25">
      <c r="F2293" s="46"/>
      <c r="G2293" s="46"/>
      <c r="H2293" s="46"/>
    </row>
    <row r="2294" spans="6:8" x14ac:dyDescent="0.25">
      <c r="F2294" s="46"/>
      <c r="G2294" s="46"/>
      <c r="H2294" s="46"/>
    </row>
    <row r="2295" spans="6:8" x14ac:dyDescent="0.25">
      <c r="F2295" s="46"/>
      <c r="G2295" s="46"/>
      <c r="H2295" s="46"/>
    </row>
    <row r="2296" spans="6:8" x14ac:dyDescent="0.25">
      <c r="F2296" s="46"/>
      <c r="G2296" s="46"/>
      <c r="H2296" s="46"/>
    </row>
    <row r="2297" spans="6:8" x14ac:dyDescent="0.25">
      <c r="F2297" s="46"/>
      <c r="G2297" s="46"/>
      <c r="H2297" s="46"/>
    </row>
    <row r="2298" spans="6:8" x14ac:dyDescent="0.25">
      <c r="F2298" s="46"/>
      <c r="G2298" s="46"/>
      <c r="H2298" s="46"/>
    </row>
    <row r="2299" spans="6:8" x14ac:dyDescent="0.25">
      <c r="F2299" s="46"/>
      <c r="G2299" s="46"/>
      <c r="H2299" s="46"/>
    </row>
    <row r="2300" spans="6:8" x14ac:dyDescent="0.25">
      <c r="F2300" s="46"/>
      <c r="G2300" s="46"/>
      <c r="H2300" s="46"/>
    </row>
    <row r="2301" spans="6:8" x14ac:dyDescent="0.25">
      <c r="F2301" s="46"/>
      <c r="G2301" s="46"/>
      <c r="H2301" s="46"/>
    </row>
    <row r="2302" spans="6:8" x14ac:dyDescent="0.25">
      <c r="F2302" s="46"/>
      <c r="G2302" s="46"/>
      <c r="H2302" s="46"/>
    </row>
    <row r="2303" spans="6:8" x14ac:dyDescent="0.25">
      <c r="F2303" s="46"/>
      <c r="G2303" s="46"/>
      <c r="H2303" s="46"/>
    </row>
    <row r="2304" spans="6:8" x14ac:dyDescent="0.25">
      <c r="F2304" s="46"/>
      <c r="G2304" s="46"/>
      <c r="H2304" s="46"/>
    </row>
    <row r="2305" spans="6:8" x14ac:dyDescent="0.25">
      <c r="F2305" s="46"/>
      <c r="G2305" s="46"/>
      <c r="H2305" s="46"/>
    </row>
    <row r="2306" spans="6:8" x14ac:dyDescent="0.25">
      <c r="F2306" s="46"/>
      <c r="G2306" s="46"/>
      <c r="H2306" s="46"/>
    </row>
    <row r="2307" spans="6:8" x14ac:dyDescent="0.25">
      <c r="F2307" s="46"/>
      <c r="G2307" s="46"/>
      <c r="H2307" s="46"/>
    </row>
    <row r="2308" spans="6:8" x14ac:dyDescent="0.25">
      <c r="F2308" s="46"/>
      <c r="G2308" s="46"/>
      <c r="H2308" s="46"/>
    </row>
    <row r="2309" spans="6:8" x14ac:dyDescent="0.25">
      <c r="F2309" s="46"/>
      <c r="G2309" s="46"/>
      <c r="H2309" s="46"/>
    </row>
    <row r="2310" spans="6:8" x14ac:dyDescent="0.25">
      <c r="F2310" s="46"/>
      <c r="G2310" s="46"/>
      <c r="H2310" s="46"/>
    </row>
    <row r="2311" spans="6:8" x14ac:dyDescent="0.25">
      <c r="F2311" s="46"/>
      <c r="G2311" s="46"/>
      <c r="H2311" s="46"/>
    </row>
    <row r="2312" spans="6:8" x14ac:dyDescent="0.25">
      <c r="F2312" s="46"/>
      <c r="G2312" s="46"/>
      <c r="H2312" s="46"/>
    </row>
    <row r="2313" spans="6:8" x14ac:dyDescent="0.25">
      <c r="F2313" s="46"/>
      <c r="G2313" s="46"/>
      <c r="H2313" s="46"/>
    </row>
    <row r="2314" spans="6:8" x14ac:dyDescent="0.25">
      <c r="F2314" s="46"/>
      <c r="G2314" s="46"/>
      <c r="H2314" s="46"/>
    </row>
    <row r="2315" spans="6:8" x14ac:dyDescent="0.25">
      <c r="F2315" s="46"/>
      <c r="G2315" s="46"/>
      <c r="H2315" s="46"/>
    </row>
    <row r="2316" spans="6:8" x14ac:dyDescent="0.25">
      <c r="F2316" s="46"/>
      <c r="G2316" s="46"/>
      <c r="H2316" s="46"/>
    </row>
    <row r="2317" spans="6:8" x14ac:dyDescent="0.25">
      <c r="F2317" s="46"/>
      <c r="G2317" s="46"/>
      <c r="H2317" s="46"/>
    </row>
    <row r="2318" spans="6:8" x14ac:dyDescent="0.25">
      <c r="F2318" s="46"/>
      <c r="G2318" s="46"/>
      <c r="H2318" s="46"/>
    </row>
    <row r="2319" spans="6:8" x14ac:dyDescent="0.25">
      <c r="F2319" s="46"/>
      <c r="G2319" s="46"/>
      <c r="H2319" s="46"/>
    </row>
    <row r="2320" spans="6:8" x14ac:dyDescent="0.25">
      <c r="F2320" s="46"/>
      <c r="G2320" s="46"/>
      <c r="H2320" s="46"/>
    </row>
    <row r="2321" spans="6:8" x14ac:dyDescent="0.25">
      <c r="F2321" s="46"/>
      <c r="G2321" s="46"/>
      <c r="H2321" s="46"/>
    </row>
    <row r="2322" spans="6:8" x14ac:dyDescent="0.25">
      <c r="F2322" s="46"/>
      <c r="G2322" s="46"/>
      <c r="H2322" s="46"/>
    </row>
    <row r="2323" spans="6:8" x14ac:dyDescent="0.25">
      <c r="F2323" s="46"/>
      <c r="G2323" s="46"/>
      <c r="H2323" s="46"/>
    </row>
    <row r="2324" spans="6:8" x14ac:dyDescent="0.25">
      <c r="F2324" s="46"/>
      <c r="G2324" s="46"/>
      <c r="H2324" s="46"/>
    </row>
    <row r="2325" spans="6:8" x14ac:dyDescent="0.25">
      <c r="F2325" s="46"/>
      <c r="G2325" s="46"/>
      <c r="H2325" s="46"/>
    </row>
    <row r="2326" spans="6:8" x14ac:dyDescent="0.25">
      <c r="F2326" s="46"/>
      <c r="G2326" s="46"/>
      <c r="H2326" s="46"/>
    </row>
    <row r="2327" spans="6:8" x14ac:dyDescent="0.25">
      <c r="F2327" s="46"/>
      <c r="G2327" s="46"/>
      <c r="H2327" s="46"/>
    </row>
    <row r="2328" spans="6:8" x14ac:dyDescent="0.25">
      <c r="F2328" s="46"/>
      <c r="G2328" s="46"/>
      <c r="H2328" s="46"/>
    </row>
    <row r="2329" spans="6:8" x14ac:dyDescent="0.25">
      <c r="F2329" s="46"/>
      <c r="G2329" s="46"/>
      <c r="H2329" s="46"/>
    </row>
    <row r="2330" spans="6:8" x14ac:dyDescent="0.25">
      <c r="F2330" s="46"/>
      <c r="G2330" s="46"/>
      <c r="H2330" s="46"/>
    </row>
    <row r="2331" spans="6:8" x14ac:dyDescent="0.25">
      <c r="F2331" s="46"/>
      <c r="G2331" s="46"/>
      <c r="H2331" s="46"/>
    </row>
    <row r="2332" spans="6:8" x14ac:dyDescent="0.25">
      <c r="F2332" s="46"/>
      <c r="G2332" s="46"/>
      <c r="H2332" s="46"/>
    </row>
    <row r="2333" spans="6:8" x14ac:dyDescent="0.25">
      <c r="F2333" s="46"/>
      <c r="G2333" s="46"/>
      <c r="H2333" s="46"/>
    </row>
    <row r="2334" spans="6:8" x14ac:dyDescent="0.25">
      <c r="F2334" s="46"/>
      <c r="G2334" s="46"/>
      <c r="H2334" s="46"/>
    </row>
    <row r="2335" spans="6:8" x14ac:dyDescent="0.25">
      <c r="F2335" s="46"/>
      <c r="G2335" s="46"/>
      <c r="H2335" s="46"/>
    </row>
    <row r="2336" spans="6:8" x14ac:dyDescent="0.25">
      <c r="F2336" s="46"/>
      <c r="G2336" s="46"/>
      <c r="H2336" s="46"/>
    </row>
    <row r="2337" spans="6:8" x14ac:dyDescent="0.25">
      <c r="F2337" s="46"/>
      <c r="G2337" s="46"/>
      <c r="H2337" s="46"/>
    </row>
    <row r="2338" spans="6:8" x14ac:dyDescent="0.25">
      <c r="F2338" s="46"/>
      <c r="G2338" s="46"/>
      <c r="H2338" s="46"/>
    </row>
    <row r="2339" spans="6:8" x14ac:dyDescent="0.25">
      <c r="F2339" s="46"/>
      <c r="G2339" s="46"/>
      <c r="H2339" s="46"/>
    </row>
    <row r="2340" spans="6:8" x14ac:dyDescent="0.25">
      <c r="F2340" s="46"/>
      <c r="G2340" s="46"/>
      <c r="H2340" s="46"/>
    </row>
    <row r="2341" spans="6:8" x14ac:dyDescent="0.25">
      <c r="F2341" s="46"/>
      <c r="G2341" s="46"/>
      <c r="H2341" s="46"/>
    </row>
    <row r="2342" spans="6:8" x14ac:dyDescent="0.25">
      <c r="F2342" s="46"/>
      <c r="G2342" s="46"/>
      <c r="H2342" s="46"/>
    </row>
    <row r="2343" spans="6:8" x14ac:dyDescent="0.25">
      <c r="F2343" s="46"/>
      <c r="G2343" s="46"/>
      <c r="H2343" s="46"/>
    </row>
    <row r="2344" spans="6:8" x14ac:dyDescent="0.25">
      <c r="F2344" s="46"/>
      <c r="G2344" s="46"/>
      <c r="H2344" s="46"/>
    </row>
    <row r="2345" spans="6:8" x14ac:dyDescent="0.25">
      <c r="F2345" s="46"/>
      <c r="G2345" s="46"/>
      <c r="H2345" s="46"/>
    </row>
    <row r="2346" spans="6:8" x14ac:dyDescent="0.25">
      <c r="F2346" s="46"/>
      <c r="G2346" s="46"/>
      <c r="H2346" s="46"/>
    </row>
    <row r="2347" spans="6:8" x14ac:dyDescent="0.25">
      <c r="F2347" s="46"/>
      <c r="G2347" s="46"/>
      <c r="H2347" s="46"/>
    </row>
    <row r="2348" spans="6:8" x14ac:dyDescent="0.25">
      <c r="F2348" s="46"/>
      <c r="G2348" s="46"/>
      <c r="H2348" s="46"/>
    </row>
    <row r="2349" spans="6:8" x14ac:dyDescent="0.25">
      <c r="F2349" s="46"/>
      <c r="G2349" s="46"/>
      <c r="H2349" s="46"/>
    </row>
    <row r="2350" spans="6:8" x14ac:dyDescent="0.25">
      <c r="F2350" s="46"/>
      <c r="G2350" s="46"/>
      <c r="H2350" s="46"/>
    </row>
    <row r="2351" spans="6:8" x14ac:dyDescent="0.25">
      <c r="F2351" s="46"/>
      <c r="G2351" s="46"/>
      <c r="H2351" s="46"/>
    </row>
    <row r="2352" spans="6:8" x14ac:dyDescent="0.25">
      <c r="F2352" s="46"/>
      <c r="G2352" s="46"/>
      <c r="H2352" s="46"/>
    </row>
    <row r="2353" spans="6:8" x14ac:dyDescent="0.25">
      <c r="F2353" s="46"/>
      <c r="G2353" s="46"/>
      <c r="H2353" s="46"/>
    </row>
    <row r="2354" spans="6:8" x14ac:dyDescent="0.25">
      <c r="F2354" s="46"/>
      <c r="G2354" s="46"/>
      <c r="H2354" s="46"/>
    </row>
    <row r="2355" spans="6:8" x14ac:dyDescent="0.25">
      <c r="F2355" s="46"/>
      <c r="G2355" s="46"/>
      <c r="H2355" s="46"/>
    </row>
    <row r="2356" spans="6:8" x14ac:dyDescent="0.25">
      <c r="F2356" s="46"/>
      <c r="G2356" s="46"/>
      <c r="H2356" s="46"/>
    </row>
    <row r="2357" spans="6:8" x14ac:dyDescent="0.25">
      <c r="F2357" s="46"/>
      <c r="G2357" s="46"/>
      <c r="H2357" s="46"/>
    </row>
    <row r="2358" spans="6:8" x14ac:dyDescent="0.25">
      <c r="F2358" s="46"/>
      <c r="G2358" s="46"/>
      <c r="H2358" s="46"/>
    </row>
    <row r="2359" spans="6:8" x14ac:dyDescent="0.25">
      <c r="F2359" s="46"/>
      <c r="G2359" s="46"/>
      <c r="H2359" s="46"/>
    </row>
    <row r="2360" spans="6:8" x14ac:dyDescent="0.25">
      <c r="F2360" s="46"/>
      <c r="G2360" s="46"/>
      <c r="H2360" s="46"/>
    </row>
    <row r="2361" spans="6:8" x14ac:dyDescent="0.25">
      <c r="F2361" s="46"/>
      <c r="G2361" s="46"/>
      <c r="H2361" s="46"/>
    </row>
    <row r="2362" spans="6:8" x14ac:dyDescent="0.25">
      <c r="F2362" s="46"/>
      <c r="G2362" s="46"/>
      <c r="H2362" s="46"/>
    </row>
    <row r="2363" spans="6:8" x14ac:dyDescent="0.25">
      <c r="F2363" s="46"/>
      <c r="G2363" s="46"/>
      <c r="H2363" s="46"/>
    </row>
    <row r="2364" spans="6:8" x14ac:dyDescent="0.25">
      <c r="F2364" s="46"/>
      <c r="G2364" s="46"/>
      <c r="H2364" s="46"/>
    </row>
    <row r="2365" spans="6:8" x14ac:dyDescent="0.25">
      <c r="F2365" s="46"/>
      <c r="G2365" s="46"/>
      <c r="H2365" s="46"/>
    </row>
    <row r="2366" spans="6:8" x14ac:dyDescent="0.25">
      <c r="F2366" s="46"/>
      <c r="G2366" s="46"/>
      <c r="H2366" s="46"/>
    </row>
    <row r="2367" spans="6:8" x14ac:dyDescent="0.25">
      <c r="F2367" s="46"/>
      <c r="G2367" s="46"/>
      <c r="H2367" s="46"/>
    </row>
    <row r="2368" spans="6:8" x14ac:dyDescent="0.25">
      <c r="F2368" s="46"/>
      <c r="G2368" s="46"/>
      <c r="H2368" s="46"/>
    </row>
    <row r="2369" spans="6:8" x14ac:dyDescent="0.25">
      <c r="F2369" s="46"/>
      <c r="G2369" s="46"/>
      <c r="H2369" s="46"/>
    </row>
    <row r="2370" spans="6:8" x14ac:dyDescent="0.25">
      <c r="F2370" s="46"/>
      <c r="G2370" s="46"/>
      <c r="H2370" s="46"/>
    </row>
    <row r="2371" spans="6:8" x14ac:dyDescent="0.25">
      <c r="F2371" s="46"/>
      <c r="G2371" s="46"/>
      <c r="H2371" s="46"/>
    </row>
    <row r="2372" spans="6:8" x14ac:dyDescent="0.25">
      <c r="F2372" s="46"/>
      <c r="G2372" s="46"/>
      <c r="H2372" s="46"/>
    </row>
    <row r="2373" spans="6:8" x14ac:dyDescent="0.25">
      <c r="F2373" s="46"/>
      <c r="G2373" s="46"/>
      <c r="H2373" s="46"/>
    </row>
    <row r="2374" spans="6:8" x14ac:dyDescent="0.25">
      <c r="F2374" s="46"/>
      <c r="G2374" s="46"/>
      <c r="H2374" s="46"/>
    </row>
    <row r="2375" spans="6:8" x14ac:dyDescent="0.25">
      <c r="F2375" s="46"/>
      <c r="G2375" s="46"/>
      <c r="H2375" s="46"/>
    </row>
    <row r="2376" spans="6:8" x14ac:dyDescent="0.25">
      <c r="F2376" s="46"/>
      <c r="G2376" s="46"/>
      <c r="H2376" s="46"/>
    </row>
    <row r="2377" spans="6:8" x14ac:dyDescent="0.25">
      <c r="F2377" s="46"/>
      <c r="G2377" s="46"/>
      <c r="H2377" s="46"/>
    </row>
    <row r="2378" spans="6:8" x14ac:dyDescent="0.25">
      <c r="F2378" s="46"/>
      <c r="G2378" s="46"/>
      <c r="H2378" s="46"/>
    </row>
    <row r="2379" spans="6:8" x14ac:dyDescent="0.25">
      <c r="F2379" s="46"/>
      <c r="G2379" s="46"/>
      <c r="H2379" s="46"/>
    </row>
    <row r="2380" spans="6:8" x14ac:dyDescent="0.25">
      <c r="F2380" s="46"/>
      <c r="G2380" s="46"/>
      <c r="H2380" s="46"/>
    </row>
    <row r="2381" spans="6:8" x14ac:dyDescent="0.25">
      <c r="F2381" s="46"/>
      <c r="G2381" s="46"/>
      <c r="H2381" s="46"/>
    </row>
    <row r="2382" spans="6:8" x14ac:dyDescent="0.25">
      <c r="F2382" s="46"/>
      <c r="G2382" s="46"/>
      <c r="H2382" s="46"/>
    </row>
    <row r="2383" spans="6:8" x14ac:dyDescent="0.25">
      <c r="F2383" s="46"/>
      <c r="G2383" s="46"/>
      <c r="H2383" s="46"/>
    </row>
    <row r="2384" spans="6:8" x14ac:dyDescent="0.25">
      <c r="F2384" s="46"/>
      <c r="G2384" s="46"/>
      <c r="H2384" s="46"/>
    </row>
    <row r="2385" spans="6:8" x14ac:dyDescent="0.25">
      <c r="F2385" s="46"/>
      <c r="G2385" s="46"/>
      <c r="H2385" s="46"/>
    </row>
    <row r="2386" spans="6:8" x14ac:dyDescent="0.25">
      <c r="F2386" s="46"/>
      <c r="G2386" s="46"/>
      <c r="H2386" s="46"/>
    </row>
    <row r="2387" spans="6:8" x14ac:dyDescent="0.25">
      <c r="F2387" s="46"/>
      <c r="G2387" s="46"/>
      <c r="H2387" s="46"/>
    </row>
    <row r="2388" spans="6:8" x14ac:dyDescent="0.25">
      <c r="F2388" s="46"/>
      <c r="G2388" s="46"/>
      <c r="H2388" s="46"/>
    </row>
    <row r="2389" spans="6:8" x14ac:dyDescent="0.25">
      <c r="F2389" s="46"/>
      <c r="G2389" s="46"/>
      <c r="H2389" s="46"/>
    </row>
    <row r="2390" spans="6:8" x14ac:dyDescent="0.25">
      <c r="F2390" s="46"/>
      <c r="G2390" s="46"/>
      <c r="H2390" s="46"/>
    </row>
    <row r="2391" spans="6:8" x14ac:dyDescent="0.25">
      <c r="F2391" s="46"/>
      <c r="G2391" s="46"/>
      <c r="H2391" s="46"/>
    </row>
    <row r="2392" spans="6:8" x14ac:dyDescent="0.25">
      <c r="F2392" s="46"/>
      <c r="G2392" s="46"/>
      <c r="H2392" s="46"/>
    </row>
    <row r="2393" spans="6:8" x14ac:dyDescent="0.25">
      <c r="F2393" s="46"/>
      <c r="G2393" s="46"/>
      <c r="H2393" s="46"/>
    </row>
    <row r="2394" spans="6:8" x14ac:dyDescent="0.25">
      <c r="F2394" s="46"/>
      <c r="G2394" s="46"/>
      <c r="H2394" s="46"/>
    </row>
    <row r="2395" spans="6:8" x14ac:dyDescent="0.25">
      <c r="F2395" s="46"/>
      <c r="G2395" s="46"/>
      <c r="H2395" s="46"/>
    </row>
    <row r="2396" spans="6:8" x14ac:dyDescent="0.25">
      <c r="F2396" s="46"/>
      <c r="G2396" s="46"/>
      <c r="H2396" s="46"/>
    </row>
    <row r="2397" spans="6:8" x14ac:dyDescent="0.25">
      <c r="F2397" s="46"/>
      <c r="G2397" s="46"/>
      <c r="H2397" s="46"/>
    </row>
    <row r="2398" spans="6:8" x14ac:dyDescent="0.25">
      <c r="F2398" s="46"/>
      <c r="G2398" s="46"/>
      <c r="H2398" s="46"/>
    </row>
    <row r="2399" spans="6:8" x14ac:dyDescent="0.25">
      <c r="F2399" s="46"/>
      <c r="G2399" s="46"/>
      <c r="H2399" s="46"/>
    </row>
    <row r="2400" spans="6:8" x14ac:dyDescent="0.25">
      <c r="F2400" s="46"/>
      <c r="G2400" s="46"/>
      <c r="H2400" s="46"/>
    </row>
    <row r="2401" spans="6:8" x14ac:dyDescent="0.25">
      <c r="F2401" s="46"/>
      <c r="G2401" s="46"/>
      <c r="H2401" s="46"/>
    </row>
    <row r="2402" spans="6:8" x14ac:dyDescent="0.25">
      <c r="F2402" s="46"/>
      <c r="G2402" s="46"/>
      <c r="H2402" s="46"/>
    </row>
    <row r="2403" spans="6:8" x14ac:dyDescent="0.25">
      <c r="F2403" s="46"/>
      <c r="G2403" s="46"/>
      <c r="H2403" s="46"/>
    </row>
    <row r="2404" spans="6:8" x14ac:dyDescent="0.25">
      <c r="F2404" s="46"/>
      <c r="G2404" s="46"/>
      <c r="H2404" s="46"/>
    </row>
    <row r="2405" spans="6:8" x14ac:dyDescent="0.25">
      <c r="F2405" s="46"/>
      <c r="G2405" s="46"/>
      <c r="H2405" s="46"/>
    </row>
    <row r="2406" spans="6:8" x14ac:dyDescent="0.25">
      <c r="F2406" s="46"/>
      <c r="G2406" s="46"/>
      <c r="H2406" s="46"/>
    </row>
    <row r="2407" spans="6:8" x14ac:dyDescent="0.25">
      <c r="F2407" s="46"/>
      <c r="G2407" s="46"/>
      <c r="H2407" s="46"/>
    </row>
    <row r="2408" spans="6:8" x14ac:dyDescent="0.25">
      <c r="F2408" s="46"/>
      <c r="G2408" s="46"/>
      <c r="H2408" s="46"/>
    </row>
    <row r="2409" spans="6:8" x14ac:dyDescent="0.25">
      <c r="F2409" s="46"/>
      <c r="G2409" s="46"/>
      <c r="H2409" s="46"/>
    </row>
    <row r="2410" spans="6:8" x14ac:dyDescent="0.25">
      <c r="F2410" s="46"/>
      <c r="G2410" s="46"/>
      <c r="H2410" s="46"/>
    </row>
    <row r="2411" spans="6:8" x14ac:dyDescent="0.25">
      <c r="F2411" s="46"/>
      <c r="G2411" s="46"/>
      <c r="H2411" s="46"/>
    </row>
    <row r="2412" spans="6:8" x14ac:dyDescent="0.25">
      <c r="F2412" s="46"/>
      <c r="G2412" s="46"/>
      <c r="H2412" s="46"/>
    </row>
    <row r="2413" spans="6:8" x14ac:dyDescent="0.25">
      <c r="F2413" s="46"/>
      <c r="G2413" s="46"/>
      <c r="H2413" s="46"/>
    </row>
    <row r="2414" spans="6:8" x14ac:dyDescent="0.25">
      <c r="F2414" s="46"/>
      <c r="G2414" s="46"/>
      <c r="H2414" s="46"/>
    </row>
    <row r="2415" spans="6:8" x14ac:dyDescent="0.25">
      <c r="F2415" s="46"/>
      <c r="G2415" s="46"/>
      <c r="H2415" s="46"/>
    </row>
    <row r="2416" spans="6:8" x14ac:dyDescent="0.25">
      <c r="F2416" s="46"/>
      <c r="G2416" s="46"/>
      <c r="H2416" s="46"/>
    </row>
    <row r="2417" spans="6:8" x14ac:dyDescent="0.25">
      <c r="F2417" s="46"/>
      <c r="G2417" s="46"/>
      <c r="H2417" s="46"/>
    </row>
    <row r="2418" spans="6:8" x14ac:dyDescent="0.25">
      <c r="F2418" s="46"/>
      <c r="G2418" s="46"/>
      <c r="H2418" s="46"/>
    </row>
    <row r="2419" spans="6:8" x14ac:dyDescent="0.25">
      <c r="F2419" s="46"/>
      <c r="G2419" s="46"/>
      <c r="H2419" s="46"/>
    </row>
    <row r="2420" spans="6:8" x14ac:dyDescent="0.25">
      <c r="F2420" s="46"/>
      <c r="G2420" s="46"/>
      <c r="H2420" s="46"/>
    </row>
    <row r="2421" spans="6:8" x14ac:dyDescent="0.25">
      <c r="F2421" s="46"/>
      <c r="G2421" s="46"/>
      <c r="H2421" s="46"/>
    </row>
    <row r="2422" spans="6:8" x14ac:dyDescent="0.25">
      <c r="F2422" s="46"/>
      <c r="G2422" s="46"/>
      <c r="H2422" s="46"/>
    </row>
    <row r="2423" spans="6:8" x14ac:dyDescent="0.25">
      <c r="F2423" s="46"/>
      <c r="G2423" s="46"/>
      <c r="H2423" s="46"/>
    </row>
    <row r="2424" spans="6:8" x14ac:dyDescent="0.25">
      <c r="F2424" s="46"/>
      <c r="G2424" s="46"/>
      <c r="H2424" s="46"/>
    </row>
    <row r="2425" spans="6:8" x14ac:dyDescent="0.25">
      <c r="F2425" s="46"/>
      <c r="G2425" s="46"/>
      <c r="H2425" s="46"/>
    </row>
    <row r="2426" spans="6:8" x14ac:dyDescent="0.25">
      <c r="F2426" s="46"/>
      <c r="G2426" s="46"/>
      <c r="H2426" s="46"/>
    </row>
    <row r="2427" spans="6:8" x14ac:dyDescent="0.25">
      <c r="F2427" s="46"/>
      <c r="G2427" s="46"/>
      <c r="H2427" s="46"/>
    </row>
    <row r="2428" spans="6:8" x14ac:dyDescent="0.25">
      <c r="F2428" s="46"/>
      <c r="G2428" s="46"/>
      <c r="H2428" s="46"/>
    </row>
    <row r="2429" spans="6:8" x14ac:dyDescent="0.25">
      <c r="F2429" s="46"/>
      <c r="G2429" s="46"/>
      <c r="H2429" s="46"/>
    </row>
    <row r="2430" spans="6:8" x14ac:dyDescent="0.25">
      <c r="F2430" s="46"/>
      <c r="G2430" s="46"/>
      <c r="H2430" s="46"/>
    </row>
    <row r="2431" spans="6:8" x14ac:dyDescent="0.25">
      <c r="F2431" s="46"/>
      <c r="G2431" s="46"/>
      <c r="H2431" s="46"/>
    </row>
    <row r="2432" spans="6:8" x14ac:dyDescent="0.25">
      <c r="F2432" s="46"/>
      <c r="G2432" s="46"/>
      <c r="H2432" s="46"/>
    </row>
    <row r="2433" spans="6:8" x14ac:dyDescent="0.25">
      <c r="F2433" s="46"/>
      <c r="G2433" s="46"/>
      <c r="H2433" s="46"/>
    </row>
    <row r="2434" spans="6:8" x14ac:dyDescent="0.25">
      <c r="F2434" s="46"/>
      <c r="G2434" s="46"/>
      <c r="H2434" s="46"/>
    </row>
    <row r="2435" spans="6:8" x14ac:dyDescent="0.25">
      <c r="F2435" s="46"/>
      <c r="G2435" s="46"/>
      <c r="H2435" s="46"/>
    </row>
    <row r="2436" spans="6:8" x14ac:dyDescent="0.25">
      <c r="F2436" s="46"/>
      <c r="G2436" s="46"/>
      <c r="H2436" s="46"/>
    </row>
    <row r="2437" spans="6:8" x14ac:dyDescent="0.25">
      <c r="F2437" s="46"/>
      <c r="G2437" s="46"/>
      <c r="H2437" s="46"/>
    </row>
    <row r="2438" spans="6:8" x14ac:dyDescent="0.25">
      <c r="F2438" s="46"/>
      <c r="G2438" s="46"/>
      <c r="H2438" s="46"/>
    </row>
    <row r="2439" spans="6:8" x14ac:dyDescent="0.25">
      <c r="F2439" s="46"/>
      <c r="G2439" s="46"/>
      <c r="H2439" s="46"/>
    </row>
    <row r="2440" spans="6:8" x14ac:dyDescent="0.25">
      <c r="F2440" s="46"/>
      <c r="G2440" s="46"/>
      <c r="H2440" s="46"/>
    </row>
    <row r="2441" spans="6:8" x14ac:dyDescent="0.25">
      <c r="F2441" s="46"/>
      <c r="G2441" s="46"/>
      <c r="H2441" s="46"/>
    </row>
    <row r="2442" spans="6:8" x14ac:dyDescent="0.25">
      <c r="F2442" s="46"/>
      <c r="G2442" s="46"/>
      <c r="H2442" s="46"/>
    </row>
    <row r="2443" spans="6:8" x14ac:dyDescent="0.25">
      <c r="F2443" s="46"/>
      <c r="G2443" s="46"/>
      <c r="H2443" s="46"/>
    </row>
    <row r="2444" spans="6:8" x14ac:dyDescent="0.25">
      <c r="F2444" s="46"/>
      <c r="G2444" s="46"/>
      <c r="H2444" s="46"/>
    </row>
    <row r="2445" spans="6:8" x14ac:dyDescent="0.25">
      <c r="F2445" s="46"/>
      <c r="G2445" s="46"/>
      <c r="H2445" s="46"/>
    </row>
    <row r="2446" spans="6:8" x14ac:dyDescent="0.25">
      <c r="F2446" s="46"/>
      <c r="G2446" s="46"/>
      <c r="H2446" s="46"/>
    </row>
    <row r="2447" spans="6:8" x14ac:dyDescent="0.25">
      <c r="F2447" s="46"/>
      <c r="G2447" s="46"/>
      <c r="H2447" s="46"/>
    </row>
    <row r="2448" spans="6:8" x14ac:dyDescent="0.25">
      <c r="F2448" s="46"/>
      <c r="G2448" s="46"/>
      <c r="H2448" s="46"/>
    </row>
    <row r="2449" spans="6:8" x14ac:dyDescent="0.25">
      <c r="F2449" s="46"/>
      <c r="G2449" s="46"/>
      <c r="H2449" s="46"/>
    </row>
    <row r="2450" spans="6:8" x14ac:dyDescent="0.25">
      <c r="F2450" s="46"/>
      <c r="G2450" s="46"/>
      <c r="H2450" s="46"/>
    </row>
    <row r="2451" spans="6:8" x14ac:dyDescent="0.25">
      <c r="F2451" s="46"/>
      <c r="G2451" s="46"/>
      <c r="H2451" s="46"/>
    </row>
    <row r="2452" spans="6:8" x14ac:dyDescent="0.25">
      <c r="F2452" s="46"/>
      <c r="G2452" s="46"/>
      <c r="H2452" s="46"/>
    </row>
    <row r="2453" spans="6:8" x14ac:dyDescent="0.25">
      <c r="F2453" s="46"/>
      <c r="G2453" s="46"/>
      <c r="H2453" s="46"/>
    </row>
    <row r="2454" spans="6:8" x14ac:dyDescent="0.25">
      <c r="F2454" s="46"/>
      <c r="G2454" s="46"/>
      <c r="H2454" s="46"/>
    </row>
    <row r="2455" spans="6:8" x14ac:dyDescent="0.25">
      <c r="F2455" s="46"/>
      <c r="G2455" s="46"/>
      <c r="H2455" s="46"/>
    </row>
    <row r="2456" spans="6:8" x14ac:dyDescent="0.25">
      <c r="F2456" s="46"/>
      <c r="G2456" s="46"/>
      <c r="H2456" s="46"/>
    </row>
    <row r="2457" spans="6:8" x14ac:dyDescent="0.25">
      <c r="F2457" s="46"/>
      <c r="G2457" s="46"/>
      <c r="H2457" s="46"/>
    </row>
    <row r="2458" spans="6:8" x14ac:dyDescent="0.25">
      <c r="F2458" s="46"/>
      <c r="G2458" s="46"/>
      <c r="H2458" s="46"/>
    </row>
    <row r="2459" spans="6:8" x14ac:dyDescent="0.25">
      <c r="F2459" s="46"/>
      <c r="G2459" s="46"/>
      <c r="H2459" s="46"/>
    </row>
    <row r="2460" spans="6:8" x14ac:dyDescent="0.25">
      <c r="F2460" s="46"/>
      <c r="G2460" s="46"/>
      <c r="H2460" s="46"/>
    </row>
    <row r="2461" spans="6:8" x14ac:dyDescent="0.25">
      <c r="F2461" s="46"/>
      <c r="G2461" s="46"/>
      <c r="H2461" s="46"/>
    </row>
    <row r="2462" spans="6:8" x14ac:dyDescent="0.25">
      <c r="F2462" s="46"/>
      <c r="G2462" s="46"/>
      <c r="H2462" s="46"/>
    </row>
    <row r="2463" spans="6:8" x14ac:dyDescent="0.25">
      <c r="F2463" s="46"/>
      <c r="G2463" s="46"/>
      <c r="H2463" s="46"/>
    </row>
    <row r="2464" spans="6:8" x14ac:dyDescent="0.25">
      <c r="F2464" s="46"/>
      <c r="G2464" s="46"/>
      <c r="H2464" s="46"/>
    </row>
    <row r="2465" spans="6:8" x14ac:dyDescent="0.25">
      <c r="F2465" s="46"/>
      <c r="G2465" s="46"/>
      <c r="H2465" s="46"/>
    </row>
    <row r="2466" spans="6:8" x14ac:dyDescent="0.25">
      <c r="F2466" s="46"/>
      <c r="G2466" s="46"/>
      <c r="H2466" s="46"/>
    </row>
    <row r="2467" spans="6:8" x14ac:dyDescent="0.25">
      <c r="F2467" s="46"/>
      <c r="G2467" s="46"/>
      <c r="H2467" s="46"/>
    </row>
    <row r="2468" spans="6:8" x14ac:dyDescent="0.25">
      <c r="F2468" s="46"/>
      <c r="G2468" s="46"/>
      <c r="H2468" s="46"/>
    </row>
    <row r="2469" spans="6:8" x14ac:dyDescent="0.25">
      <c r="F2469" s="46"/>
      <c r="G2469" s="46"/>
      <c r="H2469" s="46"/>
    </row>
    <row r="2470" spans="6:8" x14ac:dyDescent="0.25">
      <c r="F2470" s="46"/>
      <c r="G2470" s="46"/>
      <c r="H2470" s="46"/>
    </row>
    <row r="2471" spans="6:8" x14ac:dyDescent="0.25">
      <c r="F2471" s="46"/>
      <c r="G2471" s="46"/>
      <c r="H2471" s="46"/>
    </row>
    <row r="2472" spans="6:8" x14ac:dyDescent="0.25">
      <c r="F2472" s="46"/>
      <c r="G2472" s="46"/>
      <c r="H2472" s="46"/>
    </row>
    <row r="2473" spans="6:8" x14ac:dyDescent="0.25">
      <c r="F2473" s="46"/>
      <c r="G2473" s="46"/>
      <c r="H2473" s="46"/>
    </row>
    <row r="2474" spans="6:8" x14ac:dyDescent="0.25">
      <c r="F2474" s="46"/>
      <c r="G2474" s="46"/>
      <c r="H2474" s="46"/>
    </row>
    <row r="2475" spans="6:8" x14ac:dyDescent="0.25">
      <c r="F2475" s="46"/>
      <c r="G2475" s="46"/>
      <c r="H2475" s="46"/>
    </row>
    <row r="2476" spans="6:8" x14ac:dyDescent="0.25">
      <c r="F2476" s="46"/>
      <c r="G2476" s="46"/>
      <c r="H2476" s="46"/>
    </row>
    <row r="2477" spans="6:8" x14ac:dyDescent="0.25">
      <c r="F2477" s="46"/>
      <c r="G2477" s="46"/>
      <c r="H2477" s="46"/>
    </row>
    <row r="2478" spans="6:8" x14ac:dyDescent="0.25">
      <c r="F2478" s="46"/>
      <c r="G2478" s="46"/>
      <c r="H2478" s="46"/>
    </row>
    <row r="2479" spans="6:8" x14ac:dyDescent="0.25">
      <c r="F2479" s="46"/>
      <c r="G2479" s="46"/>
      <c r="H2479" s="46"/>
    </row>
    <row r="2480" spans="6:8" x14ac:dyDescent="0.25">
      <c r="F2480" s="46"/>
      <c r="G2480" s="46"/>
      <c r="H2480" s="46"/>
    </row>
    <row r="2481" spans="6:8" x14ac:dyDescent="0.25">
      <c r="F2481" s="46"/>
      <c r="G2481" s="46"/>
      <c r="H2481" s="46"/>
    </row>
    <row r="2482" spans="6:8" x14ac:dyDescent="0.25">
      <c r="F2482" s="46"/>
      <c r="G2482" s="46"/>
      <c r="H2482" s="46"/>
    </row>
    <row r="2483" spans="6:8" x14ac:dyDescent="0.25">
      <c r="F2483" s="46"/>
      <c r="G2483" s="46"/>
      <c r="H2483" s="46"/>
    </row>
    <row r="2484" spans="6:8" x14ac:dyDescent="0.25">
      <c r="F2484" s="46"/>
      <c r="G2484" s="46"/>
      <c r="H2484" s="46"/>
    </row>
    <row r="2485" spans="6:8" x14ac:dyDescent="0.25">
      <c r="F2485" s="46"/>
      <c r="G2485" s="46"/>
      <c r="H2485" s="46"/>
    </row>
    <row r="2486" spans="6:8" x14ac:dyDescent="0.25">
      <c r="F2486" s="46"/>
      <c r="G2486" s="46"/>
      <c r="H2486" s="46"/>
    </row>
    <row r="2487" spans="6:8" x14ac:dyDescent="0.25">
      <c r="F2487" s="46"/>
      <c r="G2487" s="46"/>
      <c r="H2487" s="46"/>
    </row>
    <row r="2488" spans="6:8" x14ac:dyDescent="0.25">
      <c r="F2488" s="46"/>
      <c r="G2488" s="46"/>
      <c r="H2488" s="46"/>
    </row>
    <row r="2489" spans="6:8" x14ac:dyDescent="0.25">
      <c r="F2489" s="46"/>
      <c r="G2489" s="46"/>
      <c r="H2489" s="46"/>
    </row>
    <row r="2490" spans="6:8" x14ac:dyDescent="0.25">
      <c r="F2490" s="46"/>
      <c r="G2490" s="46"/>
      <c r="H2490" s="46"/>
    </row>
    <row r="2491" spans="6:8" x14ac:dyDescent="0.25">
      <c r="F2491" s="46"/>
      <c r="G2491" s="46"/>
      <c r="H2491" s="46"/>
    </row>
    <row r="2492" spans="6:8" x14ac:dyDescent="0.25">
      <c r="F2492" s="46"/>
      <c r="G2492" s="46"/>
      <c r="H2492" s="46"/>
    </row>
    <row r="2493" spans="6:8" x14ac:dyDescent="0.25">
      <c r="F2493" s="46"/>
      <c r="G2493" s="46"/>
      <c r="H2493" s="46"/>
    </row>
    <row r="2494" spans="6:8" x14ac:dyDescent="0.25">
      <c r="F2494" s="46"/>
      <c r="G2494" s="46"/>
      <c r="H2494" s="46"/>
    </row>
    <row r="2495" spans="6:8" x14ac:dyDescent="0.25">
      <c r="F2495" s="46"/>
      <c r="G2495" s="46"/>
      <c r="H2495" s="46"/>
    </row>
    <row r="2496" spans="6:8" x14ac:dyDescent="0.25">
      <c r="F2496" s="46"/>
      <c r="G2496" s="46"/>
      <c r="H2496" s="46"/>
    </row>
    <row r="2497" spans="6:8" x14ac:dyDescent="0.25">
      <c r="F2497" s="46"/>
      <c r="G2497" s="46"/>
      <c r="H2497" s="46"/>
    </row>
    <row r="2498" spans="6:8" x14ac:dyDescent="0.25">
      <c r="F2498" s="46"/>
      <c r="G2498" s="46"/>
      <c r="H2498" s="46"/>
    </row>
    <row r="2499" spans="6:8" x14ac:dyDescent="0.25">
      <c r="F2499" s="46"/>
      <c r="G2499" s="46"/>
      <c r="H2499" s="46"/>
    </row>
    <row r="2500" spans="6:8" x14ac:dyDescent="0.25">
      <c r="F2500" s="46"/>
      <c r="G2500" s="46"/>
      <c r="H2500" s="46"/>
    </row>
    <row r="2501" spans="6:8" x14ac:dyDescent="0.25">
      <c r="F2501" s="46"/>
      <c r="G2501" s="46"/>
      <c r="H2501" s="46"/>
    </row>
    <row r="2502" spans="6:8" x14ac:dyDescent="0.25">
      <c r="F2502" s="46"/>
      <c r="G2502" s="46"/>
      <c r="H2502" s="46"/>
    </row>
    <row r="2503" spans="6:8" x14ac:dyDescent="0.25">
      <c r="F2503" s="46"/>
      <c r="G2503" s="46"/>
      <c r="H2503" s="46"/>
    </row>
    <row r="2504" spans="6:8" x14ac:dyDescent="0.25">
      <c r="F2504" s="46"/>
      <c r="G2504" s="46"/>
      <c r="H2504" s="46"/>
    </row>
    <row r="2505" spans="6:8" x14ac:dyDescent="0.25">
      <c r="F2505" s="46"/>
      <c r="G2505" s="46"/>
      <c r="H2505" s="46"/>
    </row>
    <row r="2506" spans="6:8" x14ac:dyDescent="0.25">
      <c r="F2506" s="46"/>
      <c r="G2506" s="46"/>
      <c r="H2506" s="46"/>
    </row>
    <row r="2507" spans="6:8" x14ac:dyDescent="0.25">
      <c r="F2507" s="46"/>
      <c r="G2507" s="46"/>
      <c r="H2507" s="46"/>
    </row>
    <row r="2508" spans="6:8" x14ac:dyDescent="0.25">
      <c r="F2508" s="46"/>
      <c r="G2508" s="46"/>
      <c r="H2508" s="46"/>
    </row>
    <row r="2509" spans="6:8" x14ac:dyDescent="0.25">
      <c r="F2509" s="46"/>
      <c r="G2509" s="46"/>
      <c r="H2509" s="46"/>
    </row>
    <row r="2510" spans="6:8" x14ac:dyDescent="0.25">
      <c r="F2510" s="46"/>
      <c r="G2510" s="46"/>
      <c r="H2510" s="46"/>
    </row>
    <row r="2511" spans="6:8" x14ac:dyDescent="0.25">
      <c r="F2511" s="46"/>
      <c r="G2511" s="46"/>
      <c r="H2511" s="46"/>
    </row>
    <row r="2512" spans="6:8" x14ac:dyDescent="0.25">
      <c r="F2512" s="46"/>
      <c r="G2512" s="46"/>
      <c r="H2512" s="46"/>
    </row>
    <row r="2513" spans="6:8" x14ac:dyDescent="0.25">
      <c r="F2513" s="46"/>
      <c r="G2513" s="46"/>
      <c r="H2513" s="46"/>
    </row>
    <row r="2514" spans="6:8" x14ac:dyDescent="0.25">
      <c r="F2514" s="46"/>
      <c r="G2514" s="46"/>
      <c r="H2514" s="46"/>
    </row>
    <row r="2515" spans="6:8" x14ac:dyDescent="0.25">
      <c r="F2515" s="46"/>
      <c r="G2515" s="46"/>
      <c r="H2515" s="46"/>
    </row>
    <row r="2516" spans="6:8" x14ac:dyDescent="0.25">
      <c r="F2516" s="46"/>
      <c r="G2516" s="46"/>
      <c r="H2516" s="46"/>
    </row>
    <row r="2517" spans="6:8" x14ac:dyDescent="0.25">
      <c r="F2517" s="46"/>
      <c r="G2517" s="46"/>
      <c r="H2517" s="46"/>
    </row>
    <row r="2518" spans="6:8" x14ac:dyDescent="0.25">
      <c r="F2518" s="46"/>
      <c r="G2518" s="46"/>
      <c r="H2518" s="46"/>
    </row>
    <row r="2519" spans="6:8" x14ac:dyDescent="0.25">
      <c r="F2519" s="46"/>
      <c r="G2519" s="46"/>
      <c r="H2519" s="46"/>
    </row>
    <row r="2520" spans="6:8" x14ac:dyDescent="0.25">
      <c r="F2520" s="46"/>
      <c r="G2520" s="46"/>
      <c r="H2520" s="46"/>
    </row>
    <row r="2521" spans="6:8" x14ac:dyDescent="0.25">
      <c r="F2521" s="46"/>
      <c r="G2521" s="46"/>
      <c r="H2521" s="46"/>
    </row>
    <row r="2522" spans="6:8" x14ac:dyDescent="0.25">
      <c r="F2522" s="46"/>
      <c r="G2522" s="46"/>
      <c r="H2522" s="46"/>
    </row>
    <row r="2523" spans="6:8" x14ac:dyDescent="0.25">
      <c r="F2523" s="46"/>
      <c r="G2523" s="46"/>
      <c r="H2523" s="46"/>
    </row>
    <row r="2524" spans="6:8" x14ac:dyDescent="0.25">
      <c r="F2524" s="46"/>
      <c r="G2524" s="46"/>
      <c r="H2524" s="46"/>
    </row>
    <row r="2525" spans="6:8" x14ac:dyDescent="0.25">
      <c r="F2525" s="46"/>
      <c r="G2525" s="46"/>
      <c r="H2525" s="46"/>
    </row>
    <row r="2526" spans="6:8" x14ac:dyDescent="0.25">
      <c r="F2526" s="46"/>
      <c r="G2526" s="46"/>
      <c r="H2526" s="46"/>
    </row>
    <row r="2527" spans="6:8" x14ac:dyDescent="0.25">
      <c r="F2527" s="46"/>
      <c r="G2527" s="46"/>
      <c r="H2527" s="46"/>
    </row>
    <row r="2528" spans="6:8" x14ac:dyDescent="0.25">
      <c r="F2528" s="46"/>
      <c r="G2528" s="46"/>
      <c r="H2528" s="46"/>
    </row>
    <row r="2529" spans="6:8" x14ac:dyDescent="0.25">
      <c r="F2529" s="46"/>
      <c r="G2529" s="46"/>
      <c r="H2529" s="46"/>
    </row>
    <row r="2530" spans="6:8" x14ac:dyDescent="0.25">
      <c r="F2530" s="46"/>
      <c r="G2530" s="46"/>
      <c r="H2530" s="46"/>
    </row>
    <row r="2531" spans="6:8" x14ac:dyDescent="0.25">
      <c r="F2531" s="46"/>
      <c r="G2531" s="46"/>
      <c r="H2531" s="46"/>
    </row>
    <row r="2532" spans="6:8" x14ac:dyDescent="0.25">
      <c r="F2532" s="46"/>
      <c r="G2532" s="46"/>
      <c r="H2532" s="46"/>
    </row>
    <row r="2533" spans="6:8" x14ac:dyDescent="0.25">
      <c r="F2533" s="46"/>
      <c r="G2533" s="46"/>
      <c r="H2533" s="46"/>
    </row>
    <row r="2534" spans="6:8" x14ac:dyDescent="0.25">
      <c r="F2534" s="46"/>
      <c r="G2534" s="46"/>
      <c r="H2534" s="46"/>
    </row>
    <row r="2535" spans="6:8" x14ac:dyDescent="0.25">
      <c r="F2535" s="46"/>
      <c r="G2535" s="46"/>
      <c r="H2535" s="46"/>
    </row>
    <row r="2536" spans="6:8" x14ac:dyDescent="0.25">
      <c r="F2536" s="46"/>
      <c r="G2536" s="46"/>
      <c r="H2536" s="46"/>
    </row>
    <row r="2537" spans="6:8" x14ac:dyDescent="0.25">
      <c r="F2537" s="46"/>
      <c r="G2537" s="46"/>
      <c r="H2537" s="46"/>
    </row>
    <row r="2538" spans="6:8" x14ac:dyDescent="0.25">
      <c r="F2538" s="46"/>
      <c r="G2538" s="46"/>
      <c r="H2538" s="46"/>
    </row>
    <row r="2539" spans="6:8" x14ac:dyDescent="0.25">
      <c r="F2539" s="46"/>
      <c r="G2539" s="46"/>
      <c r="H2539" s="46"/>
    </row>
    <row r="2540" spans="6:8" x14ac:dyDescent="0.25">
      <c r="F2540" s="46"/>
      <c r="G2540" s="46"/>
      <c r="H2540" s="46"/>
    </row>
    <row r="2541" spans="6:8" x14ac:dyDescent="0.25">
      <c r="F2541" s="46"/>
      <c r="G2541" s="46"/>
      <c r="H2541" s="46"/>
    </row>
    <row r="2542" spans="6:8" x14ac:dyDescent="0.25">
      <c r="F2542" s="46"/>
      <c r="G2542" s="46"/>
      <c r="H2542" s="46"/>
    </row>
    <row r="2543" spans="6:8" x14ac:dyDescent="0.25">
      <c r="F2543" s="46"/>
      <c r="G2543" s="46"/>
      <c r="H2543" s="46"/>
    </row>
    <row r="2544" spans="6:8" x14ac:dyDescent="0.25">
      <c r="F2544" s="46"/>
      <c r="G2544" s="46"/>
      <c r="H2544" s="46"/>
    </row>
    <row r="2545" spans="6:8" x14ac:dyDescent="0.25">
      <c r="F2545" s="46"/>
      <c r="G2545" s="46"/>
      <c r="H2545" s="46"/>
    </row>
    <row r="2546" spans="6:8" x14ac:dyDescent="0.25">
      <c r="F2546" s="46"/>
      <c r="G2546" s="46"/>
      <c r="H2546" s="46"/>
    </row>
    <row r="2547" spans="6:8" x14ac:dyDescent="0.25">
      <c r="F2547" s="46"/>
      <c r="G2547" s="46"/>
      <c r="H2547" s="46"/>
    </row>
    <row r="2548" spans="6:8" x14ac:dyDescent="0.25">
      <c r="F2548" s="46"/>
      <c r="G2548" s="46"/>
      <c r="H2548" s="46"/>
    </row>
    <row r="2549" spans="6:8" x14ac:dyDescent="0.25">
      <c r="F2549" s="46"/>
      <c r="G2549" s="46"/>
      <c r="H2549" s="46"/>
    </row>
    <row r="2550" spans="6:8" x14ac:dyDescent="0.25">
      <c r="F2550" s="46"/>
      <c r="G2550" s="46"/>
      <c r="H2550" s="46"/>
    </row>
    <row r="2551" spans="6:8" x14ac:dyDescent="0.25">
      <c r="F2551" s="46"/>
      <c r="G2551" s="46"/>
      <c r="H2551" s="46"/>
    </row>
    <row r="2552" spans="6:8" x14ac:dyDescent="0.25">
      <c r="F2552" s="46"/>
      <c r="G2552" s="46"/>
      <c r="H2552" s="46"/>
    </row>
    <row r="2553" spans="6:8" x14ac:dyDescent="0.25">
      <c r="F2553" s="46"/>
      <c r="G2553" s="46"/>
      <c r="H2553" s="46"/>
    </row>
    <row r="2554" spans="6:8" x14ac:dyDescent="0.25">
      <c r="F2554" s="46"/>
      <c r="G2554" s="46"/>
      <c r="H2554" s="46"/>
    </row>
    <row r="2555" spans="6:8" x14ac:dyDescent="0.25">
      <c r="F2555" s="46"/>
      <c r="G2555" s="46"/>
      <c r="H2555" s="46"/>
    </row>
    <row r="2556" spans="6:8" x14ac:dyDescent="0.25">
      <c r="F2556" s="46"/>
      <c r="G2556" s="46"/>
      <c r="H2556" s="46"/>
    </row>
    <row r="2557" spans="6:8" x14ac:dyDescent="0.25">
      <c r="F2557" s="46"/>
      <c r="G2557" s="46"/>
      <c r="H2557" s="46"/>
    </row>
    <row r="2558" spans="6:8" x14ac:dyDescent="0.25">
      <c r="F2558" s="46"/>
      <c r="G2558" s="46"/>
      <c r="H2558" s="46"/>
    </row>
    <row r="2559" spans="6:8" x14ac:dyDescent="0.25">
      <c r="F2559" s="46"/>
      <c r="G2559" s="46"/>
      <c r="H2559" s="46"/>
    </row>
    <row r="2560" spans="6:8" x14ac:dyDescent="0.25">
      <c r="F2560" s="46"/>
      <c r="G2560" s="46"/>
      <c r="H2560" s="46"/>
    </row>
    <row r="2561" spans="6:8" x14ac:dyDescent="0.25">
      <c r="F2561" s="46"/>
      <c r="G2561" s="46"/>
      <c r="H2561" s="46"/>
    </row>
    <row r="2562" spans="6:8" x14ac:dyDescent="0.25">
      <c r="F2562" s="46"/>
      <c r="G2562" s="46"/>
      <c r="H2562" s="46"/>
    </row>
    <row r="2563" spans="6:8" x14ac:dyDescent="0.25">
      <c r="F2563" s="46"/>
      <c r="G2563" s="46"/>
      <c r="H2563" s="46"/>
    </row>
    <row r="2564" spans="6:8" x14ac:dyDescent="0.25">
      <c r="F2564" s="46"/>
      <c r="G2564" s="46"/>
      <c r="H2564" s="46"/>
    </row>
    <row r="2565" spans="6:8" x14ac:dyDescent="0.25">
      <c r="F2565" s="46"/>
      <c r="G2565" s="46"/>
      <c r="H2565" s="46"/>
    </row>
    <row r="2566" spans="6:8" x14ac:dyDescent="0.25">
      <c r="F2566" s="46"/>
      <c r="G2566" s="46"/>
      <c r="H2566" s="46"/>
    </row>
    <row r="2567" spans="6:8" x14ac:dyDescent="0.25">
      <c r="F2567" s="46"/>
      <c r="G2567" s="46"/>
      <c r="H2567" s="46"/>
    </row>
    <row r="2568" spans="6:8" x14ac:dyDescent="0.25">
      <c r="F2568" s="46"/>
      <c r="G2568" s="46"/>
      <c r="H2568" s="46"/>
    </row>
    <row r="2569" spans="6:8" x14ac:dyDescent="0.25">
      <c r="F2569" s="46"/>
      <c r="G2569" s="46"/>
      <c r="H2569" s="46"/>
    </row>
    <row r="2570" spans="6:8" x14ac:dyDescent="0.25">
      <c r="F2570" s="46"/>
      <c r="G2570" s="46"/>
      <c r="H2570" s="46"/>
    </row>
    <row r="2571" spans="6:8" x14ac:dyDescent="0.25">
      <c r="F2571" s="46"/>
      <c r="G2571" s="46"/>
      <c r="H2571" s="46"/>
    </row>
    <row r="2572" spans="6:8" x14ac:dyDescent="0.25">
      <c r="F2572" s="46"/>
      <c r="G2572" s="46"/>
      <c r="H2572" s="46"/>
    </row>
    <row r="2573" spans="6:8" x14ac:dyDescent="0.25">
      <c r="F2573" s="46"/>
      <c r="G2573" s="46"/>
      <c r="H2573" s="46"/>
    </row>
    <row r="2574" spans="6:8" x14ac:dyDescent="0.25">
      <c r="F2574" s="46"/>
      <c r="G2574" s="46"/>
      <c r="H2574" s="46"/>
    </row>
    <row r="2575" spans="6:8" x14ac:dyDescent="0.25">
      <c r="F2575" s="46"/>
      <c r="G2575" s="46"/>
      <c r="H2575" s="46"/>
    </row>
    <row r="2576" spans="6:8" x14ac:dyDescent="0.25">
      <c r="F2576" s="46"/>
      <c r="G2576" s="46"/>
      <c r="H2576" s="46"/>
    </row>
    <row r="2577" spans="6:8" x14ac:dyDescent="0.25">
      <c r="F2577" s="46"/>
      <c r="G2577" s="46"/>
      <c r="H2577" s="46"/>
    </row>
    <row r="2578" spans="6:8" x14ac:dyDescent="0.25">
      <c r="F2578" s="46"/>
      <c r="G2578" s="46"/>
      <c r="H2578" s="46"/>
    </row>
    <row r="2579" spans="6:8" x14ac:dyDescent="0.25">
      <c r="F2579" s="46"/>
      <c r="G2579" s="46"/>
      <c r="H2579" s="46"/>
    </row>
    <row r="2580" spans="6:8" x14ac:dyDescent="0.25">
      <c r="F2580" s="46"/>
      <c r="G2580" s="46"/>
      <c r="H2580" s="46"/>
    </row>
    <row r="2581" spans="6:8" x14ac:dyDescent="0.25">
      <c r="F2581" s="46"/>
      <c r="G2581" s="46"/>
      <c r="H2581" s="46"/>
    </row>
    <row r="2582" spans="6:8" x14ac:dyDescent="0.25">
      <c r="F2582" s="46"/>
      <c r="G2582" s="46"/>
      <c r="H2582" s="46"/>
    </row>
    <row r="2583" spans="6:8" x14ac:dyDescent="0.25">
      <c r="F2583" s="46"/>
      <c r="G2583" s="46"/>
      <c r="H2583" s="46"/>
    </row>
    <row r="2584" spans="6:8" x14ac:dyDescent="0.25">
      <c r="F2584" s="46"/>
      <c r="G2584" s="46"/>
      <c r="H2584" s="46"/>
    </row>
    <row r="2585" spans="6:8" x14ac:dyDescent="0.25">
      <c r="F2585" s="46"/>
      <c r="G2585" s="46"/>
      <c r="H2585" s="46"/>
    </row>
    <row r="2586" spans="6:8" x14ac:dyDescent="0.25">
      <c r="F2586" s="46"/>
      <c r="G2586" s="46"/>
      <c r="H2586" s="46"/>
    </row>
    <row r="2587" spans="6:8" x14ac:dyDescent="0.25">
      <c r="F2587" s="46"/>
      <c r="G2587" s="46"/>
      <c r="H2587" s="46"/>
    </row>
    <row r="2588" spans="6:8" x14ac:dyDescent="0.25">
      <c r="F2588" s="46"/>
      <c r="G2588" s="46"/>
      <c r="H2588" s="46"/>
    </row>
    <row r="2589" spans="6:8" x14ac:dyDescent="0.25">
      <c r="F2589" s="46"/>
      <c r="G2589" s="46"/>
      <c r="H2589" s="46"/>
    </row>
    <row r="2590" spans="6:8" x14ac:dyDescent="0.25">
      <c r="F2590" s="46"/>
      <c r="G2590" s="46"/>
      <c r="H2590" s="46"/>
    </row>
    <row r="2591" spans="6:8" x14ac:dyDescent="0.25">
      <c r="F2591" s="46"/>
      <c r="G2591" s="46"/>
      <c r="H2591" s="46"/>
    </row>
    <row r="2592" spans="6:8" x14ac:dyDescent="0.25">
      <c r="F2592" s="46"/>
      <c r="G2592" s="46"/>
      <c r="H2592" s="46"/>
    </row>
    <row r="2593" spans="6:8" x14ac:dyDescent="0.25">
      <c r="F2593" s="46"/>
      <c r="G2593" s="46"/>
      <c r="H2593" s="46"/>
    </row>
    <row r="2594" spans="6:8" x14ac:dyDescent="0.25">
      <c r="F2594" s="46"/>
      <c r="G2594" s="46"/>
      <c r="H2594" s="46"/>
    </row>
    <row r="2595" spans="6:8" x14ac:dyDescent="0.25">
      <c r="F2595" s="46"/>
      <c r="G2595" s="46"/>
      <c r="H2595" s="46"/>
    </row>
    <row r="2596" spans="6:8" x14ac:dyDescent="0.25">
      <c r="F2596" s="46"/>
      <c r="G2596" s="46"/>
      <c r="H2596" s="46"/>
    </row>
    <row r="2597" spans="6:8" x14ac:dyDescent="0.25">
      <c r="F2597" s="46"/>
      <c r="G2597" s="46"/>
      <c r="H2597" s="46"/>
    </row>
    <row r="2598" spans="6:8" x14ac:dyDescent="0.25">
      <c r="F2598" s="46"/>
      <c r="G2598" s="46"/>
      <c r="H2598" s="46"/>
    </row>
    <row r="2599" spans="6:8" x14ac:dyDescent="0.25">
      <c r="F2599" s="46"/>
      <c r="G2599" s="46"/>
      <c r="H2599" s="46"/>
    </row>
    <row r="2600" spans="6:8" x14ac:dyDescent="0.25">
      <c r="F2600" s="46"/>
      <c r="G2600" s="46"/>
      <c r="H2600" s="46"/>
    </row>
    <row r="2601" spans="6:8" x14ac:dyDescent="0.25">
      <c r="F2601" s="46"/>
      <c r="G2601" s="46"/>
      <c r="H2601" s="46"/>
    </row>
    <row r="2602" spans="6:8" x14ac:dyDescent="0.25">
      <c r="F2602" s="46"/>
      <c r="G2602" s="46"/>
      <c r="H2602" s="46"/>
    </row>
    <row r="2603" spans="6:8" x14ac:dyDescent="0.25">
      <c r="F2603" s="46"/>
      <c r="G2603" s="46"/>
      <c r="H2603" s="46"/>
    </row>
    <row r="2604" spans="6:8" x14ac:dyDescent="0.25">
      <c r="F2604" s="46"/>
      <c r="G2604" s="46"/>
      <c r="H2604" s="46"/>
    </row>
    <row r="2605" spans="6:8" x14ac:dyDescent="0.25">
      <c r="F2605" s="46"/>
      <c r="G2605" s="46"/>
      <c r="H2605" s="46"/>
    </row>
    <row r="2606" spans="6:8" x14ac:dyDescent="0.25">
      <c r="F2606" s="46"/>
      <c r="G2606" s="46"/>
      <c r="H2606" s="46"/>
    </row>
    <row r="2607" spans="6:8" x14ac:dyDescent="0.25">
      <c r="F2607" s="46"/>
      <c r="G2607" s="46"/>
      <c r="H2607" s="46"/>
    </row>
    <row r="2608" spans="6:8" x14ac:dyDescent="0.25">
      <c r="F2608" s="46"/>
      <c r="G2608" s="46"/>
      <c r="H2608" s="46"/>
    </row>
    <row r="2609" spans="6:8" x14ac:dyDescent="0.25">
      <c r="F2609" s="46"/>
      <c r="G2609" s="46"/>
      <c r="H2609" s="46"/>
    </row>
    <row r="2610" spans="6:8" x14ac:dyDescent="0.25">
      <c r="F2610" s="46"/>
      <c r="G2610" s="46"/>
      <c r="H2610" s="46"/>
    </row>
    <row r="2611" spans="6:8" x14ac:dyDescent="0.25">
      <c r="F2611" s="46"/>
      <c r="G2611" s="46"/>
      <c r="H2611" s="46"/>
    </row>
    <row r="2612" spans="6:8" x14ac:dyDescent="0.25">
      <c r="F2612" s="46"/>
      <c r="G2612" s="46"/>
      <c r="H2612" s="46"/>
    </row>
    <row r="2613" spans="6:8" x14ac:dyDescent="0.25">
      <c r="F2613" s="46"/>
      <c r="G2613" s="46"/>
      <c r="H2613" s="46"/>
    </row>
    <row r="2614" spans="6:8" x14ac:dyDescent="0.25">
      <c r="F2614" s="46"/>
      <c r="G2614" s="46"/>
      <c r="H2614" s="46"/>
    </row>
    <row r="2615" spans="6:8" x14ac:dyDescent="0.25">
      <c r="F2615" s="46"/>
      <c r="G2615" s="46"/>
      <c r="H2615" s="46"/>
    </row>
    <row r="2616" spans="6:8" x14ac:dyDescent="0.25">
      <c r="F2616" s="46"/>
      <c r="G2616" s="46"/>
      <c r="H2616" s="46"/>
    </row>
    <row r="2617" spans="6:8" x14ac:dyDescent="0.25">
      <c r="F2617" s="46"/>
      <c r="G2617" s="46"/>
      <c r="H2617" s="46"/>
    </row>
    <row r="2618" spans="6:8" x14ac:dyDescent="0.25">
      <c r="F2618" s="46"/>
      <c r="G2618" s="46"/>
      <c r="H2618" s="46"/>
    </row>
    <row r="2619" spans="6:8" x14ac:dyDescent="0.25">
      <c r="F2619" s="46"/>
      <c r="G2619" s="46"/>
      <c r="H2619" s="46"/>
    </row>
    <row r="2620" spans="6:8" x14ac:dyDescent="0.25">
      <c r="F2620" s="46"/>
      <c r="G2620" s="46"/>
      <c r="H2620" s="46"/>
    </row>
    <row r="2621" spans="6:8" x14ac:dyDescent="0.25">
      <c r="F2621" s="46"/>
      <c r="G2621" s="46"/>
      <c r="H2621" s="46"/>
    </row>
    <row r="2622" spans="6:8" x14ac:dyDescent="0.25">
      <c r="F2622" s="46"/>
      <c r="G2622" s="46"/>
      <c r="H2622" s="46"/>
    </row>
    <row r="2623" spans="6:8" x14ac:dyDescent="0.25">
      <c r="F2623" s="46"/>
      <c r="G2623" s="46"/>
      <c r="H2623" s="46"/>
    </row>
    <row r="2624" spans="6:8" x14ac:dyDescent="0.25">
      <c r="F2624" s="46"/>
      <c r="G2624" s="46"/>
      <c r="H2624" s="46"/>
    </row>
    <row r="2625" spans="6:8" x14ac:dyDescent="0.25">
      <c r="F2625" s="46"/>
      <c r="G2625" s="46"/>
      <c r="H2625" s="46"/>
    </row>
    <row r="2626" spans="6:8" x14ac:dyDescent="0.25">
      <c r="F2626" s="46"/>
      <c r="G2626" s="46"/>
      <c r="H2626" s="46"/>
    </row>
    <row r="2627" spans="6:8" x14ac:dyDescent="0.25">
      <c r="F2627" s="46"/>
      <c r="G2627" s="46"/>
      <c r="H2627" s="46"/>
    </row>
    <row r="2628" spans="6:8" x14ac:dyDescent="0.25">
      <c r="F2628" s="46"/>
      <c r="G2628" s="46"/>
      <c r="H2628" s="46"/>
    </row>
    <row r="2629" spans="6:8" x14ac:dyDescent="0.25">
      <c r="F2629" s="46"/>
      <c r="G2629" s="46"/>
      <c r="H2629" s="46"/>
    </row>
    <row r="2630" spans="6:8" x14ac:dyDescent="0.25">
      <c r="F2630" s="46"/>
      <c r="G2630" s="46"/>
      <c r="H2630" s="46"/>
    </row>
    <row r="2631" spans="6:8" x14ac:dyDescent="0.25">
      <c r="F2631" s="46"/>
      <c r="G2631" s="46"/>
      <c r="H2631" s="46"/>
    </row>
    <row r="2632" spans="6:8" x14ac:dyDescent="0.25">
      <c r="F2632" s="46"/>
      <c r="G2632" s="46"/>
      <c r="H2632" s="46"/>
    </row>
    <row r="2633" spans="6:8" x14ac:dyDescent="0.25">
      <c r="F2633" s="46"/>
      <c r="G2633" s="46"/>
      <c r="H2633" s="46"/>
    </row>
    <row r="2634" spans="6:8" x14ac:dyDescent="0.25">
      <c r="F2634" s="46"/>
      <c r="G2634" s="46"/>
      <c r="H2634" s="46"/>
    </row>
    <row r="2635" spans="6:8" x14ac:dyDescent="0.25">
      <c r="F2635" s="46"/>
      <c r="G2635" s="46"/>
      <c r="H2635" s="46"/>
    </row>
    <row r="2636" spans="6:8" x14ac:dyDescent="0.25">
      <c r="F2636" s="46"/>
      <c r="G2636" s="46"/>
      <c r="H2636" s="46"/>
    </row>
    <row r="2637" spans="6:8" x14ac:dyDescent="0.25">
      <c r="F2637" s="46"/>
      <c r="G2637" s="46"/>
      <c r="H2637" s="46"/>
    </row>
    <row r="2638" spans="6:8" x14ac:dyDescent="0.25">
      <c r="F2638" s="46"/>
      <c r="G2638" s="46"/>
      <c r="H2638" s="46"/>
    </row>
    <row r="2639" spans="6:8" x14ac:dyDescent="0.25">
      <c r="F2639" s="46"/>
      <c r="G2639" s="46"/>
      <c r="H2639" s="46"/>
    </row>
    <row r="2640" spans="6:8" x14ac:dyDescent="0.25">
      <c r="F2640" s="46"/>
      <c r="G2640" s="46"/>
      <c r="H2640" s="46"/>
    </row>
    <row r="2641" spans="6:8" x14ac:dyDescent="0.25">
      <c r="F2641" s="46"/>
      <c r="G2641" s="46"/>
      <c r="H2641" s="46"/>
    </row>
    <row r="2642" spans="6:8" x14ac:dyDescent="0.25">
      <c r="F2642" s="46"/>
      <c r="G2642" s="46"/>
      <c r="H2642" s="46"/>
    </row>
    <row r="2643" spans="6:8" x14ac:dyDescent="0.25">
      <c r="F2643" s="46"/>
      <c r="G2643" s="46"/>
      <c r="H2643" s="46"/>
    </row>
    <row r="2644" spans="6:8" x14ac:dyDescent="0.25">
      <c r="F2644" s="46"/>
      <c r="G2644" s="46"/>
      <c r="H2644" s="46"/>
    </row>
    <row r="2645" spans="6:8" x14ac:dyDescent="0.25">
      <c r="F2645" s="46"/>
      <c r="G2645" s="46"/>
      <c r="H2645" s="46"/>
    </row>
    <row r="2646" spans="6:8" x14ac:dyDescent="0.25">
      <c r="F2646" s="46"/>
      <c r="G2646" s="46"/>
      <c r="H2646" s="46"/>
    </row>
    <row r="2647" spans="6:8" x14ac:dyDescent="0.25">
      <c r="F2647" s="46"/>
      <c r="G2647" s="46"/>
      <c r="H2647" s="46"/>
    </row>
    <row r="2648" spans="6:8" x14ac:dyDescent="0.25">
      <c r="F2648" s="46"/>
      <c r="G2648" s="46"/>
      <c r="H2648" s="46"/>
    </row>
    <row r="2649" spans="6:8" x14ac:dyDescent="0.25">
      <c r="F2649" s="46"/>
      <c r="G2649" s="46"/>
      <c r="H2649" s="46"/>
    </row>
    <row r="2650" spans="6:8" x14ac:dyDescent="0.25">
      <c r="F2650" s="46"/>
      <c r="G2650" s="46"/>
      <c r="H2650" s="46"/>
    </row>
    <row r="2651" spans="6:8" x14ac:dyDescent="0.25">
      <c r="F2651" s="46"/>
      <c r="G2651" s="46"/>
      <c r="H2651" s="46"/>
    </row>
    <row r="2652" spans="6:8" x14ac:dyDescent="0.25">
      <c r="F2652" s="46"/>
      <c r="G2652" s="46"/>
      <c r="H2652" s="46"/>
    </row>
    <row r="2653" spans="6:8" x14ac:dyDescent="0.25">
      <c r="F2653" s="46"/>
      <c r="G2653" s="46"/>
      <c r="H2653" s="46"/>
    </row>
    <row r="2654" spans="6:8" x14ac:dyDescent="0.25">
      <c r="F2654" s="46"/>
      <c r="G2654" s="46"/>
      <c r="H2654" s="46"/>
    </row>
    <row r="2655" spans="6:8" x14ac:dyDescent="0.25">
      <c r="F2655" s="46"/>
      <c r="G2655" s="46"/>
      <c r="H2655" s="46"/>
    </row>
    <row r="2656" spans="6:8" x14ac:dyDescent="0.25">
      <c r="F2656" s="46"/>
      <c r="G2656" s="46"/>
      <c r="H2656" s="46"/>
    </row>
    <row r="2657" spans="6:8" x14ac:dyDescent="0.25">
      <c r="F2657" s="46"/>
      <c r="G2657" s="46"/>
      <c r="H2657" s="46"/>
    </row>
    <row r="2658" spans="6:8" x14ac:dyDescent="0.25">
      <c r="F2658" s="46"/>
      <c r="G2658" s="46"/>
      <c r="H2658" s="46"/>
    </row>
    <row r="2659" spans="6:8" x14ac:dyDescent="0.25">
      <c r="F2659" s="46"/>
      <c r="G2659" s="46"/>
      <c r="H2659" s="46"/>
    </row>
    <row r="2660" spans="6:8" x14ac:dyDescent="0.25">
      <c r="F2660" s="46"/>
      <c r="G2660" s="46"/>
      <c r="H2660" s="46"/>
    </row>
    <row r="2661" spans="6:8" x14ac:dyDescent="0.25">
      <c r="F2661" s="46"/>
      <c r="G2661" s="46"/>
      <c r="H2661" s="46"/>
    </row>
    <row r="2662" spans="6:8" x14ac:dyDescent="0.25">
      <c r="F2662" s="46"/>
      <c r="G2662" s="46"/>
      <c r="H2662" s="46"/>
    </row>
    <row r="2663" spans="6:8" x14ac:dyDescent="0.25">
      <c r="F2663" s="46"/>
      <c r="G2663" s="46"/>
      <c r="H2663" s="46"/>
    </row>
    <row r="2664" spans="6:8" x14ac:dyDescent="0.25">
      <c r="F2664" s="46"/>
      <c r="G2664" s="46"/>
      <c r="H2664" s="46"/>
    </row>
    <row r="2665" spans="6:8" x14ac:dyDescent="0.25">
      <c r="F2665" s="46"/>
      <c r="G2665" s="46"/>
      <c r="H2665" s="46"/>
    </row>
    <row r="2666" spans="6:8" x14ac:dyDescent="0.25">
      <c r="F2666" s="46"/>
      <c r="G2666" s="46"/>
      <c r="H2666" s="46"/>
    </row>
    <row r="2667" spans="6:8" x14ac:dyDescent="0.25">
      <c r="F2667" s="46"/>
      <c r="G2667" s="46"/>
      <c r="H2667" s="46"/>
    </row>
    <row r="2668" spans="6:8" x14ac:dyDescent="0.25">
      <c r="F2668" s="46"/>
      <c r="G2668" s="46"/>
      <c r="H2668" s="46"/>
    </row>
    <row r="2669" spans="6:8" x14ac:dyDescent="0.25">
      <c r="F2669" s="46"/>
      <c r="G2669" s="46"/>
      <c r="H2669" s="46"/>
    </row>
    <row r="2670" spans="6:8" x14ac:dyDescent="0.25">
      <c r="F2670" s="46"/>
      <c r="G2670" s="46"/>
      <c r="H2670" s="46"/>
    </row>
    <row r="2671" spans="6:8" x14ac:dyDescent="0.25">
      <c r="F2671" s="46"/>
      <c r="G2671" s="46"/>
      <c r="H2671" s="46"/>
    </row>
    <row r="2672" spans="6:8" x14ac:dyDescent="0.25">
      <c r="F2672" s="46"/>
      <c r="G2672" s="46"/>
      <c r="H2672" s="46"/>
    </row>
    <row r="2673" spans="6:8" x14ac:dyDescent="0.25">
      <c r="F2673" s="46"/>
      <c r="G2673" s="46"/>
      <c r="H2673" s="46"/>
    </row>
    <row r="2674" spans="6:8" x14ac:dyDescent="0.25">
      <c r="F2674" s="46"/>
      <c r="G2674" s="46"/>
      <c r="H2674" s="46"/>
    </row>
    <row r="2675" spans="6:8" x14ac:dyDescent="0.25">
      <c r="F2675" s="46"/>
      <c r="G2675" s="46"/>
      <c r="H2675" s="46"/>
    </row>
    <row r="2676" spans="6:8" x14ac:dyDescent="0.25">
      <c r="F2676" s="46"/>
      <c r="G2676" s="46"/>
      <c r="H2676" s="46"/>
    </row>
    <row r="2677" spans="6:8" x14ac:dyDescent="0.25">
      <c r="F2677" s="46"/>
      <c r="G2677" s="46"/>
      <c r="H2677" s="46"/>
    </row>
    <row r="2678" spans="6:8" x14ac:dyDescent="0.25">
      <c r="F2678" s="46"/>
      <c r="G2678" s="46"/>
      <c r="H2678" s="46"/>
    </row>
    <row r="2679" spans="6:8" x14ac:dyDescent="0.25">
      <c r="F2679" s="46"/>
      <c r="G2679" s="46"/>
      <c r="H2679" s="46"/>
    </row>
    <row r="2680" spans="6:8" x14ac:dyDescent="0.25">
      <c r="F2680" s="46"/>
      <c r="G2680" s="46"/>
      <c r="H2680" s="46"/>
    </row>
    <row r="2681" spans="6:8" x14ac:dyDescent="0.25">
      <c r="F2681" s="46"/>
      <c r="G2681" s="46"/>
      <c r="H2681" s="46"/>
    </row>
    <row r="2682" spans="6:8" x14ac:dyDescent="0.25">
      <c r="F2682" s="46"/>
      <c r="G2682" s="46"/>
      <c r="H2682" s="46"/>
    </row>
    <row r="2683" spans="6:8" x14ac:dyDescent="0.25">
      <c r="F2683" s="46"/>
      <c r="G2683" s="46"/>
      <c r="H2683" s="46"/>
    </row>
    <row r="2684" spans="6:8" x14ac:dyDescent="0.25">
      <c r="F2684" s="46"/>
      <c r="G2684" s="46"/>
      <c r="H2684" s="46"/>
    </row>
    <row r="2685" spans="6:8" x14ac:dyDescent="0.25">
      <c r="F2685" s="46"/>
      <c r="G2685" s="46"/>
      <c r="H2685" s="46"/>
    </row>
    <row r="2686" spans="6:8" x14ac:dyDescent="0.25">
      <c r="F2686" s="46"/>
      <c r="G2686" s="46"/>
      <c r="H2686" s="46"/>
    </row>
    <row r="2687" spans="6:8" x14ac:dyDescent="0.25">
      <c r="F2687" s="46"/>
      <c r="G2687" s="46"/>
      <c r="H2687" s="46"/>
    </row>
    <row r="2688" spans="6:8" x14ac:dyDescent="0.25">
      <c r="F2688" s="46"/>
      <c r="G2688" s="46"/>
      <c r="H2688" s="46"/>
    </row>
    <row r="2689" spans="6:8" x14ac:dyDescent="0.25">
      <c r="F2689" s="46"/>
      <c r="G2689" s="46"/>
      <c r="H2689" s="46"/>
    </row>
    <row r="2690" spans="6:8" x14ac:dyDescent="0.25">
      <c r="F2690" s="46"/>
      <c r="G2690" s="46"/>
      <c r="H2690" s="46"/>
    </row>
    <row r="2691" spans="6:8" x14ac:dyDescent="0.25">
      <c r="F2691" s="46"/>
      <c r="G2691" s="46"/>
      <c r="H2691" s="46"/>
    </row>
    <row r="2692" spans="6:8" x14ac:dyDescent="0.25">
      <c r="F2692" s="46"/>
      <c r="G2692" s="46"/>
      <c r="H2692" s="46"/>
    </row>
    <row r="2693" spans="6:8" x14ac:dyDescent="0.25">
      <c r="F2693" s="46"/>
      <c r="G2693" s="46"/>
      <c r="H2693" s="46"/>
    </row>
    <row r="2694" spans="6:8" x14ac:dyDescent="0.25">
      <c r="F2694" s="46"/>
      <c r="G2694" s="46"/>
      <c r="H2694" s="46"/>
    </row>
    <row r="2695" spans="6:8" x14ac:dyDescent="0.25">
      <c r="F2695" s="46"/>
      <c r="G2695" s="46"/>
      <c r="H2695" s="46"/>
    </row>
    <row r="2696" spans="6:8" x14ac:dyDescent="0.25">
      <c r="F2696" s="46"/>
      <c r="G2696" s="46"/>
      <c r="H2696" s="46"/>
    </row>
    <row r="2697" spans="6:8" x14ac:dyDescent="0.25">
      <c r="F2697" s="46"/>
      <c r="G2697" s="46"/>
      <c r="H2697" s="46"/>
    </row>
    <row r="2698" spans="6:8" x14ac:dyDescent="0.25">
      <c r="F2698" s="46"/>
      <c r="G2698" s="46"/>
      <c r="H2698" s="46"/>
    </row>
    <row r="2699" spans="6:8" x14ac:dyDescent="0.25">
      <c r="F2699" s="46"/>
      <c r="G2699" s="46"/>
      <c r="H2699" s="46"/>
    </row>
    <row r="2700" spans="6:8" x14ac:dyDescent="0.25">
      <c r="F2700" s="46"/>
      <c r="G2700" s="46"/>
      <c r="H2700" s="46"/>
    </row>
    <row r="2701" spans="6:8" x14ac:dyDescent="0.25">
      <c r="F2701" s="46"/>
      <c r="G2701" s="46"/>
      <c r="H2701" s="46"/>
    </row>
    <row r="2702" spans="6:8" x14ac:dyDescent="0.25">
      <c r="F2702" s="46"/>
      <c r="G2702" s="46"/>
      <c r="H2702" s="46"/>
    </row>
    <row r="2703" spans="6:8" x14ac:dyDescent="0.25">
      <c r="F2703" s="46"/>
      <c r="G2703" s="46"/>
      <c r="H2703" s="46"/>
    </row>
    <row r="2704" spans="6:8" x14ac:dyDescent="0.25">
      <c r="F2704" s="46"/>
      <c r="G2704" s="46"/>
      <c r="H2704" s="46"/>
    </row>
    <row r="2705" spans="6:8" x14ac:dyDescent="0.25">
      <c r="F2705" s="46"/>
      <c r="G2705" s="46"/>
      <c r="H2705" s="46"/>
    </row>
    <row r="2706" spans="6:8" x14ac:dyDescent="0.25">
      <c r="F2706" s="46"/>
      <c r="G2706" s="46"/>
      <c r="H2706" s="46"/>
    </row>
    <row r="2707" spans="6:8" x14ac:dyDescent="0.25">
      <c r="F2707" s="46"/>
      <c r="G2707" s="46"/>
      <c r="H2707" s="46"/>
    </row>
    <row r="2708" spans="6:8" x14ac:dyDescent="0.25">
      <c r="F2708" s="46"/>
      <c r="G2708" s="46"/>
      <c r="H2708" s="46"/>
    </row>
    <row r="2709" spans="6:8" x14ac:dyDescent="0.25">
      <c r="F2709" s="46"/>
      <c r="G2709" s="46"/>
      <c r="H2709" s="46"/>
    </row>
    <row r="2710" spans="6:8" x14ac:dyDescent="0.25">
      <c r="F2710" s="46"/>
      <c r="G2710" s="46"/>
      <c r="H2710" s="46"/>
    </row>
    <row r="2711" spans="6:8" x14ac:dyDescent="0.25">
      <c r="F2711" s="46"/>
      <c r="G2711" s="46"/>
      <c r="H2711" s="46"/>
    </row>
    <row r="2712" spans="6:8" x14ac:dyDescent="0.25">
      <c r="F2712" s="46"/>
      <c r="G2712" s="46"/>
      <c r="H2712" s="46"/>
    </row>
    <row r="2713" spans="6:8" x14ac:dyDescent="0.25">
      <c r="F2713" s="46"/>
      <c r="G2713" s="46"/>
      <c r="H2713" s="46"/>
    </row>
    <row r="2714" spans="6:8" x14ac:dyDescent="0.25">
      <c r="F2714" s="46"/>
      <c r="G2714" s="46"/>
      <c r="H2714" s="46"/>
    </row>
    <row r="2715" spans="6:8" x14ac:dyDescent="0.25">
      <c r="F2715" s="46"/>
      <c r="G2715" s="46"/>
      <c r="H2715" s="46"/>
    </row>
    <row r="2716" spans="6:8" x14ac:dyDescent="0.25">
      <c r="F2716" s="46"/>
      <c r="G2716" s="46"/>
      <c r="H2716" s="46"/>
    </row>
    <row r="2717" spans="6:8" x14ac:dyDescent="0.25">
      <c r="F2717" s="46"/>
      <c r="G2717" s="46"/>
      <c r="H2717" s="46"/>
    </row>
    <row r="2718" spans="6:8" x14ac:dyDescent="0.25">
      <c r="F2718" s="46"/>
      <c r="G2718" s="46"/>
      <c r="H2718" s="46"/>
    </row>
    <row r="2719" spans="6:8" x14ac:dyDescent="0.25">
      <c r="F2719" s="46"/>
      <c r="G2719" s="46"/>
      <c r="H2719" s="46"/>
    </row>
    <row r="2720" spans="6:8" x14ac:dyDescent="0.25">
      <c r="F2720" s="46"/>
      <c r="G2720" s="46"/>
      <c r="H2720" s="46"/>
    </row>
    <row r="2721" spans="6:8" x14ac:dyDescent="0.25">
      <c r="F2721" s="46"/>
      <c r="G2721" s="46"/>
      <c r="H2721" s="46"/>
    </row>
    <row r="2722" spans="6:8" x14ac:dyDescent="0.25">
      <c r="F2722" s="46"/>
      <c r="G2722" s="46"/>
      <c r="H2722" s="46"/>
    </row>
    <row r="2723" spans="6:8" x14ac:dyDescent="0.25">
      <c r="F2723" s="46"/>
      <c r="G2723" s="46"/>
      <c r="H2723" s="46"/>
    </row>
    <row r="2724" spans="6:8" x14ac:dyDescent="0.25">
      <c r="F2724" s="46"/>
      <c r="G2724" s="46"/>
      <c r="H2724" s="46"/>
    </row>
    <row r="2725" spans="6:8" x14ac:dyDescent="0.25">
      <c r="F2725" s="46"/>
      <c r="G2725" s="46"/>
      <c r="H2725" s="46"/>
    </row>
    <row r="2726" spans="6:8" x14ac:dyDescent="0.25">
      <c r="F2726" s="46"/>
      <c r="G2726" s="46"/>
      <c r="H2726" s="46"/>
    </row>
    <row r="2727" spans="6:8" x14ac:dyDescent="0.25">
      <c r="F2727" s="46"/>
      <c r="G2727" s="46"/>
      <c r="H2727" s="46"/>
    </row>
    <row r="2728" spans="6:8" x14ac:dyDescent="0.25">
      <c r="F2728" s="46"/>
      <c r="G2728" s="46"/>
      <c r="H2728" s="46"/>
    </row>
    <row r="2729" spans="6:8" x14ac:dyDescent="0.25">
      <c r="F2729" s="46"/>
      <c r="G2729" s="46"/>
      <c r="H2729" s="46"/>
    </row>
    <row r="2730" spans="6:8" x14ac:dyDescent="0.25">
      <c r="F2730" s="46"/>
      <c r="G2730" s="46"/>
      <c r="H2730" s="46"/>
    </row>
    <row r="2731" spans="6:8" x14ac:dyDescent="0.25">
      <c r="F2731" s="46"/>
      <c r="G2731" s="46"/>
      <c r="H2731" s="46"/>
    </row>
    <row r="2732" spans="6:8" x14ac:dyDescent="0.25">
      <c r="F2732" s="46"/>
      <c r="G2732" s="46"/>
      <c r="H2732" s="46"/>
    </row>
    <row r="2733" spans="6:8" x14ac:dyDescent="0.25">
      <c r="F2733" s="46"/>
      <c r="G2733" s="46"/>
      <c r="H2733" s="46"/>
    </row>
    <row r="2734" spans="6:8" x14ac:dyDescent="0.25">
      <c r="F2734" s="46"/>
      <c r="G2734" s="46"/>
      <c r="H2734" s="46"/>
    </row>
    <row r="2735" spans="6:8" x14ac:dyDescent="0.25">
      <c r="F2735" s="46"/>
      <c r="G2735" s="46"/>
      <c r="H2735" s="46"/>
    </row>
    <row r="2736" spans="6:8" x14ac:dyDescent="0.25">
      <c r="F2736" s="46"/>
      <c r="G2736" s="46"/>
      <c r="H2736" s="46"/>
    </row>
    <row r="2737" spans="6:8" x14ac:dyDescent="0.25">
      <c r="F2737" s="46"/>
      <c r="G2737" s="46"/>
      <c r="H2737" s="46"/>
    </row>
    <row r="2738" spans="6:8" x14ac:dyDescent="0.25">
      <c r="F2738" s="46"/>
      <c r="G2738" s="46"/>
      <c r="H2738" s="46"/>
    </row>
    <row r="2739" spans="6:8" x14ac:dyDescent="0.25">
      <c r="F2739" s="46"/>
      <c r="G2739" s="46"/>
      <c r="H2739" s="46"/>
    </row>
    <row r="2740" spans="6:8" x14ac:dyDescent="0.25">
      <c r="F2740" s="46"/>
      <c r="G2740" s="46"/>
      <c r="H2740" s="46"/>
    </row>
    <row r="2741" spans="6:8" x14ac:dyDescent="0.25">
      <c r="F2741" s="46"/>
      <c r="G2741" s="46"/>
      <c r="H2741" s="46"/>
    </row>
    <row r="2742" spans="6:8" x14ac:dyDescent="0.25">
      <c r="F2742" s="46"/>
      <c r="G2742" s="46"/>
      <c r="H2742" s="46"/>
    </row>
    <row r="2743" spans="6:8" x14ac:dyDescent="0.25">
      <c r="F2743" s="46"/>
      <c r="G2743" s="46"/>
      <c r="H2743" s="46"/>
    </row>
    <row r="2744" spans="6:8" x14ac:dyDescent="0.25">
      <c r="F2744" s="46"/>
      <c r="G2744" s="46"/>
      <c r="H2744" s="46"/>
    </row>
    <row r="2745" spans="6:8" x14ac:dyDescent="0.25">
      <c r="F2745" s="46"/>
      <c r="G2745" s="46"/>
      <c r="H2745" s="46"/>
    </row>
    <row r="2746" spans="6:8" x14ac:dyDescent="0.25">
      <c r="F2746" s="46"/>
      <c r="G2746" s="46"/>
      <c r="H2746" s="46"/>
    </row>
    <row r="2747" spans="6:8" x14ac:dyDescent="0.25">
      <c r="F2747" s="46"/>
      <c r="G2747" s="46"/>
      <c r="H2747" s="46"/>
    </row>
    <row r="2748" spans="6:8" x14ac:dyDescent="0.25">
      <c r="F2748" s="46"/>
      <c r="G2748" s="46"/>
      <c r="H2748" s="46"/>
    </row>
    <row r="2749" spans="6:8" x14ac:dyDescent="0.25">
      <c r="F2749" s="46"/>
      <c r="G2749" s="46"/>
      <c r="H2749" s="46"/>
    </row>
    <row r="2750" spans="6:8" x14ac:dyDescent="0.25">
      <c r="F2750" s="46"/>
      <c r="G2750" s="46"/>
      <c r="H2750" s="46"/>
    </row>
    <row r="2751" spans="6:8" x14ac:dyDescent="0.25">
      <c r="F2751" s="46"/>
      <c r="G2751" s="46"/>
      <c r="H2751" s="46"/>
    </row>
    <row r="2752" spans="6:8" x14ac:dyDescent="0.25">
      <c r="F2752" s="46"/>
      <c r="G2752" s="46"/>
      <c r="H2752" s="46"/>
    </row>
    <row r="2753" spans="6:8" x14ac:dyDescent="0.25">
      <c r="F2753" s="46"/>
      <c r="G2753" s="46"/>
      <c r="H2753" s="46"/>
    </row>
    <row r="2754" spans="6:8" x14ac:dyDescent="0.25">
      <c r="F2754" s="46"/>
      <c r="G2754" s="46"/>
      <c r="H2754" s="46"/>
    </row>
    <row r="2755" spans="6:8" x14ac:dyDescent="0.25">
      <c r="F2755" s="46"/>
      <c r="G2755" s="46"/>
      <c r="H2755" s="46"/>
    </row>
    <row r="2756" spans="6:8" x14ac:dyDescent="0.25">
      <c r="F2756" s="46"/>
      <c r="G2756" s="46"/>
      <c r="H2756" s="46"/>
    </row>
    <row r="2757" spans="6:8" x14ac:dyDescent="0.25">
      <c r="F2757" s="46"/>
      <c r="G2757" s="46"/>
      <c r="H2757" s="46"/>
    </row>
    <row r="2758" spans="6:8" x14ac:dyDescent="0.25">
      <c r="F2758" s="46"/>
      <c r="G2758" s="46"/>
      <c r="H2758" s="46"/>
    </row>
    <row r="2759" spans="6:8" x14ac:dyDescent="0.25">
      <c r="F2759" s="46"/>
      <c r="G2759" s="46"/>
      <c r="H2759" s="46"/>
    </row>
    <row r="2760" spans="6:8" x14ac:dyDescent="0.25">
      <c r="F2760" s="46"/>
      <c r="G2760" s="46"/>
      <c r="H2760" s="46"/>
    </row>
    <row r="2761" spans="6:8" x14ac:dyDescent="0.25">
      <c r="F2761" s="46"/>
      <c r="G2761" s="46"/>
      <c r="H2761" s="46"/>
    </row>
    <row r="2762" spans="6:8" x14ac:dyDescent="0.25">
      <c r="F2762" s="46"/>
      <c r="G2762" s="46"/>
      <c r="H2762" s="46"/>
    </row>
    <row r="2763" spans="6:8" x14ac:dyDescent="0.25">
      <c r="F2763" s="46"/>
      <c r="G2763" s="46"/>
      <c r="H2763" s="46"/>
    </row>
    <row r="2764" spans="6:8" x14ac:dyDescent="0.25">
      <c r="F2764" s="46"/>
      <c r="G2764" s="46"/>
      <c r="H2764" s="46"/>
    </row>
    <row r="2765" spans="6:8" x14ac:dyDescent="0.25">
      <c r="F2765" s="46"/>
      <c r="G2765" s="46"/>
      <c r="H2765" s="46"/>
    </row>
    <row r="2766" spans="6:8" x14ac:dyDescent="0.25">
      <c r="F2766" s="46"/>
      <c r="G2766" s="46"/>
      <c r="H2766" s="46"/>
    </row>
    <row r="2767" spans="6:8" x14ac:dyDescent="0.25">
      <c r="F2767" s="46"/>
      <c r="G2767" s="46"/>
      <c r="H2767" s="46"/>
    </row>
    <row r="2768" spans="6:8" x14ac:dyDescent="0.25">
      <c r="F2768" s="46"/>
      <c r="G2768" s="46"/>
      <c r="H2768" s="46"/>
    </row>
    <row r="2769" spans="6:8" x14ac:dyDescent="0.25">
      <c r="F2769" s="46"/>
      <c r="G2769" s="46"/>
      <c r="H2769" s="46"/>
    </row>
    <row r="2770" spans="6:8" x14ac:dyDescent="0.25">
      <c r="F2770" s="46"/>
      <c r="G2770" s="46"/>
      <c r="H2770" s="46"/>
    </row>
    <row r="2771" spans="6:8" x14ac:dyDescent="0.25">
      <c r="F2771" s="46"/>
      <c r="G2771" s="46"/>
      <c r="H2771" s="46"/>
    </row>
    <row r="2772" spans="6:8" x14ac:dyDescent="0.25">
      <c r="F2772" s="46"/>
      <c r="G2772" s="46"/>
      <c r="H2772" s="46"/>
    </row>
    <row r="2773" spans="6:8" x14ac:dyDescent="0.25">
      <c r="F2773" s="46"/>
      <c r="G2773" s="46"/>
      <c r="H2773" s="46"/>
    </row>
    <row r="2774" spans="6:8" x14ac:dyDescent="0.25">
      <c r="F2774" s="46"/>
      <c r="G2774" s="46"/>
      <c r="H2774" s="46"/>
    </row>
    <row r="2775" spans="6:8" x14ac:dyDescent="0.25">
      <c r="F2775" s="46"/>
      <c r="G2775" s="46"/>
      <c r="H2775" s="46"/>
    </row>
    <row r="2776" spans="6:8" x14ac:dyDescent="0.25">
      <c r="F2776" s="46"/>
      <c r="G2776" s="46"/>
      <c r="H2776" s="46"/>
    </row>
    <row r="2777" spans="6:8" x14ac:dyDescent="0.25">
      <c r="F2777" s="46"/>
      <c r="G2777" s="46"/>
      <c r="H2777" s="46"/>
    </row>
    <row r="2778" spans="6:8" x14ac:dyDescent="0.25">
      <c r="F2778" s="46"/>
      <c r="G2778" s="46"/>
      <c r="H2778" s="46"/>
    </row>
    <row r="2779" spans="6:8" x14ac:dyDescent="0.25">
      <c r="F2779" s="46"/>
      <c r="G2779" s="46"/>
      <c r="H2779" s="46"/>
    </row>
    <row r="2780" spans="6:8" x14ac:dyDescent="0.25">
      <c r="F2780" s="46"/>
      <c r="G2780" s="46"/>
      <c r="H2780" s="46"/>
    </row>
    <row r="2781" spans="6:8" x14ac:dyDescent="0.25">
      <c r="F2781" s="46"/>
      <c r="G2781" s="46"/>
      <c r="H2781" s="46"/>
    </row>
    <row r="2782" spans="6:8" x14ac:dyDescent="0.25">
      <c r="F2782" s="46"/>
      <c r="G2782" s="46"/>
      <c r="H2782" s="46"/>
    </row>
    <row r="2783" spans="6:8" x14ac:dyDescent="0.25">
      <c r="F2783" s="46"/>
      <c r="G2783" s="46"/>
      <c r="H2783" s="46"/>
    </row>
    <row r="2784" spans="6:8" x14ac:dyDescent="0.25">
      <c r="F2784" s="46"/>
      <c r="G2784" s="46"/>
      <c r="H2784" s="46"/>
    </row>
    <row r="2785" spans="6:8" x14ac:dyDescent="0.25">
      <c r="F2785" s="46"/>
      <c r="G2785" s="46"/>
      <c r="H2785" s="46"/>
    </row>
    <row r="2786" spans="6:8" x14ac:dyDescent="0.25">
      <c r="F2786" s="46"/>
      <c r="G2786" s="46"/>
      <c r="H2786" s="46"/>
    </row>
    <row r="2787" spans="6:8" x14ac:dyDescent="0.25">
      <c r="F2787" s="46"/>
      <c r="G2787" s="46"/>
      <c r="H2787" s="46"/>
    </row>
    <row r="2788" spans="6:8" x14ac:dyDescent="0.25">
      <c r="F2788" s="46"/>
      <c r="G2788" s="46"/>
      <c r="H2788" s="46"/>
    </row>
    <row r="2789" spans="6:8" x14ac:dyDescent="0.25">
      <c r="F2789" s="46"/>
      <c r="G2789" s="46"/>
      <c r="H2789" s="46"/>
    </row>
    <row r="2790" spans="6:8" x14ac:dyDescent="0.25">
      <c r="F2790" s="46"/>
      <c r="G2790" s="46"/>
      <c r="H2790" s="46"/>
    </row>
    <row r="2791" spans="6:8" x14ac:dyDescent="0.25">
      <c r="F2791" s="46"/>
      <c r="G2791" s="46"/>
      <c r="H2791" s="46"/>
    </row>
    <row r="2792" spans="6:8" x14ac:dyDescent="0.25">
      <c r="F2792" s="46"/>
      <c r="G2792" s="46"/>
      <c r="H2792" s="46"/>
    </row>
    <row r="2793" spans="6:8" x14ac:dyDescent="0.25">
      <c r="F2793" s="46"/>
      <c r="G2793" s="46"/>
      <c r="H2793" s="46"/>
    </row>
    <row r="2794" spans="6:8" x14ac:dyDescent="0.25">
      <c r="F2794" s="46"/>
      <c r="G2794" s="46"/>
      <c r="H2794" s="46"/>
    </row>
    <row r="2795" spans="6:8" x14ac:dyDescent="0.25">
      <c r="F2795" s="46"/>
      <c r="G2795" s="46"/>
      <c r="H2795" s="46"/>
    </row>
    <row r="2796" spans="6:8" x14ac:dyDescent="0.25">
      <c r="F2796" s="46"/>
      <c r="G2796" s="46"/>
      <c r="H2796" s="46"/>
    </row>
    <row r="2797" spans="6:8" x14ac:dyDescent="0.25">
      <c r="F2797" s="46"/>
      <c r="G2797" s="46"/>
      <c r="H2797" s="46"/>
    </row>
    <row r="2798" spans="6:8" x14ac:dyDescent="0.25">
      <c r="F2798" s="46"/>
      <c r="G2798" s="46"/>
      <c r="H2798" s="46"/>
    </row>
    <row r="2799" spans="6:8" x14ac:dyDescent="0.25">
      <c r="F2799" s="46"/>
      <c r="G2799" s="46"/>
      <c r="H2799" s="46"/>
    </row>
    <row r="2800" spans="6:8" x14ac:dyDescent="0.25">
      <c r="F2800" s="46"/>
      <c r="G2800" s="46"/>
      <c r="H2800" s="46"/>
    </row>
    <row r="2801" spans="6:8" x14ac:dyDescent="0.25">
      <c r="F2801" s="46"/>
      <c r="G2801" s="46"/>
      <c r="H2801" s="46"/>
    </row>
    <row r="2802" spans="6:8" x14ac:dyDescent="0.25">
      <c r="F2802" s="46"/>
      <c r="G2802" s="46"/>
      <c r="H2802" s="46"/>
    </row>
    <row r="2803" spans="6:8" x14ac:dyDescent="0.25">
      <c r="F2803" s="46"/>
      <c r="G2803" s="46"/>
      <c r="H2803" s="46"/>
    </row>
    <row r="2804" spans="6:8" x14ac:dyDescent="0.25">
      <c r="F2804" s="46"/>
      <c r="G2804" s="46"/>
      <c r="H2804" s="46"/>
    </row>
    <row r="2805" spans="6:8" x14ac:dyDescent="0.25">
      <c r="F2805" s="46"/>
      <c r="G2805" s="46"/>
      <c r="H2805" s="46"/>
    </row>
    <row r="2806" spans="6:8" x14ac:dyDescent="0.25">
      <c r="F2806" s="46"/>
      <c r="G2806" s="46"/>
      <c r="H2806" s="46"/>
    </row>
    <row r="2807" spans="6:8" x14ac:dyDescent="0.25">
      <c r="F2807" s="46"/>
      <c r="G2807" s="46"/>
      <c r="H2807" s="46"/>
    </row>
    <row r="2808" spans="6:8" x14ac:dyDescent="0.25">
      <c r="F2808" s="46"/>
      <c r="G2808" s="46"/>
      <c r="H2808" s="46"/>
    </row>
    <row r="2809" spans="6:8" x14ac:dyDescent="0.25">
      <c r="F2809" s="46"/>
      <c r="G2809" s="46"/>
      <c r="H2809" s="46"/>
    </row>
    <row r="2810" spans="6:8" x14ac:dyDescent="0.25">
      <c r="F2810" s="46"/>
      <c r="G2810" s="46"/>
      <c r="H2810" s="46"/>
    </row>
    <row r="2811" spans="6:8" x14ac:dyDescent="0.25">
      <c r="F2811" s="46"/>
      <c r="G2811" s="46"/>
      <c r="H2811" s="46"/>
    </row>
    <row r="2812" spans="6:8" x14ac:dyDescent="0.25">
      <c r="F2812" s="46"/>
      <c r="G2812" s="46"/>
      <c r="H2812" s="46"/>
    </row>
    <row r="2813" spans="6:8" x14ac:dyDescent="0.25">
      <c r="F2813" s="46"/>
      <c r="G2813" s="46"/>
      <c r="H2813" s="46"/>
    </row>
    <row r="2814" spans="6:8" x14ac:dyDescent="0.25">
      <c r="F2814" s="46"/>
      <c r="G2814" s="46"/>
      <c r="H2814" s="46"/>
    </row>
    <row r="2815" spans="6:8" x14ac:dyDescent="0.25">
      <c r="F2815" s="46"/>
      <c r="G2815" s="46"/>
      <c r="H2815" s="46"/>
    </row>
    <row r="2816" spans="6:8" x14ac:dyDescent="0.25">
      <c r="F2816" s="46"/>
      <c r="G2816" s="46"/>
      <c r="H2816" s="46"/>
    </row>
    <row r="2817" spans="6:8" x14ac:dyDescent="0.25">
      <c r="F2817" s="46"/>
      <c r="G2817" s="46"/>
      <c r="H2817" s="46"/>
    </row>
    <row r="2818" spans="6:8" x14ac:dyDescent="0.25">
      <c r="F2818" s="46"/>
      <c r="G2818" s="46"/>
      <c r="H2818" s="46"/>
    </row>
    <row r="2819" spans="6:8" x14ac:dyDescent="0.25">
      <c r="F2819" s="46"/>
      <c r="G2819" s="46"/>
      <c r="H2819" s="46"/>
    </row>
    <row r="2820" spans="6:8" x14ac:dyDescent="0.25">
      <c r="F2820" s="46"/>
      <c r="G2820" s="46"/>
      <c r="H2820" s="46"/>
    </row>
    <row r="2821" spans="6:8" x14ac:dyDescent="0.25">
      <c r="F2821" s="46"/>
      <c r="G2821" s="46"/>
      <c r="H2821" s="46"/>
    </row>
    <row r="2822" spans="6:8" x14ac:dyDescent="0.25">
      <c r="F2822" s="46"/>
      <c r="G2822" s="46"/>
      <c r="H2822" s="46"/>
    </row>
    <row r="2823" spans="6:8" x14ac:dyDescent="0.25">
      <c r="F2823" s="46"/>
      <c r="G2823" s="46"/>
      <c r="H2823" s="46"/>
    </row>
    <row r="2824" spans="6:8" x14ac:dyDescent="0.25">
      <c r="F2824" s="46"/>
      <c r="G2824" s="46"/>
      <c r="H2824" s="46"/>
    </row>
    <row r="2825" spans="6:8" x14ac:dyDescent="0.25">
      <c r="F2825" s="46"/>
      <c r="G2825" s="46"/>
      <c r="H2825" s="46"/>
    </row>
    <row r="2826" spans="6:8" x14ac:dyDescent="0.25">
      <c r="F2826" s="46"/>
      <c r="G2826" s="46"/>
      <c r="H2826" s="46"/>
    </row>
    <row r="2827" spans="6:8" x14ac:dyDescent="0.25">
      <c r="F2827" s="46"/>
      <c r="G2827" s="46"/>
      <c r="H2827" s="46"/>
    </row>
    <row r="2828" spans="6:8" x14ac:dyDescent="0.25">
      <c r="F2828" s="46"/>
      <c r="G2828" s="46"/>
      <c r="H2828" s="46"/>
    </row>
    <row r="2829" spans="6:8" x14ac:dyDescent="0.25">
      <c r="F2829" s="46"/>
      <c r="G2829" s="46"/>
      <c r="H2829" s="46"/>
    </row>
    <row r="2830" spans="6:8" x14ac:dyDescent="0.25">
      <c r="F2830" s="46"/>
      <c r="G2830" s="46"/>
      <c r="H2830" s="46"/>
    </row>
    <row r="2831" spans="6:8" x14ac:dyDescent="0.25">
      <c r="F2831" s="46"/>
      <c r="G2831" s="46"/>
      <c r="H2831" s="46"/>
    </row>
    <row r="2832" spans="6:8" x14ac:dyDescent="0.25">
      <c r="F2832" s="46"/>
      <c r="G2832" s="46"/>
      <c r="H2832" s="46"/>
    </row>
    <row r="2833" spans="6:8" x14ac:dyDescent="0.25">
      <c r="F2833" s="46"/>
      <c r="G2833" s="46"/>
      <c r="H2833" s="46"/>
    </row>
    <row r="2834" spans="6:8" x14ac:dyDescent="0.25">
      <c r="F2834" s="46"/>
      <c r="G2834" s="46"/>
      <c r="H2834" s="46"/>
    </row>
    <row r="2835" spans="6:8" x14ac:dyDescent="0.25">
      <c r="F2835" s="46"/>
      <c r="G2835" s="46"/>
      <c r="H2835" s="46"/>
    </row>
    <row r="2836" spans="6:8" x14ac:dyDescent="0.25">
      <c r="F2836" s="46"/>
      <c r="G2836" s="46"/>
      <c r="H2836" s="46"/>
    </row>
    <row r="2837" spans="6:8" x14ac:dyDescent="0.25">
      <c r="F2837" s="46"/>
      <c r="G2837" s="46"/>
      <c r="H2837" s="46"/>
    </row>
    <row r="2838" spans="6:8" x14ac:dyDescent="0.25">
      <c r="F2838" s="46"/>
      <c r="G2838" s="46"/>
      <c r="H2838" s="46"/>
    </row>
    <row r="2839" spans="6:8" x14ac:dyDescent="0.25">
      <c r="F2839" s="46"/>
      <c r="G2839" s="46"/>
      <c r="H2839" s="46"/>
    </row>
    <row r="2840" spans="6:8" x14ac:dyDescent="0.25">
      <c r="F2840" s="46"/>
      <c r="G2840" s="46"/>
      <c r="H2840" s="46"/>
    </row>
    <row r="2841" spans="6:8" x14ac:dyDescent="0.25">
      <c r="F2841" s="46"/>
      <c r="G2841" s="46"/>
      <c r="H2841" s="46"/>
    </row>
    <row r="2842" spans="6:8" x14ac:dyDescent="0.25">
      <c r="F2842" s="46"/>
      <c r="G2842" s="46"/>
      <c r="H2842" s="46"/>
    </row>
    <row r="2843" spans="6:8" x14ac:dyDescent="0.25">
      <c r="F2843" s="46"/>
      <c r="G2843" s="46"/>
      <c r="H2843" s="46"/>
    </row>
    <row r="2844" spans="6:8" x14ac:dyDescent="0.25">
      <c r="F2844" s="46"/>
      <c r="G2844" s="46"/>
      <c r="H2844" s="46"/>
    </row>
    <row r="2845" spans="6:8" x14ac:dyDescent="0.25">
      <c r="F2845" s="46"/>
      <c r="G2845" s="46"/>
      <c r="H2845" s="46"/>
    </row>
    <row r="2846" spans="6:8" x14ac:dyDescent="0.25">
      <c r="F2846" s="46"/>
      <c r="G2846" s="46"/>
      <c r="H2846" s="46"/>
    </row>
    <row r="2847" spans="6:8" x14ac:dyDescent="0.25">
      <c r="F2847" s="46"/>
      <c r="G2847" s="46"/>
      <c r="H2847" s="46"/>
    </row>
    <row r="2848" spans="6:8" x14ac:dyDescent="0.25">
      <c r="F2848" s="46"/>
      <c r="G2848" s="46"/>
      <c r="H2848" s="46"/>
    </row>
    <row r="2849" spans="6:8" x14ac:dyDescent="0.25">
      <c r="F2849" s="46"/>
      <c r="G2849" s="46"/>
      <c r="H2849" s="46"/>
    </row>
    <row r="2850" spans="6:8" x14ac:dyDescent="0.25">
      <c r="F2850" s="46"/>
      <c r="G2850" s="46"/>
      <c r="H2850" s="46"/>
    </row>
    <row r="2851" spans="6:8" x14ac:dyDescent="0.25">
      <c r="F2851" s="46"/>
      <c r="G2851" s="46"/>
      <c r="H2851" s="46"/>
    </row>
    <row r="2852" spans="6:8" x14ac:dyDescent="0.25">
      <c r="F2852" s="46"/>
      <c r="G2852" s="46"/>
      <c r="H2852" s="46"/>
    </row>
    <row r="2853" spans="6:8" x14ac:dyDescent="0.25">
      <c r="F2853" s="46"/>
      <c r="G2853" s="46"/>
      <c r="H2853" s="46"/>
    </row>
    <row r="2854" spans="6:8" x14ac:dyDescent="0.25">
      <c r="F2854" s="46"/>
      <c r="G2854" s="46"/>
      <c r="H2854" s="46"/>
    </row>
    <row r="2855" spans="6:8" x14ac:dyDescent="0.25">
      <c r="F2855" s="46"/>
      <c r="G2855" s="46"/>
      <c r="H2855" s="46"/>
    </row>
    <row r="2856" spans="6:8" x14ac:dyDescent="0.25">
      <c r="F2856" s="46"/>
      <c r="G2856" s="46"/>
      <c r="H2856" s="46"/>
    </row>
    <row r="2857" spans="6:8" x14ac:dyDescent="0.25">
      <c r="F2857" s="46"/>
      <c r="G2857" s="46"/>
      <c r="H2857" s="46"/>
    </row>
    <row r="2858" spans="6:8" x14ac:dyDescent="0.25">
      <c r="F2858" s="46"/>
      <c r="G2858" s="46"/>
      <c r="H2858" s="46"/>
    </row>
    <row r="2859" spans="6:8" x14ac:dyDescent="0.25">
      <c r="F2859" s="46"/>
      <c r="G2859" s="46"/>
      <c r="H2859" s="46"/>
    </row>
    <row r="2860" spans="6:8" x14ac:dyDescent="0.25">
      <c r="F2860" s="46"/>
      <c r="G2860" s="46"/>
      <c r="H2860" s="46"/>
    </row>
    <row r="2861" spans="6:8" x14ac:dyDescent="0.25">
      <c r="F2861" s="46"/>
      <c r="G2861" s="46"/>
      <c r="H2861" s="46"/>
    </row>
    <row r="2862" spans="6:8" x14ac:dyDescent="0.25">
      <c r="F2862" s="46"/>
      <c r="G2862" s="46"/>
      <c r="H2862" s="46"/>
    </row>
    <row r="2863" spans="6:8" x14ac:dyDescent="0.25">
      <c r="F2863" s="46"/>
      <c r="G2863" s="46"/>
      <c r="H2863" s="46"/>
    </row>
    <row r="2864" spans="6:8" x14ac:dyDescent="0.25">
      <c r="F2864" s="46"/>
      <c r="G2864" s="46"/>
      <c r="H2864" s="46"/>
    </row>
    <row r="2865" spans="6:8" x14ac:dyDescent="0.25">
      <c r="F2865" s="46"/>
      <c r="G2865" s="46"/>
      <c r="H2865" s="46"/>
    </row>
    <row r="2866" spans="6:8" x14ac:dyDescent="0.25">
      <c r="F2866" s="46"/>
      <c r="G2866" s="46"/>
      <c r="H2866" s="46"/>
    </row>
    <row r="2867" spans="6:8" x14ac:dyDescent="0.25">
      <c r="F2867" s="46"/>
      <c r="G2867" s="46"/>
      <c r="H2867" s="46"/>
    </row>
    <row r="2868" spans="6:8" x14ac:dyDescent="0.25">
      <c r="F2868" s="46"/>
      <c r="G2868" s="46"/>
      <c r="H2868" s="46"/>
    </row>
    <row r="2869" spans="6:8" x14ac:dyDescent="0.25">
      <c r="F2869" s="46"/>
      <c r="G2869" s="46"/>
      <c r="H2869" s="46"/>
    </row>
    <row r="2870" spans="6:8" x14ac:dyDescent="0.25">
      <c r="F2870" s="46"/>
      <c r="G2870" s="46"/>
      <c r="H2870" s="46"/>
    </row>
    <row r="2871" spans="6:8" x14ac:dyDescent="0.25">
      <c r="F2871" s="46"/>
      <c r="G2871" s="46"/>
      <c r="H2871" s="46"/>
    </row>
    <row r="2872" spans="6:8" x14ac:dyDescent="0.25">
      <c r="F2872" s="46"/>
      <c r="G2872" s="46"/>
      <c r="H2872" s="46"/>
    </row>
    <row r="2873" spans="6:8" x14ac:dyDescent="0.25">
      <c r="F2873" s="46"/>
      <c r="G2873" s="46"/>
      <c r="H2873" s="46"/>
    </row>
    <row r="2874" spans="6:8" x14ac:dyDescent="0.25">
      <c r="F2874" s="46"/>
      <c r="G2874" s="46"/>
      <c r="H2874" s="46"/>
    </row>
    <row r="2875" spans="6:8" x14ac:dyDescent="0.25">
      <c r="F2875" s="46"/>
      <c r="G2875" s="46"/>
      <c r="H2875" s="46"/>
    </row>
    <row r="2876" spans="6:8" x14ac:dyDescent="0.25">
      <c r="F2876" s="46"/>
      <c r="G2876" s="46"/>
      <c r="H2876" s="46"/>
    </row>
    <row r="2877" spans="6:8" x14ac:dyDescent="0.25">
      <c r="F2877" s="46"/>
      <c r="G2877" s="46"/>
      <c r="H2877" s="46"/>
    </row>
    <row r="2878" spans="6:8" x14ac:dyDescent="0.25">
      <c r="F2878" s="46"/>
      <c r="G2878" s="46"/>
      <c r="H2878" s="46"/>
    </row>
    <row r="2879" spans="6:8" x14ac:dyDescent="0.25">
      <c r="F2879" s="46"/>
      <c r="G2879" s="46"/>
      <c r="H2879" s="46"/>
    </row>
    <row r="2880" spans="6:8" x14ac:dyDescent="0.25">
      <c r="F2880" s="46"/>
      <c r="G2880" s="46"/>
      <c r="H2880" s="46"/>
    </row>
    <row r="2881" spans="6:8" x14ac:dyDescent="0.25">
      <c r="F2881" s="46"/>
      <c r="G2881" s="46"/>
      <c r="H2881" s="46"/>
    </row>
    <row r="2882" spans="6:8" x14ac:dyDescent="0.25">
      <c r="F2882" s="46"/>
      <c r="G2882" s="46"/>
      <c r="H2882" s="46"/>
    </row>
    <row r="2883" spans="6:8" x14ac:dyDescent="0.25">
      <c r="F2883" s="46"/>
      <c r="G2883" s="46"/>
      <c r="H2883" s="46"/>
    </row>
    <row r="2884" spans="6:8" x14ac:dyDescent="0.25">
      <c r="F2884" s="46"/>
      <c r="G2884" s="46"/>
      <c r="H2884" s="46"/>
    </row>
    <row r="2885" spans="6:8" x14ac:dyDescent="0.25">
      <c r="F2885" s="46"/>
      <c r="G2885" s="46"/>
      <c r="H2885" s="46"/>
    </row>
    <row r="2886" spans="6:8" x14ac:dyDescent="0.25">
      <c r="F2886" s="46"/>
      <c r="G2886" s="46"/>
      <c r="H2886" s="46"/>
    </row>
    <row r="2887" spans="6:8" x14ac:dyDescent="0.25">
      <c r="F2887" s="46"/>
      <c r="G2887" s="46"/>
      <c r="H2887" s="46"/>
    </row>
    <row r="2888" spans="6:8" x14ac:dyDescent="0.25">
      <c r="F2888" s="46"/>
      <c r="G2888" s="46"/>
      <c r="H2888" s="46"/>
    </row>
    <row r="2889" spans="6:8" x14ac:dyDescent="0.25">
      <c r="F2889" s="46"/>
      <c r="G2889" s="46"/>
      <c r="H2889" s="46"/>
    </row>
    <row r="2890" spans="6:8" x14ac:dyDescent="0.25">
      <c r="F2890" s="46"/>
      <c r="G2890" s="46"/>
      <c r="H2890" s="46"/>
    </row>
    <row r="2891" spans="6:8" x14ac:dyDescent="0.25">
      <c r="F2891" s="46"/>
      <c r="G2891" s="46"/>
      <c r="H2891" s="46"/>
    </row>
    <row r="2892" spans="6:8" x14ac:dyDescent="0.25">
      <c r="F2892" s="46"/>
      <c r="G2892" s="46"/>
      <c r="H2892" s="46"/>
    </row>
    <row r="2893" spans="6:8" x14ac:dyDescent="0.25">
      <c r="F2893" s="46"/>
      <c r="G2893" s="46"/>
      <c r="H2893" s="46"/>
    </row>
    <row r="2894" spans="6:8" x14ac:dyDescent="0.25">
      <c r="F2894" s="46"/>
      <c r="G2894" s="46"/>
      <c r="H2894" s="46"/>
    </row>
    <row r="2895" spans="6:8" x14ac:dyDescent="0.25">
      <c r="F2895" s="46"/>
      <c r="G2895" s="46"/>
      <c r="H2895" s="46"/>
    </row>
    <row r="2896" spans="6:8" x14ac:dyDescent="0.25">
      <c r="F2896" s="46"/>
      <c r="G2896" s="46"/>
      <c r="H2896" s="46"/>
    </row>
    <row r="2897" spans="6:8" x14ac:dyDescent="0.25">
      <c r="F2897" s="46"/>
      <c r="G2897" s="46"/>
      <c r="H2897" s="46"/>
    </row>
    <row r="2898" spans="6:8" x14ac:dyDescent="0.25">
      <c r="F2898" s="46"/>
      <c r="G2898" s="46"/>
      <c r="H2898" s="46"/>
    </row>
    <row r="2899" spans="6:8" x14ac:dyDescent="0.25">
      <c r="F2899" s="46"/>
      <c r="G2899" s="46"/>
      <c r="H2899" s="46"/>
    </row>
    <row r="2900" spans="6:8" x14ac:dyDescent="0.25">
      <c r="F2900" s="46"/>
      <c r="G2900" s="46"/>
      <c r="H2900" s="46"/>
    </row>
    <row r="2901" spans="6:8" x14ac:dyDescent="0.25">
      <c r="F2901" s="46"/>
      <c r="G2901" s="46"/>
      <c r="H2901" s="46"/>
    </row>
    <row r="2902" spans="6:8" x14ac:dyDescent="0.25">
      <c r="F2902" s="46"/>
      <c r="G2902" s="46"/>
      <c r="H2902" s="46"/>
    </row>
    <row r="2903" spans="6:8" x14ac:dyDescent="0.25">
      <c r="F2903" s="46"/>
      <c r="G2903" s="46"/>
      <c r="H2903" s="46"/>
    </row>
    <row r="2904" spans="6:8" x14ac:dyDescent="0.25">
      <c r="F2904" s="46"/>
      <c r="G2904" s="46"/>
      <c r="H2904" s="46"/>
    </row>
    <row r="2905" spans="6:8" x14ac:dyDescent="0.25">
      <c r="F2905" s="46"/>
      <c r="G2905" s="46"/>
      <c r="H2905" s="46"/>
    </row>
    <row r="2906" spans="6:8" x14ac:dyDescent="0.25">
      <c r="F2906" s="46"/>
      <c r="G2906" s="46"/>
      <c r="H2906" s="46"/>
    </row>
    <row r="2907" spans="6:8" x14ac:dyDescent="0.25">
      <c r="F2907" s="46"/>
      <c r="G2907" s="46"/>
      <c r="H2907" s="46"/>
    </row>
    <row r="2908" spans="6:8" x14ac:dyDescent="0.25">
      <c r="F2908" s="46"/>
      <c r="G2908" s="46"/>
      <c r="H2908" s="46"/>
    </row>
    <row r="2909" spans="6:8" x14ac:dyDescent="0.25">
      <c r="F2909" s="46"/>
      <c r="G2909" s="46"/>
      <c r="H2909" s="46"/>
    </row>
    <row r="2910" spans="6:8" x14ac:dyDescent="0.25">
      <c r="F2910" s="46"/>
      <c r="G2910" s="46"/>
      <c r="H2910" s="46"/>
    </row>
    <row r="2911" spans="6:8" x14ac:dyDescent="0.25">
      <c r="F2911" s="46"/>
      <c r="G2911" s="46"/>
      <c r="H2911" s="46"/>
    </row>
    <row r="2912" spans="6:8" x14ac:dyDescent="0.25">
      <c r="F2912" s="46"/>
      <c r="G2912" s="46"/>
      <c r="H2912" s="46"/>
    </row>
    <row r="2913" spans="6:8" x14ac:dyDescent="0.25">
      <c r="F2913" s="46"/>
      <c r="G2913" s="46"/>
      <c r="H2913" s="46"/>
    </row>
    <row r="2914" spans="6:8" x14ac:dyDescent="0.25">
      <c r="F2914" s="46"/>
      <c r="G2914" s="46"/>
      <c r="H2914" s="46"/>
    </row>
    <row r="2915" spans="6:8" x14ac:dyDescent="0.25">
      <c r="F2915" s="46"/>
      <c r="G2915" s="46"/>
      <c r="H2915" s="46"/>
    </row>
    <row r="2916" spans="6:8" x14ac:dyDescent="0.25">
      <c r="F2916" s="46"/>
      <c r="G2916" s="46"/>
      <c r="H2916" s="46"/>
    </row>
    <row r="2917" spans="6:8" x14ac:dyDescent="0.25">
      <c r="F2917" s="46"/>
      <c r="G2917" s="46"/>
      <c r="H2917" s="46"/>
    </row>
    <row r="2918" spans="6:8" x14ac:dyDescent="0.25">
      <c r="F2918" s="46"/>
      <c r="G2918" s="46"/>
      <c r="H2918" s="46"/>
    </row>
    <row r="2919" spans="6:8" x14ac:dyDescent="0.25">
      <c r="F2919" s="46"/>
      <c r="G2919" s="46"/>
      <c r="H2919" s="46"/>
    </row>
    <row r="2920" spans="6:8" x14ac:dyDescent="0.25">
      <c r="F2920" s="46"/>
      <c r="G2920" s="46"/>
      <c r="H2920" s="46"/>
    </row>
    <row r="2921" spans="6:8" x14ac:dyDescent="0.25">
      <c r="F2921" s="46"/>
      <c r="G2921" s="46"/>
      <c r="H2921" s="46"/>
    </row>
    <row r="2922" spans="6:8" x14ac:dyDescent="0.25">
      <c r="F2922" s="46"/>
      <c r="G2922" s="46"/>
      <c r="H2922" s="46"/>
    </row>
    <row r="2923" spans="6:8" x14ac:dyDescent="0.25">
      <c r="F2923" s="46"/>
      <c r="G2923" s="46"/>
      <c r="H2923" s="46"/>
    </row>
    <row r="2924" spans="6:8" x14ac:dyDescent="0.25">
      <c r="F2924" s="46"/>
      <c r="G2924" s="46"/>
      <c r="H2924" s="46"/>
    </row>
    <row r="2925" spans="6:8" x14ac:dyDescent="0.25">
      <c r="F2925" s="46"/>
      <c r="G2925" s="46"/>
      <c r="H2925" s="46"/>
    </row>
    <row r="2926" spans="6:8" x14ac:dyDescent="0.25">
      <c r="F2926" s="46"/>
      <c r="G2926" s="46"/>
      <c r="H2926" s="46"/>
    </row>
    <row r="2927" spans="6:8" x14ac:dyDescent="0.25">
      <c r="F2927" s="46"/>
      <c r="G2927" s="46"/>
      <c r="H2927" s="46"/>
    </row>
    <row r="2928" spans="6:8" x14ac:dyDescent="0.25">
      <c r="F2928" s="46"/>
      <c r="G2928" s="46"/>
      <c r="H2928" s="46"/>
    </row>
    <row r="2929" spans="6:8" x14ac:dyDescent="0.25">
      <c r="F2929" s="46"/>
      <c r="G2929" s="46"/>
      <c r="H2929" s="46"/>
    </row>
    <row r="2930" spans="6:8" x14ac:dyDescent="0.25">
      <c r="F2930" s="46"/>
      <c r="G2930" s="46"/>
      <c r="H2930" s="46"/>
    </row>
    <row r="2931" spans="6:8" x14ac:dyDescent="0.25">
      <c r="F2931" s="46"/>
      <c r="G2931" s="46"/>
      <c r="H2931" s="46"/>
    </row>
    <row r="2932" spans="6:8" x14ac:dyDescent="0.25">
      <c r="F2932" s="46"/>
      <c r="G2932" s="46"/>
      <c r="H2932" s="46"/>
    </row>
    <row r="2933" spans="6:8" x14ac:dyDescent="0.25">
      <c r="F2933" s="46"/>
      <c r="G2933" s="46"/>
      <c r="H2933" s="46"/>
    </row>
    <row r="2934" spans="6:8" x14ac:dyDescent="0.25">
      <c r="F2934" s="46"/>
      <c r="G2934" s="46"/>
      <c r="H2934" s="46"/>
    </row>
    <row r="2935" spans="6:8" x14ac:dyDescent="0.25">
      <c r="F2935" s="46"/>
      <c r="G2935" s="46"/>
      <c r="H2935" s="46"/>
    </row>
    <row r="2936" spans="6:8" x14ac:dyDescent="0.25">
      <c r="F2936" s="46"/>
      <c r="G2936" s="46"/>
      <c r="H2936" s="46"/>
    </row>
    <row r="2937" spans="6:8" x14ac:dyDescent="0.25">
      <c r="F2937" s="46"/>
      <c r="G2937" s="46"/>
      <c r="H2937" s="46"/>
    </row>
    <row r="2938" spans="6:8" x14ac:dyDescent="0.25">
      <c r="F2938" s="46"/>
      <c r="G2938" s="46"/>
      <c r="H2938" s="46"/>
    </row>
    <row r="2939" spans="6:8" x14ac:dyDescent="0.25">
      <c r="F2939" s="46"/>
      <c r="G2939" s="46"/>
      <c r="H2939" s="46"/>
    </row>
    <row r="2940" spans="6:8" x14ac:dyDescent="0.25">
      <c r="F2940" s="46"/>
      <c r="G2940" s="46"/>
      <c r="H2940" s="46"/>
    </row>
    <row r="2941" spans="6:8" x14ac:dyDescent="0.25">
      <c r="F2941" s="46"/>
      <c r="G2941" s="46"/>
      <c r="H2941" s="46"/>
    </row>
    <row r="2942" spans="6:8" x14ac:dyDescent="0.25">
      <c r="F2942" s="46"/>
      <c r="G2942" s="46"/>
      <c r="H2942" s="46"/>
    </row>
    <row r="2943" spans="6:8" x14ac:dyDescent="0.25">
      <c r="F2943" s="46"/>
      <c r="G2943" s="46"/>
      <c r="H2943" s="46"/>
    </row>
    <row r="2944" spans="6:8" x14ac:dyDescent="0.25">
      <c r="F2944" s="46"/>
      <c r="G2944" s="46"/>
      <c r="H2944" s="46"/>
    </row>
    <row r="2945" spans="6:8" x14ac:dyDescent="0.25">
      <c r="F2945" s="46"/>
      <c r="G2945" s="46"/>
      <c r="H2945" s="46"/>
    </row>
    <row r="2946" spans="6:8" x14ac:dyDescent="0.25">
      <c r="F2946" s="46"/>
      <c r="G2946" s="46"/>
      <c r="H2946" s="46"/>
    </row>
    <row r="2947" spans="6:8" x14ac:dyDescent="0.25">
      <c r="F2947" s="46"/>
      <c r="G2947" s="46"/>
      <c r="H2947" s="46"/>
    </row>
    <row r="2948" spans="6:8" x14ac:dyDescent="0.25">
      <c r="F2948" s="46"/>
      <c r="G2948" s="46"/>
      <c r="H2948" s="46"/>
    </row>
    <row r="2949" spans="6:8" x14ac:dyDescent="0.25">
      <c r="F2949" s="46"/>
      <c r="G2949" s="46"/>
      <c r="H2949" s="46"/>
    </row>
    <row r="2950" spans="6:8" x14ac:dyDescent="0.25">
      <c r="F2950" s="46"/>
      <c r="G2950" s="46"/>
      <c r="H2950" s="46"/>
    </row>
    <row r="2951" spans="6:8" x14ac:dyDescent="0.25">
      <c r="F2951" s="46"/>
      <c r="G2951" s="46"/>
      <c r="H2951" s="46"/>
    </row>
    <row r="2952" spans="6:8" x14ac:dyDescent="0.25">
      <c r="F2952" s="46"/>
      <c r="G2952" s="46"/>
      <c r="H2952" s="46"/>
    </row>
    <row r="2953" spans="6:8" x14ac:dyDescent="0.25">
      <c r="F2953" s="46"/>
      <c r="G2953" s="46"/>
      <c r="H2953" s="46"/>
    </row>
    <row r="2954" spans="6:8" x14ac:dyDescent="0.25">
      <c r="F2954" s="46"/>
      <c r="G2954" s="46"/>
      <c r="H2954" s="46"/>
    </row>
    <row r="2955" spans="6:8" x14ac:dyDescent="0.25">
      <c r="F2955" s="46"/>
      <c r="G2955" s="46"/>
      <c r="H2955" s="46"/>
    </row>
    <row r="2956" spans="6:8" x14ac:dyDescent="0.25">
      <c r="F2956" s="46"/>
      <c r="G2956" s="46"/>
      <c r="H2956" s="46"/>
    </row>
    <row r="2957" spans="6:8" x14ac:dyDescent="0.25">
      <c r="F2957" s="46"/>
      <c r="G2957" s="46"/>
      <c r="H2957" s="46"/>
    </row>
    <row r="2958" spans="6:8" x14ac:dyDescent="0.25">
      <c r="F2958" s="46"/>
      <c r="G2958" s="46"/>
      <c r="H2958" s="46"/>
    </row>
    <row r="2959" spans="6:8" x14ac:dyDescent="0.25">
      <c r="F2959" s="46"/>
      <c r="G2959" s="46"/>
      <c r="H2959" s="46"/>
    </row>
    <row r="2960" spans="6:8" x14ac:dyDescent="0.25">
      <c r="F2960" s="46"/>
      <c r="G2960" s="46"/>
      <c r="H2960" s="46"/>
    </row>
    <row r="2961" spans="6:8" x14ac:dyDescent="0.25">
      <c r="F2961" s="46"/>
      <c r="G2961" s="46"/>
      <c r="H2961" s="46"/>
    </row>
    <row r="2962" spans="6:8" x14ac:dyDescent="0.25">
      <c r="F2962" s="46"/>
      <c r="G2962" s="46"/>
      <c r="H2962" s="46"/>
    </row>
    <row r="2963" spans="6:8" x14ac:dyDescent="0.25">
      <c r="F2963" s="46"/>
      <c r="G2963" s="46"/>
      <c r="H2963" s="46"/>
    </row>
    <row r="2964" spans="6:8" x14ac:dyDescent="0.25">
      <c r="F2964" s="46"/>
      <c r="G2964" s="46"/>
      <c r="H2964" s="46"/>
    </row>
    <row r="2965" spans="6:8" x14ac:dyDescent="0.25">
      <c r="F2965" s="46"/>
      <c r="G2965" s="46"/>
      <c r="H2965" s="46"/>
    </row>
    <row r="2966" spans="6:8" x14ac:dyDescent="0.25">
      <c r="F2966" s="46"/>
      <c r="G2966" s="46"/>
      <c r="H2966" s="46"/>
    </row>
    <row r="2967" spans="6:8" x14ac:dyDescent="0.25">
      <c r="F2967" s="46"/>
      <c r="G2967" s="46"/>
      <c r="H2967" s="46"/>
    </row>
    <row r="2968" spans="6:8" x14ac:dyDescent="0.25">
      <c r="F2968" s="46"/>
      <c r="G2968" s="46"/>
      <c r="H2968" s="46"/>
    </row>
    <row r="2969" spans="6:8" x14ac:dyDescent="0.25">
      <c r="F2969" s="46"/>
      <c r="G2969" s="46"/>
      <c r="H2969" s="46"/>
    </row>
    <row r="2970" spans="6:8" x14ac:dyDescent="0.25">
      <c r="F2970" s="46"/>
      <c r="G2970" s="46"/>
      <c r="H2970" s="46"/>
    </row>
    <row r="2971" spans="6:8" x14ac:dyDescent="0.25">
      <c r="F2971" s="46"/>
      <c r="G2971" s="46"/>
      <c r="H2971" s="46"/>
    </row>
    <row r="2972" spans="6:8" x14ac:dyDescent="0.25">
      <c r="F2972" s="46"/>
      <c r="G2972" s="46"/>
      <c r="H2972" s="46"/>
    </row>
    <row r="2973" spans="6:8" x14ac:dyDescent="0.25">
      <c r="F2973" s="46"/>
      <c r="G2973" s="46"/>
      <c r="H2973" s="46"/>
    </row>
    <row r="2974" spans="6:8" x14ac:dyDescent="0.25">
      <c r="F2974" s="46"/>
      <c r="G2974" s="46"/>
      <c r="H2974" s="46"/>
    </row>
    <row r="2975" spans="6:8" x14ac:dyDescent="0.25">
      <c r="F2975" s="46"/>
      <c r="G2975" s="46"/>
      <c r="H2975" s="46"/>
    </row>
    <row r="2976" spans="6:8" x14ac:dyDescent="0.25">
      <c r="F2976" s="46"/>
      <c r="G2976" s="46"/>
      <c r="H2976" s="46"/>
    </row>
    <row r="2977" spans="6:8" x14ac:dyDescent="0.25">
      <c r="F2977" s="46"/>
      <c r="G2977" s="46"/>
      <c r="H2977" s="46"/>
    </row>
    <row r="2978" spans="6:8" x14ac:dyDescent="0.25">
      <c r="F2978" s="46"/>
      <c r="G2978" s="46"/>
      <c r="H2978" s="46"/>
    </row>
    <row r="2979" spans="6:8" x14ac:dyDescent="0.25">
      <c r="F2979" s="46"/>
      <c r="G2979" s="46"/>
      <c r="H2979" s="46"/>
    </row>
    <row r="2980" spans="6:8" x14ac:dyDescent="0.25">
      <c r="F2980" s="46"/>
      <c r="G2980" s="46"/>
      <c r="H2980" s="46"/>
    </row>
    <row r="2981" spans="6:8" x14ac:dyDescent="0.25">
      <c r="F2981" s="46"/>
      <c r="G2981" s="46"/>
      <c r="H2981" s="46"/>
    </row>
    <row r="2982" spans="6:8" x14ac:dyDescent="0.25">
      <c r="F2982" s="46"/>
      <c r="G2982" s="46"/>
      <c r="H2982" s="46"/>
    </row>
    <row r="2983" spans="6:8" x14ac:dyDescent="0.25">
      <c r="F2983" s="46"/>
      <c r="G2983" s="46"/>
      <c r="H2983" s="46"/>
    </row>
    <row r="2984" spans="6:8" x14ac:dyDescent="0.25">
      <c r="F2984" s="46"/>
      <c r="G2984" s="46"/>
      <c r="H2984" s="46"/>
    </row>
    <row r="2985" spans="6:8" x14ac:dyDescent="0.25">
      <c r="F2985" s="46"/>
      <c r="G2985" s="46"/>
      <c r="H2985" s="46"/>
    </row>
    <row r="2986" spans="6:8" x14ac:dyDescent="0.25">
      <c r="F2986" s="46"/>
      <c r="G2986" s="46"/>
      <c r="H2986" s="46"/>
    </row>
    <row r="2987" spans="6:8" x14ac:dyDescent="0.25">
      <c r="F2987" s="46"/>
      <c r="G2987" s="46"/>
      <c r="H2987" s="46"/>
    </row>
    <row r="2988" spans="6:8" x14ac:dyDescent="0.25">
      <c r="F2988" s="46"/>
      <c r="G2988" s="46"/>
      <c r="H2988" s="46"/>
    </row>
    <row r="2989" spans="6:8" x14ac:dyDescent="0.25">
      <c r="F2989" s="46"/>
      <c r="G2989" s="46"/>
      <c r="H2989" s="46"/>
    </row>
    <row r="2990" spans="6:8" x14ac:dyDescent="0.25">
      <c r="F2990" s="46"/>
      <c r="G2990" s="46"/>
      <c r="H2990" s="46"/>
    </row>
    <row r="2991" spans="6:8" x14ac:dyDescent="0.25">
      <c r="F2991" s="46"/>
      <c r="G2991" s="46"/>
      <c r="H2991" s="46"/>
    </row>
    <row r="2992" spans="6:8" x14ac:dyDescent="0.25">
      <c r="F2992" s="46"/>
      <c r="G2992" s="46"/>
      <c r="H2992" s="46"/>
    </row>
    <row r="2993" spans="6:8" x14ac:dyDescent="0.25">
      <c r="F2993" s="46"/>
      <c r="G2993" s="46"/>
      <c r="H2993" s="46"/>
    </row>
    <row r="2994" spans="6:8" x14ac:dyDescent="0.25">
      <c r="F2994" s="46"/>
      <c r="G2994" s="46"/>
      <c r="H2994" s="46"/>
    </row>
    <row r="2995" spans="6:8" x14ac:dyDescent="0.25">
      <c r="F2995" s="46"/>
      <c r="G2995" s="46"/>
      <c r="H2995" s="46"/>
    </row>
    <row r="2996" spans="6:8" x14ac:dyDescent="0.25">
      <c r="F2996" s="46"/>
      <c r="G2996" s="46"/>
      <c r="H2996" s="46"/>
    </row>
    <row r="2997" spans="6:8" x14ac:dyDescent="0.25">
      <c r="F2997" s="46"/>
      <c r="G2997" s="46"/>
      <c r="H2997" s="46"/>
    </row>
    <row r="2998" spans="6:8" x14ac:dyDescent="0.25">
      <c r="F2998" s="46"/>
      <c r="G2998" s="46"/>
      <c r="H2998" s="46"/>
    </row>
    <row r="2999" spans="6:8" x14ac:dyDescent="0.25">
      <c r="F2999" s="46"/>
      <c r="G2999" s="46"/>
      <c r="H2999" s="46"/>
    </row>
    <row r="3000" spans="6:8" x14ac:dyDescent="0.25">
      <c r="F3000" s="46"/>
      <c r="G3000" s="46"/>
      <c r="H3000" s="46"/>
    </row>
    <row r="3001" spans="6:8" x14ac:dyDescent="0.25">
      <c r="F3001" s="46"/>
      <c r="G3001" s="46"/>
      <c r="H3001" s="46"/>
    </row>
    <row r="3002" spans="6:8" x14ac:dyDescent="0.25">
      <c r="F3002" s="46"/>
      <c r="G3002" s="46"/>
      <c r="H3002" s="46"/>
    </row>
    <row r="3003" spans="6:8" x14ac:dyDescent="0.25">
      <c r="F3003" s="46"/>
      <c r="G3003" s="46"/>
      <c r="H3003" s="46"/>
    </row>
    <row r="3004" spans="6:8" x14ac:dyDescent="0.25">
      <c r="F3004" s="46"/>
      <c r="G3004" s="46"/>
      <c r="H3004" s="46"/>
    </row>
    <row r="3005" spans="6:8" x14ac:dyDescent="0.25">
      <c r="F3005" s="46"/>
      <c r="G3005" s="46"/>
      <c r="H3005" s="46"/>
    </row>
    <row r="3006" spans="6:8" x14ac:dyDescent="0.25">
      <c r="F3006" s="46"/>
      <c r="G3006" s="46"/>
      <c r="H3006" s="46"/>
    </row>
    <row r="3007" spans="6:8" x14ac:dyDescent="0.25">
      <c r="F3007" s="46"/>
      <c r="G3007" s="46"/>
      <c r="H3007" s="46"/>
    </row>
    <row r="3008" spans="6:8" x14ac:dyDescent="0.25">
      <c r="F3008" s="46"/>
      <c r="G3008" s="46"/>
      <c r="H3008" s="46"/>
    </row>
    <row r="3009" spans="6:8" x14ac:dyDescent="0.25">
      <c r="F3009" s="46"/>
      <c r="G3009" s="46"/>
      <c r="H3009" s="46"/>
    </row>
    <row r="3010" spans="6:8" x14ac:dyDescent="0.25">
      <c r="F3010" s="46"/>
      <c r="G3010" s="46"/>
      <c r="H3010" s="46"/>
    </row>
    <row r="3011" spans="6:8" x14ac:dyDescent="0.25">
      <c r="F3011" s="46"/>
      <c r="G3011" s="46"/>
      <c r="H3011" s="46"/>
    </row>
    <row r="3012" spans="6:8" x14ac:dyDescent="0.25">
      <c r="F3012" s="46"/>
      <c r="G3012" s="46"/>
      <c r="H3012" s="46"/>
    </row>
    <row r="3013" spans="6:8" x14ac:dyDescent="0.25">
      <c r="F3013" s="46"/>
      <c r="G3013" s="46"/>
      <c r="H3013" s="46"/>
    </row>
    <row r="3014" spans="6:8" x14ac:dyDescent="0.25">
      <c r="F3014" s="46"/>
      <c r="G3014" s="46"/>
      <c r="H3014" s="46"/>
    </row>
    <row r="3015" spans="6:8" x14ac:dyDescent="0.25">
      <c r="F3015" s="46"/>
      <c r="G3015" s="46"/>
      <c r="H3015" s="46"/>
    </row>
    <row r="3016" spans="6:8" x14ac:dyDescent="0.25">
      <c r="F3016" s="46"/>
      <c r="G3016" s="46"/>
      <c r="H3016" s="46"/>
    </row>
    <row r="3017" spans="6:8" x14ac:dyDescent="0.25">
      <c r="F3017" s="46"/>
      <c r="G3017" s="46"/>
      <c r="H3017" s="46"/>
    </row>
    <row r="3018" spans="6:8" x14ac:dyDescent="0.25">
      <c r="F3018" s="46"/>
      <c r="G3018" s="46"/>
      <c r="H3018" s="46"/>
    </row>
    <row r="3019" spans="6:8" x14ac:dyDescent="0.25">
      <c r="F3019" s="46"/>
      <c r="G3019" s="46"/>
      <c r="H3019" s="46"/>
    </row>
    <row r="3020" spans="6:8" x14ac:dyDescent="0.25">
      <c r="F3020" s="46"/>
      <c r="G3020" s="46"/>
      <c r="H3020" s="46"/>
    </row>
    <row r="3021" spans="6:8" x14ac:dyDescent="0.25">
      <c r="F3021" s="46"/>
      <c r="G3021" s="46"/>
      <c r="H3021" s="46"/>
    </row>
    <row r="3022" spans="6:8" x14ac:dyDescent="0.25">
      <c r="F3022" s="46"/>
      <c r="G3022" s="46"/>
      <c r="H3022" s="46"/>
    </row>
    <row r="3023" spans="6:8" x14ac:dyDescent="0.25">
      <c r="F3023" s="46"/>
      <c r="G3023" s="46"/>
      <c r="H3023" s="46"/>
    </row>
    <row r="3024" spans="6:8" x14ac:dyDescent="0.25">
      <c r="F3024" s="46"/>
      <c r="G3024" s="46"/>
      <c r="H3024" s="46"/>
    </row>
    <row r="3025" spans="6:8" x14ac:dyDescent="0.25">
      <c r="F3025" s="46"/>
      <c r="G3025" s="46"/>
      <c r="H3025" s="46"/>
    </row>
    <row r="3026" spans="6:8" x14ac:dyDescent="0.25">
      <c r="F3026" s="46"/>
      <c r="G3026" s="46"/>
      <c r="H3026" s="46"/>
    </row>
    <row r="3027" spans="6:8" x14ac:dyDescent="0.25">
      <c r="F3027" s="46"/>
      <c r="G3027" s="46"/>
      <c r="H3027" s="46"/>
    </row>
    <row r="3028" spans="6:8" x14ac:dyDescent="0.25">
      <c r="F3028" s="46"/>
      <c r="G3028" s="46"/>
      <c r="H3028" s="46"/>
    </row>
    <row r="3029" spans="6:8" x14ac:dyDescent="0.25">
      <c r="F3029" s="46"/>
      <c r="G3029" s="46"/>
      <c r="H3029" s="46"/>
    </row>
    <row r="3030" spans="6:8" x14ac:dyDescent="0.25">
      <c r="F3030" s="46"/>
      <c r="G3030" s="46"/>
      <c r="H3030" s="46"/>
    </row>
    <row r="3031" spans="6:8" x14ac:dyDescent="0.25">
      <c r="F3031" s="46"/>
      <c r="G3031" s="46"/>
      <c r="H3031" s="46"/>
    </row>
    <row r="3032" spans="6:8" x14ac:dyDescent="0.25">
      <c r="F3032" s="46"/>
      <c r="G3032" s="46"/>
      <c r="H3032" s="46"/>
    </row>
    <row r="3033" spans="6:8" x14ac:dyDescent="0.25">
      <c r="F3033" s="46"/>
      <c r="G3033" s="46"/>
      <c r="H3033" s="46"/>
    </row>
    <row r="3034" spans="6:8" x14ac:dyDescent="0.25">
      <c r="F3034" s="46"/>
      <c r="G3034" s="46"/>
      <c r="H3034" s="46"/>
    </row>
    <row r="3035" spans="6:8" x14ac:dyDescent="0.25">
      <c r="F3035" s="46"/>
      <c r="G3035" s="46"/>
      <c r="H3035" s="46"/>
    </row>
    <row r="3036" spans="6:8" x14ac:dyDescent="0.25">
      <c r="F3036" s="46"/>
      <c r="G3036" s="46"/>
      <c r="H3036" s="46"/>
    </row>
    <row r="3037" spans="6:8" x14ac:dyDescent="0.25">
      <c r="F3037" s="46"/>
      <c r="G3037" s="46"/>
      <c r="H3037" s="46"/>
    </row>
    <row r="3038" spans="6:8" x14ac:dyDescent="0.25">
      <c r="F3038" s="46"/>
      <c r="G3038" s="46"/>
      <c r="H3038" s="46"/>
    </row>
    <row r="3039" spans="6:8" x14ac:dyDescent="0.25">
      <c r="F3039" s="46"/>
      <c r="G3039" s="46"/>
      <c r="H3039" s="46"/>
    </row>
    <row r="3040" spans="6:8" x14ac:dyDescent="0.25">
      <c r="F3040" s="46"/>
      <c r="G3040" s="46"/>
      <c r="H3040" s="46"/>
    </row>
    <row r="3041" spans="6:8" x14ac:dyDescent="0.25">
      <c r="F3041" s="46"/>
      <c r="G3041" s="46"/>
      <c r="H3041" s="46"/>
    </row>
    <row r="3042" spans="6:8" x14ac:dyDescent="0.25">
      <c r="F3042" s="46"/>
      <c r="G3042" s="46"/>
      <c r="H3042" s="46"/>
    </row>
    <row r="3043" spans="6:8" x14ac:dyDescent="0.25">
      <c r="F3043" s="46"/>
      <c r="G3043" s="46"/>
      <c r="H3043" s="46"/>
    </row>
    <row r="3044" spans="6:8" x14ac:dyDescent="0.25">
      <c r="F3044" s="46"/>
      <c r="G3044" s="46"/>
      <c r="H3044" s="46"/>
    </row>
    <row r="3045" spans="6:8" x14ac:dyDescent="0.25">
      <c r="F3045" s="46"/>
      <c r="G3045" s="46"/>
      <c r="H3045" s="46"/>
    </row>
    <row r="3046" spans="6:8" x14ac:dyDescent="0.25">
      <c r="F3046" s="46"/>
      <c r="G3046" s="46"/>
      <c r="H3046" s="46"/>
    </row>
    <row r="3047" spans="6:8" x14ac:dyDescent="0.25">
      <c r="F3047" s="46"/>
      <c r="G3047" s="46"/>
      <c r="H3047" s="46"/>
    </row>
    <row r="3048" spans="6:8" x14ac:dyDescent="0.25">
      <c r="F3048" s="46"/>
      <c r="G3048" s="46"/>
      <c r="H3048" s="46"/>
    </row>
    <row r="3049" spans="6:8" x14ac:dyDescent="0.25">
      <c r="F3049" s="46"/>
      <c r="G3049" s="46"/>
      <c r="H3049" s="46"/>
    </row>
    <row r="3050" spans="6:8" x14ac:dyDescent="0.25">
      <c r="F3050" s="46"/>
      <c r="G3050" s="46"/>
      <c r="H3050" s="46"/>
    </row>
    <row r="3051" spans="6:8" x14ac:dyDescent="0.25">
      <c r="F3051" s="46"/>
      <c r="G3051" s="46"/>
      <c r="H3051" s="46"/>
    </row>
    <row r="3052" spans="6:8" x14ac:dyDescent="0.25">
      <c r="F3052" s="46"/>
      <c r="G3052" s="46"/>
      <c r="H3052" s="46"/>
    </row>
    <row r="3053" spans="6:8" x14ac:dyDescent="0.25">
      <c r="F3053" s="46"/>
      <c r="G3053" s="46"/>
      <c r="H3053" s="46"/>
    </row>
    <row r="3054" spans="6:8" x14ac:dyDescent="0.25">
      <c r="F3054" s="46"/>
      <c r="G3054" s="46"/>
      <c r="H3054" s="46"/>
    </row>
    <row r="3055" spans="6:8" x14ac:dyDescent="0.25">
      <c r="F3055" s="46"/>
      <c r="G3055" s="46"/>
      <c r="H3055" s="46"/>
    </row>
    <row r="3056" spans="6:8" x14ac:dyDescent="0.25">
      <c r="F3056" s="46"/>
      <c r="G3056" s="46"/>
      <c r="H3056" s="46"/>
    </row>
    <row r="3057" spans="6:8" x14ac:dyDescent="0.25">
      <c r="F3057" s="46"/>
      <c r="G3057" s="46"/>
      <c r="H3057" s="46"/>
    </row>
    <row r="3058" spans="6:8" x14ac:dyDescent="0.25">
      <c r="F3058" s="46"/>
      <c r="G3058" s="46"/>
      <c r="H3058" s="46"/>
    </row>
    <row r="3059" spans="6:8" x14ac:dyDescent="0.25">
      <c r="F3059" s="46"/>
      <c r="G3059" s="46"/>
      <c r="H3059" s="46"/>
    </row>
    <row r="3060" spans="6:8" x14ac:dyDescent="0.25">
      <c r="F3060" s="46"/>
      <c r="G3060" s="46"/>
      <c r="H3060" s="46"/>
    </row>
    <row r="3061" spans="6:8" x14ac:dyDescent="0.25">
      <c r="F3061" s="46"/>
      <c r="G3061" s="46"/>
      <c r="H3061" s="46"/>
    </row>
    <row r="3062" spans="6:8" x14ac:dyDescent="0.25">
      <c r="F3062" s="46"/>
      <c r="G3062" s="46"/>
      <c r="H3062" s="46"/>
    </row>
    <row r="3063" spans="6:8" x14ac:dyDescent="0.25">
      <c r="F3063" s="46"/>
      <c r="G3063" s="46"/>
      <c r="H3063" s="46"/>
    </row>
    <row r="3064" spans="6:8" x14ac:dyDescent="0.25">
      <c r="F3064" s="46"/>
      <c r="G3064" s="46"/>
      <c r="H3064" s="46"/>
    </row>
    <row r="3065" spans="6:8" x14ac:dyDescent="0.25">
      <c r="F3065" s="46"/>
      <c r="G3065" s="46"/>
      <c r="H3065" s="46"/>
    </row>
    <row r="3066" spans="6:8" x14ac:dyDescent="0.25">
      <c r="F3066" s="46"/>
      <c r="G3066" s="46"/>
      <c r="H3066" s="46"/>
    </row>
    <row r="3067" spans="6:8" x14ac:dyDescent="0.25">
      <c r="F3067" s="46"/>
      <c r="G3067" s="46"/>
      <c r="H3067" s="46"/>
    </row>
    <row r="3068" spans="6:8" x14ac:dyDescent="0.25">
      <c r="F3068" s="46"/>
      <c r="G3068" s="46"/>
      <c r="H3068" s="46"/>
    </row>
    <row r="3069" spans="6:8" x14ac:dyDescent="0.25">
      <c r="F3069" s="46"/>
      <c r="G3069" s="46"/>
      <c r="H3069" s="46"/>
    </row>
    <row r="3070" spans="6:8" x14ac:dyDescent="0.25">
      <c r="F3070" s="46"/>
      <c r="G3070" s="46"/>
      <c r="H3070" s="46"/>
    </row>
    <row r="3071" spans="6:8" x14ac:dyDescent="0.25">
      <c r="F3071" s="46"/>
      <c r="G3071" s="46"/>
      <c r="H3071" s="46"/>
    </row>
    <row r="3072" spans="6:8" x14ac:dyDescent="0.25">
      <c r="F3072" s="46"/>
      <c r="G3072" s="46"/>
      <c r="H3072" s="46"/>
    </row>
    <row r="3073" spans="6:8" x14ac:dyDescent="0.25">
      <c r="F3073" s="46"/>
      <c r="G3073" s="46"/>
      <c r="H3073" s="46"/>
    </row>
    <row r="3074" spans="6:8" x14ac:dyDescent="0.25">
      <c r="F3074" s="46"/>
      <c r="G3074" s="46"/>
      <c r="H3074" s="46"/>
    </row>
    <row r="3075" spans="6:8" x14ac:dyDescent="0.25">
      <c r="F3075" s="46"/>
      <c r="G3075" s="46"/>
      <c r="H3075" s="46"/>
    </row>
    <row r="3076" spans="6:8" x14ac:dyDescent="0.25">
      <c r="F3076" s="46"/>
      <c r="G3076" s="46"/>
      <c r="H3076" s="46"/>
    </row>
    <row r="3077" spans="6:8" x14ac:dyDescent="0.25">
      <c r="F3077" s="46"/>
      <c r="G3077" s="46"/>
      <c r="H3077" s="46"/>
    </row>
    <row r="3078" spans="6:8" x14ac:dyDescent="0.25">
      <c r="F3078" s="46"/>
      <c r="G3078" s="46"/>
      <c r="H3078" s="46"/>
    </row>
    <row r="3079" spans="6:8" x14ac:dyDescent="0.25">
      <c r="F3079" s="46"/>
      <c r="G3079" s="46"/>
      <c r="H3079" s="46"/>
    </row>
    <row r="3080" spans="6:8" x14ac:dyDescent="0.25">
      <c r="F3080" s="46"/>
      <c r="G3080" s="46"/>
      <c r="H3080" s="46"/>
    </row>
    <row r="3081" spans="6:8" x14ac:dyDescent="0.25">
      <c r="F3081" s="46"/>
      <c r="G3081" s="46"/>
      <c r="H3081" s="46"/>
    </row>
    <row r="3082" spans="6:8" x14ac:dyDescent="0.25">
      <c r="F3082" s="46"/>
      <c r="G3082" s="46"/>
      <c r="H3082" s="46"/>
    </row>
    <row r="3083" spans="6:8" x14ac:dyDescent="0.25">
      <c r="F3083" s="46"/>
      <c r="G3083" s="46"/>
      <c r="H3083" s="46"/>
    </row>
    <row r="3084" spans="6:8" x14ac:dyDescent="0.25">
      <c r="F3084" s="46"/>
      <c r="G3084" s="46"/>
      <c r="H3084" s="46"/>
    </row>
    <row r="3085" spans="6:8" x14ac:dyDescent="0.25">
      <c r="F3085" s="46"/>
      <c r="G3085" s="46"/>
      <c r="H3085" s="46"/>
    </row>
    <row r="3086" spans="6:8" x14ac:dyDescent="0.25">
      <c r="F3086" s="46"/>
      <c r="G3086" s="46"/>
      <c r="H3086" s="46"/>
    </row>
    <row r="3087" spans="6:8" x14ac:dyDescent="0.25">
      <c r="F3087" s="46"/>
      <c r="G3087" s="46"/>
      <c r="H3087" s="46"/>
    </row>
    <row r="3088" spans="6:8" x14ac:dyDescent="0.25">
      <c r="F3088" s="46"/>
      <c r="G3088" s="46"/>
      <c r="H3088" s="46"/>
    </row>
    <row r="3089" spans="6:8" x14ac:dyDescent="0.25">
      <c r="F3089" s="46"/>
      <c r="G3089" s="46"/>
      <c r="H3089" s="46"/>
    </row>
    <row r="3090" spans="6:8" x14ac:dyDescent="0.25">
      <c r="F3090" s="46"/>
      <c r="G3090" s="46"/>
      <c r="H3090" s="46"/>
    </row>
    <row r="3091" spans="6:8" x14ac:dyDescent="0.25">
      <c r="F3091" s="46"/>
      <c r="G3091" s="46"/>
      <c r="H3091" s="46"/>
    </row>
    <row r="3092" spans="6:8" x14ac:dyDescent="0.25">
      <c r="F3092" s="46"/>
      <c r="G3092" s="46"/>
      <c r="H3092" s="46"/>
    </row>
    <row r="3093" spans="6:8" x14ac:dyDescent="0.25">
      <c r="F3093" s="46"/>
      <c r="G3093" s="46"/>
      <c r="H3093" s="46"/>
    </row>
    <row r="3094" spans="6:8" x14ac:dyDescent="0.25">
      <c r="F3094" s="46"/>
      <c r="G3094" s="46"/>
      <c r="H3094" s="46"/>
    </row>
    <row r="3095" spans="6:8" x14ac:dyDescent="0.25">
      <c r="F3095" s="46"/>
      <c r="G3095" s="46"/>
      <c r="H3095" s="46"/>
    </row>
    <row r="3096" spans="6:8" x14ac:dyDescent="0.25">
      <c r="F3096" s="46"/>
      <c r="G3096" s="46"/>
      <c r="H3096" s="46"/>
    </row>
    <row r="3097" spans="6:8" x14ac:dyDescent="0.25">
      <c r="F3097" s="46"/>
      <c r="G3097" s="46"/>
      <c r="H3097" s="46"/>
    </row>
    <row r="3098" spans="6:8" x14ac:dyDescent="0.25">
      <c r="F3098" s="46"/>
      <c r="G3098" s="46"/>
      <c r="H3098" s="46"/>
    </row>
    <row r="3099" spans="6:8" x14ac:dyDescent="0.25">
      <c r="F3099" s="46"/>
      <c r="G3099" s="46"/>
      <c r="H3099" s="46"/>
    </row>
    <row r="3100" spans="6:8" x14ac:dyDescent="0.25">
      <c r="F3100" s="46"/>
      <c r="G3100" s="46"/>
      <c r="H3100" s="46"/>
    </row>
    <row r="3101" spans="6:8" x14ac:dyDescent="0.25">
      <c r="F3101" s="46"/>
      <c r="G3101" s="46"/>
      <c r="H3101" s="46"/>
    </row>
    <row r="3102" spans="6:8" x14ac:dyDescent="0.25">
      <c r="F3102" s="46"/>
      <c r="G3102" s="46"/>
      <c r="H3102" s="46"/>
    </row>
    <row r="3103" spans="6:8" x14ac:dyDescent="0.25">
      <c r="F3103" s="46"/>
      <c r="G3103" s="46"/>
      <c r="H3103" s="46"/>
    </row>
    <row r="3104" spans="6:8" x14ac:dyDescent="0.25">
      <c r="F3104" s="46"/>
      <c r="G3104" s="46"/>
      <c r="H3104" s="46"/>
    </row>
    <row r="3105" spans="6:8" x14ac:dyDescent="0.25">
      <c r="F3105" s="46"/>
      <c r="G3105" s="46"/>
      <c r="H3105" s="46"/>
    </row>
    <row r="3106" spans="6:8" x14ac:dyDescent="0.25">
      <c r="F3106" s="46"/>
      <c r="G3106" s="46"/>
      <c r="H3106" s="46"/>
    </row>
    <row r="3107" spans="6:8" x14ac:dyDescent="0.25">
      <c r="F3107" s="46"/>
      <c r="G3107" s="46"/>
      <c r="H3107" s="46"/>
    </row>
    <row r="3108" spans="6:8" x14ac:dyDescent="0.25">
      <c r="F3108" s="46"/>
      <c r="G3108" s="46"/>
      <c r="H3108" s="46"/>
    </row>
    <row r="3109" spans="6:8" x14ac:dyDescent="0.25">
      <c r="F3109" s="46"/>
      <c r="G3109" s="46"/>
      <c r="H3109" s="46"/>
    </row>
    <row r="3110" spans="6:8" x14ac:dyDescent="0.25">
      <c r="F3110" s="46"/>
      <c r="G3110" s="46"/>
      <c r="H3110" s="46"/>
    </row>
    <row r="3111" spans="6:8" x14ac:dyDescent="0.25">
      <c r="F3111" s="46"/>
      <c r="G3111" s="46"/>
      <c r="H3111" s="46"/>
    </row>
    <row r="3112" spans="6:8" x14ac:dyDescent="0.25">
      <c r="F3112" s="46"/>
      <c r="G3112" s="46"/>
      <c r="H3112" s="46"/>
    </row>
    <row r="3113" spans="6:8" x14ac:dyDescent="0.25">
      <c r="F3113" s="46"/>
      <c r="G3113" s="46"/>
      <c r="H3113" s="46"/>
    </row>
    <row r="3114" spans="6:8" x14ac:dyDescent="0.25">
      <c r="F3114" s="46"/>
      <c r="G3114" s="46"/>
      <c r="H3114" s="46"/>
    </row>
    <row r="3115" spans="6:8" x14ac:dyDescent="0.25">
      <c r="F3115" s="46"/>
      <c r="G3115" s="46"/>
      <c r="H3115" s="46"/>
    </row>
    <row r="3116" spans="6:8" x14ac:dyDescent="0.25">
      <c r="F3116" s="46"/>
      <c r="G3116" s="46"/>
      <c r="H3116" s="46"/>
    </row>
    <row r="3117" spans="6:8" x14ac:dyDescent="0.25">
      <c r="F3117" s="46"/>
      <c r="G3117" s="46"/>
      <c r="H3117" s="46"/>
    </row>
    <row r="3118" spans="6:8" x14ac:dyDescent="0.25">
      <c r="F3118" s="46"/>
      <c r="G3118" s="46"/>
      <c r="H3118" s="46"/>
    </row>
    <row r="3119" spans="6:8" x14ac:dyDescent="0.25">
      <c r="F3119" s="46"/>
      <c r="G3119" s="46"/>
      <c r="H3119" s="46"/>
    </row>
    <row r="3120" spans="6:8" x14ac:dyDescent="0.25">
      <c r="F3120" s="46"/>
      <c r="G3120" s="46"/>
      <c r="H3120" s="46"/>
    </row>
    <row r="3121" spans="6:8" x14ac:dyDescent="0.25">
      <c r="F3121" s="46"/>
      <c r="G3121" s="46"/>
      <c r="H3121" s="46"/>
    </row>
    <row r="3122" spans="6:8" x14ac:dyDescent="0.25">
      <c r="F3122" s="46"/>
      <c r="G3122" s="46"/>
      <c r="H3122" s="46"/>
    </row>
    <row r="3123" spans="6:8" x14ac:dyDescent="0.25">
      <c r="F3123" s="46"/>
      <c r="G3123" s="46"/>
      <c r="H3123" s="46"/>
    </row>
    <row r="3124" spans="6:8" x14ac:dyDescent="0.25">
      <c r="F3124" s="46"/>
      <c r="G3124" s="46"/>
      <c r="H3124" s="46"/>
    </row>
    <row r="3125" spans="6:8" x14ac:dyDescent="0.25">
      <c r="F3125" s="46"/>
      <c r="G3125" s="46"/>
      <c r="H3125" s="46"/>
    </row>
    <row r="3126" spans="6:8" x14ac:dyDescent="0.25">
      <c r="F3126" s="46"/>
      <c r="G3126" s="46"/>
      <c r="H3126" s="46"/>
    </row>
    <row r="3127" spans="6:8" x14ac:dyDescent="0.25">
      <c r="F3127" s="46"/>
      <c r="G3127" s="46"/>
      <c r="H3127" s="46"/>
    </row>
    <row r="3128" spans="6:8" x14ac:dyDescent="0.25">
      <c r="F3128" s="46"/>
      <c r="G3128" s="46"/>
      <c r="H3128" s="46"/>
    </row>
    <row r="3129" spans="6:8" x14ac:dyDescent="0.25">
      <c r="F3129" s="46"/>
      <c r="G3129" s="46"/>
      <c r="H3129" s="46"/>
    </row>
    <row r="3130" spans="6:8" x14ac:dyDescent="0.25">
      <c r="F3130" s="46"/>
      <c r="G3130" s="46"/>
      <c r="H3130" s="46"/>
    </row>
    <row r="3131" spans="6:8" x14ac:dyDescent="0.25">
      <c r="F3131" s="46"/>
      <c r="G3131" s="46"/>
      <c r="H3131" s="46"/>
    </row>
    <row r="3132" spans="6:8" x14ac:dyDescent="0.25">
      <c r="F3132" s="46"/>
      <c r="G3132" s="46"/>
      <c r="H3132" s="46"/>
    </row>
    <row r="3133" spans="6:8" x14ac:dyDescent="0.25">
      <c r="F3133" s="46"/>
      <c r="G3133" s="46"/>
      <c r="H3133" s="46"/>
    </row>
    <row r="3134" spans="6:8" x14ac:dyDescent="0.25">
      <c r="F3134" s="46"/>
      <c r="G3134" s="46"/>
      <c r="H3134" s="46"/>
    </row>
    <row r="3135" spans="6:8" x14ac:dyDescent="0.25">
      <c r="F3135" s="46"/>
      <c r="G3135" s="46"/>
      <c r="H3135" s="46"/>
    </row>
    <row r="3136" spans="6:8" x14ac:dyDescent="0.25">
      <c r="F3136" s="46"/>
      <c r="G3136" s="46"/>
      <c r="H3136" s="46"/>
    </row>
    <row r="3137" spans="6:8" x14ac:dyDescent="0.25">
      <c r="F3137" s="46"/>
      <c r="G3137" s="46"/>
      <c r="H3137" s="46"/>
    </row>
    <row r="3138" spans="6:8" x14ac:dyDescent="0.25">
      <c r="F3138" s="46"/>
      <c r="G3138" s="46"/>
      <c r="H3138" s="46"/>
    </row>
    <row r="3139" spans="6:8" x14ac:dyDescent="0.25">
      <c r="F3139" s="46"/>
      <c r="G3139" s="46"/>
      <c r="H3139" s="46"/>
    </row>
    <row r="3140" spans="6:8" x14ac:dyDescent="0.25">
      <c r="F3140" s="46"/>
      <c r="G3140" s="46"/>
      <c r="H3140" s="46"/>
    </row>
    <row r="3141" spans="6:8" x14ac:dyDescent="0.25">
      <c r="F3141" s="46"/>
      <c r="G3141" s="46"/>
      <c r="H3141" s="46"/>
    </row>
    <row r="3142" spans="6:8" x14ac:dyDescent="0.25">
      <c r="F3142" s="46"/>
      <c r="G3142" s="46"/>
      <c r="H3142" s="46"/>
    </row>
    <row r="3143" spans="6:8" x14ac:dyDescent="0.25">
      <c r="F3143" s="46"/>
      <c r="G3143" s="46"/>
      <c r="H3143" s="46"/>
    </row>
    <row r="3144" spans="6:8" x14ac:dyDescent="0.25">
      <c r="F3144" s="46"/>
      <c r="G3144" s="46"/>
      <c r="H3144" s="46"/>
    </row>
    <row r="3145" spans="6:8" x14ac:dyDescent="0.25">
      <c r="F3145" s="46"/>
      <c r="G3145" s="46"/>
      <c r="H3145" s="46"/>
    </row>
    <row r="3146" spans="6:8" x14ac:dyDescent="0.25">
      <c r="F3146" s="46"/>
      <c r="G3146" s="46"/>
      <c r="H3146" s="46"/>
    </row>
    <row r="3147" spans="6:8" x14ac:dyDescent="0.25">
      <c r="F3147" s="46"/>
      <c r="G3147" s="46"/>
      <c r="H3147" s="46"/>
    </row>
    <row r="3148" spans="6:8" x14ac:dyDescent="0.25">
      <c r="F3148" s="46"/>
      <c r="G3148" s="46"/>
      <c r="H3148" s="46"/>
    </row>
    <row r="3149" spans="6:8" x14ac:dyDescent="0.25">
      <c r="F3149" s="46"/>
      <c r="G3149" s="46"/>
      <c r="H3149" s="46"/>
    </row>
    <row r="3150" spans="6:8" x14ac:dyDescent="0.25">
      <c r="F3150" s="46"/>
      <c r="G3150" s="46"/>
      <c r="H3150" s="46"/>
    </row>
    <row r="3151" spans="6:8" x14ac:dyDescent="0.25">
      <c r="F3151" s="46"/>
      <c r="G3151" s="46"/>
      <c r="H3151" s="46"/>
    </row>
    <row r="3152" spans="6:8" x14ac:dyDescent="0.25">
      <c r="F3152" s="46"/>
      <c r="G3152" s="46"/>
      <c r="H3152" s="46"/>
    </row>
    <row r="3153" spans="6:8" x14ac:dyDescent="0.25">
      <c r="F3153" s="46"/>
      <c r="G3153" s="46"/>
      <c r="H3153" s="46"/>
    </row>
    <row r="3154" spans="6:8" x14ac:dyDescent="0.25">
      <c r="F3154" s="46"/>
      <c r="G3154" s="46"/>
      <c r="H3154" s="46"/>
    </row>
    <row r="3155" spans="6:8" x14ac:dyDescent="0.25">
      <c r="F3155" s="46"/>
      <c r="G3155" s="46"/>
      <c r="H3155" s="46"/>
    </row>
    <row r="3156" spans="6:8" x14ac:dyDescent="0.25">
      <c r="F3156" s="46"/>
      <c r="G3156" s="46"/>
      <c r="H3156" s="46"/>
    </row>
    <row r="3157" spans="6:8" x14ac:dyDescent="0.25">
      <c r="F3157" s="46"/>
      <c r="G3157" s="46"/>
      <c r="H3157" s="46"/>
    </row>
    <row r="3158" spans="6:8" x14ac:dyDescent="0.25">
      <c r="F3158" s="46"/>
      <c r="G3158" s="46"/>
      <c r="H3158" s="46"/>
    </row>
    <row r="3159" spans="6:8" x14ac:dyDescent="0.25">
      <c r="F3159" s="46"/>
      <c r="G3159" s="46"/>
      <c r="H3159" s="46"/>
    </row>
    <row r="3160" spans="6:8" x14ac:dyDescent="0.25">
      <c r="F3160" s="46"/>
      <c r="G3160" s="46"/>
      <c r="H3160" s="46"/>
    </row>
    <row r="3161" spans="6:8" x14ac:dyDescent="0.25">
      <c r="F3161" s="46"/>
      <c r="G3161" s="46"/>
      <c r="H3161" s="46"/>
    </row>
    <row r="3162" spans="6:8" x14ac:dyDescent="0.25">
      <c r="F3162" s="46"/>
      <c r="G3162" s="46"/>
      <c r="H3162" s="46"/>
    </row>
    <row r="3163" spans="6:8" x14ac:dyDescent="0.25">
      <c r="F3163" s="46"/>
      <c r="G3163" s="46"/>
      <c r="H3163" s="46"/>
    </row>
    <row r="3164" spans="6:8" x14ac:dyDescent="0.25">
      <c r="F3164" s="46"/>
      <c r="G3164" s="46"/>
      <c r="H3164" s="46"/>
    </row>
    <row r="3165" spans="6:8" x14ac:dyDescent="0.25">
      <c r="F3165" s="46"/>
      <c r="G3165" s="46"/>
      <c r="H3165" s="46"/>
    </row>
    <row r="3166" spans="6:8" x14ac:dyDescent="0.25">
      <c r="F3166" s="46"/>
      <c r="G3166" s="46"/>
      <c r="H3166" s="46"/>
    </row>
    <row r="3167" spans="6:8" x14ac:dyDescent="0.25">
      <c r="F3167" s="46"/>
      <c r="G3167" s="46"/>
      <c r="H3167" s="46"/>
    </row>
    <row r="3168" spans="6:8" x14ac:dyDescent="0.25">
      <c r="F3168" s="46"/>
      <c r="G3168" s="46"/>
      <c r="H3168" s="46"/>
    </row>
    <row r="3169" spans="6:8" x14ac:dyDescent="0.25">
      <c r="F3169" s="46"/>
      <c r="G3169" s="46"/>
      <c r="H3169" s="46"/>
    </row>
    <row r="3170" spans="6:8" x14ac:dyDescent="0.25">
      <c r="F3170" s="46"/>
      <c r="G3170" s="46"/>
      <c r="H3170" s="46"/>
    </row>
    <row r="3171" spans="6:8" x14ac:dyDescent="0.25">
      <c r="F3171" s="46"/>
      <c r="G3171" s="46"/>
      <c r="H3171" s="46"/>
    </row>
    <row r="3172" spans="6:8" x14ac:dyDescent="0.25">
      <c r="F3172" s="46"/>
      <c r="G3172" s="46"/>
      <c r="H3172" s="46"/>
    </row>
    <row r="3173" spans="6:8" x14ac:dyDescent="0.25">
      <c r="F3173" s="46"/>
      <c r="G3173" s="46"/>
      <c r="H3173" s="46"/>
    </row>
    <row r="3174" spans="6:8" x14ac:dyDescent="0.25">
      <c r="F3174" s="46"/>
      <c r="G3174" s="46"/>
      <c r="H3174" s="46"/>
    </row>
    <row r="3175" spans="6:8" x14ac:dyDescent="0.25">
      <c r="F3175" s="46"/>
      <c r="G3175" s="46"/>
      <c r="H3175" s="46"/>
    </row>
    <row r="3176" spans="6:8" x14ac:dyDescent="0.25">
      <c r="F3176" s="46"/>
      <c r="G3176" s="46"/>
      <c r="H3176" s="46"/>
    </row>
    <row r="3177" spans="6:8" x14ac:dyDescent="0.25">
      <c r="F3177" s="46"/>
      <c r="G3177" s="46"/>
      <c r="H3177" s="46"/>
    </row>
    <row r="3178" spans="6:8" x14ac:dyDescent="0.25">
      <c r="F3178" s="46"/>
      <c r="G3178" s="46"/>
      <c r="H3178" s="46"/>
    </row>
    <row r="3179" spans="6:8" x14ac:dyDescent="0.25">
      <c r="F3179" s="46"/>
      <c r="G3179" s="46"/>
      <c r="H3179" s="46"/>
    </row>
    <row r="3180" spans="6:8" x14ac:dyDescent="0.25">
      <c r="F3180" s="46"/>
      <c r="G3180" s="46"/>
      <c r="H3180" s="46"/>
    </row>
    <row r="3181" spans="6:8" x14ac:dyDescent="0.25">
      <c r="F3181" s="46"/>
      <c r="G3181" s="46"/>
      <c r="H3181" s="46"/>
    </row>
    <row r="3182" spans="6:8" x14ac:dyDescent="0.25">
      <c r="F3182" s="46"/>
      <c r="G3182" s="46"/>
      <c r="H3182" s="46"/>
    </row>
    <row r="3183" spans="6:8" x14ac:dyDescent="0.25">
      <c r="F3183" s="46"/>
      <c r="G3183" s="46"/>
      <c r="H3183" s="46"/>
    </row>
    <row r="3184" spans="6:8" x14ac:dyDescent="0.25">
      <c r="F3184" s="46"/>
      <c r="G3184" s="46"/>
      <c r="H3184" s="46"/>
    </row>
    <row r="3185" spans="6:8" x14ac:dyDescent="0.25">
      <c r="F3185" s="46"/>
      <c r="G3185" s="46"/>
      <c r="H3185" s="46"/>
    </row>
    <row r="3186" spans="6:8" x14ac:dyDescent="0.25">
      <c r="F3186" s="46"/>
      <c r="G3186" s="46"/>
      <c r="H3186" s="46"/>
    </row>
    <row r="3187" spans="6:8" x14ac:dyDescent="0.25">
      <c r="F3187" s="46"/>
      <c r="G3187" s="46"/>
      <c r="H3187" s="46"/>
    </row>
    <row r="3188" spans="6:8" x14ac:dyDescent="0.25">
      <c r="F3188" s="46"/>
      <c r="G3188" s="46"/>
      <c r="H3188" s="46"/>
    </row>
    <row r="3189" spans="6:8" x14ac:dyDescent="0.25">
      <c r="F3189" s="46"/>
      <c r="G3189" s="46"/>
      <c r="H3189" s="46"/>
    </row>
    <row r="3190" spans="6:8" x14ac:dyDescent="0.25">
      <c r="F3190" s="46"/>
      <c r="G3190" s="46"/>
      <c r="H3190" s="46"/>
    </row>
    <row r="3191" spans="6:8" x14ac:dyDescent="0.25">
      <c r="F3191" s="46"/>
      <c r="G3191" s="46"/>
      <c r="H3191" s="46"/>
    </row>
    <row r="3192" spans="6:8" x14ac:dyDescent="0.25">
      <c r="F3192" s="46"/>
      <c r="G3192" s="46"/>
      <c r="H3192" s="46"/>
    </row>
    <row r="3193" spans="6:8" x14ac:dyDescent="0.25">
      <c r="F3193" s="46"/>
      <c r="G3193" s="46"/>
      <c r="H3193" s="46"/>
    </row>
    <row r="3194" spans="6:8" x14ac:dyDescent="0.25">
      <c r="F3194" s="46"/>
      <c r="G3194" s="46"/>
      <c r="H3194" s="46"/>
    </row>
    <row r="3195" spans="6:8" x14ac:dyDescent="0.25">
      <c r="F3195" s="46"/>
      <c r="G3195" s="46"/>
      <c r="H3195" s="46"/>
    </row>
    <row r="3196" spans="6:8" x14ac:dyDescent="0.25">
      <c r="F3196" s="46"/>
      <c r="G3196" s="46"/>
      <c r="H3196" s="46"/>
    </row>
    <row r="3197" spans="6:8" x14ac:dyDescent="0.25">
      <c r="F3197" s="46"/>
      <c r="G3197" s="46"/>
      <c r="H3197" s="46"/>
    </row>
    <row r="3198" spans="6:8" x14ac:dyDescent="0.25">
      <c r="F3198" s="46"/>
      <c r="G3198" s="46"/>
      <c r="H3198" s="46"/>
    </row>
    <row r="3199" spans="6:8" x14ac:dyDescent="0.25">
      <c r="F3199" s="46"/>
      <c r="G3199" s="46"/>
      <c r="H3199" s="46"/>
    </row>
    <row r="3200" spans="6:8" x14ac:dyDescent="0.25">
      <c r="F3200" s="46"/>
      <c r="G3200" s="46"/>
      <c r="H3200" s="46"/>
    </row>
    <row r="3201" spans="6:8" x14ac:dyDescent="0.25">
      <c r="F3201" s="46"/>
      <c r="G3201" s="46"/>
      <c r="H3201" s="46"/>
    </row>
    <row r="3202" spans="6:8" x14ac:dyDescent="0.25">
      <c r="F3202" s="46"/>
      <c r="G3202" s="46"/>
      <c r="H3202" s="46"/>
    </row>
    <row r="3203" spans="6:8" x14ac:dyDescent="0.25">
      <c r="F3203" s="46"/>
      <c r="G3203" s="46"/>
      <c r="H3203" s="46"/>
    </row>
    <row r="3204" spans="6:8" x14ac:dyDescent="0.25">
      <c r="F3204" s="46"/>
      <c r="G3204" s="46"/>
      <c r="H3204" s="46"/>
    </row>
    <row r="3205" spans="6:8" x14ac:dyDescent="0.25">
      <c r="F3205" s="46"/>
      <c r="G3205" s="46"/>
      <c r="H3205" s="46"/>
    </row>
    <row r="3206" spans="6:8" x14ac:dyDescent="0.25">
      <c r="F3206" s="46"/>
      <c r="G3206" s="46"/>
      <c r="H3206" s="46"/>
    </row>
    <row r="3207" spans="6:8" x14ac:dyDescent="0.25">
      <c r="F3207" s="46"/>
      <c r="G3207" s="46"/>
      <c r="H3207" s="46"/>
    </row>
    <row r="3208" spans="6:8" x14ac:dyDescent="0.25">
      <c r="F3208" s="46"/>
      <c r="G3208" s="46"/>
      <c r="H3208" s="46"/>
    </row>
    <row r="3209" spans="6:8" x14ac:dyDescent="0.25">
      <c r="F3209" s="46"/>
      <c r="G3209" s="46"/>
      <c r="H3209" s="46"/>
    </row>
    <row r="3210" spans="6:8" x14ac:dyDescent="0.25">
      <c r="F3210" s="46"/>
      <c r="G3210" s="46"/>
      <c r="H3210" s="46"/>
    </row>
    <row r="3211" spans="6:8" x14ac:dyDescent="0.25">
      <c r="F3211" s="46"/>
      <c r="G3211" s="46"/>
      <c r="H3211" s="46"/>
    </row>
    <row r="3212" spans="6:8" x14ac:dyDescent="0.25">
      <c r="F3212" s="46"/>
      <c r="G3212" s="46"/>
      <c r="H3212" s="46"/>
    </row>
    <row r="3213" spans="6:8" x14ac:dyDescent="0.25">
      <c r="F3213" s="46"/>
      <c r="G3213" s="46"/>
      <c r="H3213" s="46"/>
    </row>
    <row r="3214" spans="6:8" x14ac:dyDescent="0.25">
      <c r="F3214" s="46"/>
      <c r="G3214" s="46"/>
      <c r="H3214" s="46"/>
    </row>
    <row r="3215" spans="6:8" x14ac:dyDescent="0.25">
      <c r="F3215" s="46"/>
      <c r="G3215" s="46"/>
      <c r="H3215" s="46"/>
    </row>
    <row r="3216" spans="6:8" x14ac:dyDescent="0.25">
      <c r="F3216" s="46"/>
      <c r="G3216" s="46"/>
      <c r="H3216" s="46"/>
    </row>
    <row r="3217" spans="6:8" x14ac:dyDescent="0.25">
      <c r="F3217" s="46"/>
      <c r="G3217" s="46"/>
      <c r="H3217" s="46"/>
    </row>
    <row r="3218" spans="6:8" x14ac:dyDescent="0.25">
      <c r="F3218" s="46"/>
      <c r="G3218" s="46"/>
      <c r="H3218" s="46"/>
    </row>
    <row r="3219" spans="6:8" x14ac:dyDescent="0.25">
      <c r="F3219" s="46"/>
      <c r="G3219" s="46"/>
      <c r="H3219" s="46"/>
    </row>
    <row r="3220" spans="6:8" x14ac:dyDescent="0.25">
      <c r="F3220" s="46"/>
      <c r="G3220" s="46"/>
      <c r="H3220" s="46"/>
    </row>
    <row r="3221" spans="6:8" x14ac:dyDescent="0.25">
      <c r="F3221" s="46"/>
      <c r="G3221" s="46"/>
      <c r="H3221" s="46"/>
    </row>
    <row r="3222" spans="6:8" x14ac:dyDescent="0.25">
      <c r="F3222" s="46"/>
      <c r="G3222" s="46"/>
      <c r="H3222" s="46"/>
    </row>
    <row r="3223" spans="6:8" x14ac:dyDescent="0.25">
      <c r="F3223" s="46"/>
      <c r="G3223" s="46"/>
      <c r="H3223" s="46"/>
    </row>
    <row r="3224" spans="6:8" x14ac:dyDescent="0.25">
      <c r="F3224" s="46"/>
      <c r="G3224" s="46"/>
      <c r="H3224" s="46"/>
    </row>
    <row r="3225" spans="6:8" x14ac:dyDescent="0.25">
      <c r="F3225" s="46"/>
      <c r="G3225" s="46"/>
      <c r="H3225" s="46"/>
    </row>
    <row r="3226" spans="6:8" x14ac:dyDescent="0.25">
      <c r="F3226" s="46"/>
      <c r="G3226" s="46"/>
      <c r="H3226" s="46"/>
    </row>
    <row r="3227" spans="6:8" x14ac:dyDescent="0.25">
      <c r="F3227" s="46"/>
      <c r="G3227" s="46"/>
      <c r="H3227" s="46"/>
    </row>
    <row r="3228" spans="6:8" x14ac:dyDescent="0.25">
      <c r="F3228" s="46"/>
      <c r="G3228" s="46"/>
      <c r="H3228" s="46"/>
    </row>
    <row r="3229" spans="6:8" x14ac:dyDescent="0.25">
      <c r="F3229" s="46"/>
      <c r="G3229" s="46"/>
      <c r="H3229" s="46"/>
    </row>
    <row r="3230" spans="6:8" x14ac:dyDescent="0.25">
      <c r="F3230" s="46"/>
      <c r="G3230" s="46"/>
      <c r="H3230" s="46"/>
    </row>
    <row r="3231" spans="6:8" x14ac:dyDescent="0.25">
      <c r="F3231" s="46"/>
      <c r="G3231" s="46"/>
      <c r="H3231" s="46"/>
    </row>
    <row r="3232" spans="6:8" x14ac:dyDescent="0.25">
      <c r="F3232" s="46"/>
      <c r="G3232" s="46"/>
      <c r="H3232" s="46"/>
    </row>
    <row r="3233" spans="6:8" x14ac:dyDescent="0.25">
      <c r="F3233" s="46"/>
      <c r="G3233" s="46"/>
      <c r="H3233" s="46"/>
    </row>
    <row r="3234" spans="6:8" x14ac:dyDescent="0.25">
      <c r="F3234" s="46"/>
      <c r="G3234" s="46"/>
      <c r="H3234" s="46"/>
    </row>
    <row r="3235" spans="6:8" x14ac:dyDescent="0.25">
      <c r="F3235" s="46"/>
      <c r="G3235" s="46"/>
      <c r="H3235" s="46"/>
    </row>
    <row r="3236" spans="6:8" x14ac:dyDescent="0.25">
      <c r="F3236" s="46"/>
      <c r="G3236" s="46"/>
      <c r="H3236" s="46"/>
    </row>
    <row r="3237" spans="6:8" x14ac:dyDescent="0.25">
      <c r="F3237" s="46"/>
      <c r="G3237" s="46"/>
      <c r="H3237" s="46"/>
    </row>
    <row r="3238" spans="6:8" x14ac:dyDescent="0.25">
      <c r="F3238" s="46"/>
      <c r="G3238" s="46"/>
      <c r="H3238" s="46"/>
    </row>
    <row r="3239" spans="6:8" x14ac:dyDescent="0.25">
      <c r="F3239" s="46"/>
      <c r="G3239" s="46"/>
      <c r="H3239" s="46"/>
    </row>
    <row r="3240" spans="6:8" x14ac:dyDescent="0.25">
      <c r="F3240" s="46"/>
      <c r="G3240" s="46"/>
      <c r="H3240" s="46"/>
    </row>
    <row r="3241" spans="6:8" x14ac:dyDescent="0.25">
      <c r="F3241" s="46"/>
      <c r="G3241" s="46"/>
      <c r="H3241" s="46"/>
    </row>
    <row r="3242" spans="6:8" x14ac:dyDescent="0.25">
      <c r="F3242" s="46"/>
      <c r="G3242" s="46"/>
      <c r="H3242" s="46"/>
    </row>
    <row r="3243" spans="6:8" x14ac:dyDescent="0.25">
      <c r="F3243" s="46"/>
      <c r="G3243" s="46"/>
      <c r="H3243" s="46"/>
    </row>
    <row r="3244" spans="6:8" x14ac:dyDescent="0.25">
      <c r="F3244" s="46"/>
      <c r="G3244" s="46"/>
      <c r="H3244" s="46"/>
    </row>
    <row r="3245" spans="6:8" x14ac:dyDescent="0.25">
      <c r="F3245" s="46"/>
      <c r="G3245" s="46"/>
      <c r="H3245" s="46"/>
    </row>
    <row r="3246" spans="6:8" x14ac:dyDescent="0.25">
      <c r="F3246" s="46"/>
      <c r="G3246" s="46"/>
      <c r="H3246" s="46"/>
    </row>
    <row r="3247" spans="6:8" x14ac:dyDescent="0.25">
      <c r="F3247" s="46"/>
      <c r="G3247" s="46"/>
      <c r="H3247" s="46"/>
    </row>
    <row r="3248" spans="6:8" x14ac:dyDescent="0.25">
      <c r="F3248" s="46"/>
      <c r="G3248" s="46"/>
      <c r="H3248" s="46"/>
    </row>
    <row r="3249" spans="6:8" x14ac:dyDescent="0.25">
      <c r="F3249" s="46"/>
      <c r="G3249" s="46"/>
      <c r="H3249" s="46"/>
    </row>
    <row r="3250" spans="6:8" x14ac:dyDescent="0.25">
      <c r="F3250" s="46"/>
      <c r="G3250" s="46"/>
      <c r="H3250" s="46"/>
    </row>
    <row r="3251" spans="6:8" x14ac:dyDescent="0.25">
      <c r="F3251" s="46"/>
      <c r="G3251" s="46"/>
      <c r="H3251" s="46"/>
    </row>
    <row r="3252" spans="6:8" x14ac:dyDescent="0.25">
      <c r="F3252" s="46"/>
      <c r="G3252" s="46"/>
      <c r="H3252" s="46"/>
    </row>
    <row r="3253" spans="6:8" x14ac:dyDescent="0.25">
      <c r="F3253" s="46"/>
      <c r="G3253" s="46"/>
      <c r="H3253" s="46"/>
    </row>
    <row r="3254" spans="6:8" x14ac:dyDescent="0.25">
      <c r="F3254" s="46"/>
      <c r="G3254" s="46"/>
      <c r="H3254" s="46"/>
    </row>
    <row r="3255" spans="6:8" x14ac:dyDescent="0.25">
      <c r="F3255" s="46"/>
      <c r="G3255" s="46"/>
      <c r="H3255" s="46"/>
    </row>
    <row r="3256" spans="6:8" x14ac:dyDescent="0.25">
      <c r="F3256" s="46"/>
      <c r="G3256" s="46"/>
      <c r="H3256" s="46"/>
    </row>
    <row r="3257" spans="6:8" x14ac:dyDescent="0.25">
      <c r="F3257" s="46"/>
      <c r="G3257" s="46"/>
      <c r="H3257" s="46"/>
    </row>
    <row r="3258" spans="6:8" x14ac:dyDescent="0.25">
      <c r="F3258" s="46"/>
      <c r="G3258" s="46"/>
      <c r="H3258" s="46"/>
    </row>
    <row r="3259" spans="6:8" x14ac:dyDescent="0.25">
      <c r="F3259" s="46"/>
      <c r="G3259" s="46"/>
      <c r="H3259" s="46"/>
    </row>
    <row r="3260" spans="6:8" x14ac:dyDescent="0.25">
      <c r="F3260" s="46"/>
      <c r="G3260" s="46"/>
      <c r="H3260" s="46"/>
    </row>
    <row r="3261" spans="6:8" x14ac:dyDescent="0.25">
      <c r="F3261" s="46"/>
      <c r="G3261" s="46"/>
      <c r="H3261" s="46"/>
    </row>
    <row r="3262" spans="6:8" x14ac:dyDescent="0.25">
      <c r="F3262" s="46"/>
      <c r="G3262" s="46"/>
      <c r="H3262" s="46"/>
    </row>
    <row r="3263" spans="6:8" x14ac:dyDescent="0.25">
      <c r="F3263" s="46"/>
      <c r="G3263" s="46"/>
      <c r="H3263" s="46"/>
    </row>
    <row r="3264" spans="6:8" x14ac:dyDescent="0.25">
      <c r="F3264" s="46"/>
      <c r="G3264" s="46"/>
      <c r="H3264" s="46"/>
    </row>
    <row r="3265" spans="6:8" x14ac:dyDescent="0.25">
      <c r="F3265" s="46"/>
      <c r="G3265" s="46"/>
      <c r="H3265" s="46"/>
    </row>
    <row r="3266" spans="6:8" x14ac:dyDescent="0.25">
      <c r="F3266" s="46"/>
      <c r="G3266" s="46"/>
      <c r="H3266" s="46"/>
    </row>
    <row r="3267" spans="6:8" x14ac:dyDescent="0.25">
      <c r="F3267" s="46"/>
      <c r="G3267" s="46"/>
      <c r="H3267" s="46"/>
    </row>
    <row r="3268" spans="6:8" x14ac:dyDescent="0.25">
      <c r="F3268" s="46"/>
      <c r="G3268" s="46"/>
      <c r="H3268" s="46"/>
    </row>
    <row r="3269" spans="6:8" x14ac:dyDescent="0.25">
      <c r="F3269" s="46"/>
      <c r="G3269" s="46"/>
      <c r="H3269" s="46"/>
    </row>
    <row r="3270" spans="6:8" x14ac:dyDescent="0.25">
      <c r="F3270" s="46"/>
      <c r="G3270" s="46"/>
      <c r="H3270" s="46"/>
    </row>
    <row r="3271" spans="6:8" x14ac:dyDescent="0.25">
      <c r="F3271" s="46"/>
      <c r="G3271" s="46"/>
      <c r="H3271" s="46"/>
    </row>
    <row r="3272" spans="6:8" x14ac:dyDescent="0.25">
      <c r="F3272" s="46"/>
      <c r="G3272" s="46"/>
      <c r="H3272" s="46"/>
    </row>
    <row r="3273" spans="6:8" x14ac:dyDescent="0.25">
      <c r="F3273" s="46"/>
      <c r="G3273" s="46"/>
      <c r="H3273" s="46"/>
    </row>
    <row r="3274" spans="6:8" x14ac:dyDescent="0.25">
      <c r="F3274" s="46"/>
      <c r="G3274" s="46"/>
      <c r="H3274" s="46"/>
    </row>
    <row r="3275" spans="6:8" x14ac:dyDescent="0.25">
      <c r="F3275" s="46"/>
      <c r="G3275" s="46"/>
      <c r="H3275" s="46"/>
    </row>
    <row r="3276" spans="6:8" x14ac:dyDescent="0.25">
      <c r="F3276" s="46"/>
      <c r="G3276" s="46"/>
      <c r="H3276" s="46"/>
    </row>
    <row r="3277" spans="6:8" x14ac:dyDescent="0.25">
      <c r="F3277" s="46"/>
      <c r="G3277" s="46"/>
      <c r="H3277" s="46"/>
    </row>
    <row r="3278" spans="6:8" x14ac:dyDescent="0.25">
      <c r="F3278" s="46"/>
      <c r="G3278" s="46"/>
      <c r="H3278" s="46"/>
    </row>
    <row r="3279" spans="6:8" x14ac:dyDescent="0.25">
      <c r="F3279" s="46"/>
      <c r="G3279" s="46"/>
      <c r="H3279" s="46"/>
    </row>
    <row r="3280" spans="6:8" x14ac:dyDescent="0.25">
      <c r="F3280" s="46"/>
      <c r="G3280" s="46"/>
      <c r="H3280" s="46"/>
    </row>
    <row r="3281" spans="6:8" x14ac:dyDescent="0.25">
      <c r="F3281" s="46"/>
      <c r="G3281" s="46"/>
      <c r="H3281" s="46"/>
    </row>
    <row r="3282" spans="6:8" x14ac:dyDescent="0.25">
      <c r="F3282" s="46"/>
      <c r="G3282" s="46"/>
      <c r="H3282" s="46"/>
    </row>
    <row r="3283" spans="6:8" x14ac:dyDescent="0.25">
      <c r="F3283" s="46"/>
      <c r="G3283" s="46"/>
      <c r="H3283" s="46"/>
    </row>
    <row r="3284" spans="6:8" x14ac:dyDescent="0.25">
      <c r="F3284" s="46"/>
      <c r="G3284" s="46"/>
      <c r="H3284" s="46"/>
    </row>
    <row r="3285" spans="6:8" x14ac:dyDescent="0.25">
      <c r="F3285" s="46"/>
      <c r="G3285" s="46"/>
      <c r="H3285" s="46"/>
    </row>
    <row r="3286" spans="6:8" x14ac:dyDescent="0.25">
      <c r="F3286" s="46"/>
      <c r="G3286" s="46"/>
      <c r="H3286" s="46"/>
    </row>
    <row r="3287" spans="6:8" x14ac:dyDescent="0.25">
      <c r="F3287" s="46"/>
      <c r="G3287" s="46"/>
      <c r="H3287" s="46"/>
    </row>
    <row r="3288" spans="6:8" x14ac:dyDescent="0.25">
      <c r="F3288" s="46"/>
      <c r="G3288" s="46"/>
      <c r="H3288" s="46"/>
    </row>
    <row r="3289" spans="6:8" x14ac:dyDescent="0.25">
      <c r="F3289" s="46"/>
      <c r="G3289" s="46"/>
      <c r="H3289" s="46"/>
    </row>
    <row r="3290" spans="6:8" x14ac:dyDescent="0.25">
      <c r="F3290" s="46"/>
      <c r="G3290" s="46"/>
      <c r="H3290" s="46"/>
    </row>
    <row r="3291" spans="6:8" x14ac:dyDescent="0.25">
      <c r="F3291" s="46"/>
      <c r="G3291" s="46"/>
      <c r="H3291" s="46"/>
    </row>
    <row r="3292" spans="6:8" x14ac:dyDescent="0.25">
      <c r="F3292" s="46"/>
      <c r="G3292" s="46"/>
      <c r="H3292" s="46"/>
    </row>
    <row r="3293" spans="6:8" x14ac:dyDescent="0.25">
      <c r="F3293" s="46"/>
      <c r="G3293" s="46"/>
      <c r="H3293" s="46"/>
    </row>
    <row r="3294" spans="6:8" x14ac:dyDescent="0.25">
      <c r="F3294" s="46"/>
      <c r="G3294" s="46"/>
      <c r="H3294" s="46"/>
    </row>
    <row r="3295" spans="6:8" x14ac:dyDescent="0.25">
      <c r="F3295" s="46"/>
      <c r="G3295" s="46"/>
      <c r="H3295" s="46"/>
    </row>
    <row r="3296" spans="6:8" x14ac:dyDescent="0.25">
      <c r="F3296" s="46"/>
      <c r="G3296" s="46"/>
      <c r="H3296" s="46"/>
    </row>
    <row r="3297" spans="6:8" x14ac:dyDescent="0.25">
      <c r="F3297" s="46"/>
      <c r="G3297" s="46"/>
      <c r="H3297" s="46"/>
    </row>
    <row r="3298" spans="6:8" x14ac:dyDescent="0.25">
      <c r="F3298" s="46"/>
      <c r="G3298" s="46"/>
      <c r="H3298" s="46"/>
    </row>
    <row r="3299" spans="6:8" x14ac:dyDescent="0.25">
      <c r="F3299" s="46"/>
      <c r="G3299" s="46"/>
      <c r="H3299" s="46"/>
    </row>
    <row r="3300" spans="6:8" x14ac:dyDescent="0.25">
      <c r="F3300" s="46"/>
      <c r="G3300" s="46"/>
      <c r="H3300" s="46"/>
    </row>
    <row r="3301" spans="6:8" x14ac:dyDescent="0.25">
      <c r="F3301" s="46"/>
      <c r="G3301" s="46"/>
      <c r="H3301" s="46"/>
    </row>
    <row r="3302" spans="6:8" x14ac:dyDescent="0.25">
      <c r="F3302" s="46"/>
      <c r="G3302" s="46"/>
      <c r="H3302" s="46"/>
    </row>
    <row r="3303" spans="6:8" x14ac:dyDescent="0.25">
      <c r="F3303" s="46"/>
      <c r="G3303" s="46"/>
      <c r="H3303" s="46"/>
    </row>
    <row r="3304" spans="6:8" x14ac:dyDescent="0.25">
      <c r="F3304" s="46"/>
      <c r="G3304" s="46"/>
      <c r="H3304" s="46"/>
    </row>
    <row r="3305" spans="6:8" x14ac:dyDescent="0.25">
      <c r="F3305" s="46"/>
      <c r="G3305" s="46"/>
      <c r="H3305" s="46"/>
    </row>
    <row r="3306" spans="6:8" x14ac:dyDescent="0.25">
      <c r="F3306" s="46"/>
      <c r="G3306" s="46"/>
      <c r="H3306" s="46"/>
    </row>
    <row r="3307" spans="6:8" x14ac:dyDescent="0.25">
      <c r="F3307" s="46"/>
      <c r="G3307" s="46"/>
      <c r="H3307" s="46"/>
    </row>
    <row r="3308" spans="6:8" x14ac:dyDescent="0.25">
      <c r="F3308" s="46"/>
      <c r="G3308" s="46"/>
      <c r="H3308" s="46"/>
    </row>
    <row r="3309" spans="6:8" x14ac:dyDescent="0.25">
      <c r="F3309" s="46"/>
      <c r="G3309" s="46"/>
      <c r="H3309" s="46"/>
    </row>
    <row r="3310" spans="6:8" x14ac:dyDescent="0.25">
      <c r="F3310" s="46"/>
      <c r="G3310" s="46"/>
      <c r="H3310" s="46"/>
    </row>
    <row r="3311" spans="6:8" x14ac:dyDescent="0.25">
      <c r="F3311" s="46"/>
      <c r="G3311" s="46"/>
      <c r="H3311" s="46"/>
    </row>
    <row r="3312" spans="6:8" x14ac:dyDescent="0.25">
      <c r="F3312" s="46"/>
      <c r="G3312" s="46"/>
      <c r="H3312" s="46"/>
    </row>
    <row r="3313" spans="6:8" x14ac:dyDescent="0.25">
      <c r="F3313" s="46"/>
      <c r="G3313" s="46"/>
      <c r="H3313" s="46"/>
    </row>
    <row r="3314" spans="6:8" x14ac:dyDescent="0.25">
      <c r="F3314" s="46"/>
      <c r="G3314" s="46"/>
      <c r="H3314" s="46"/>
    </row>
    <row r="3315" spans="6:8" x14ac:dyDescent="0.25">
      <c r="F3315" s="46"/>
      <c r="G3315" s="46"/>
      <c r="H3315" s="46"/>
    </row>
    <row r="3316" spans="6:8" x14ac:dyDescent="0.25">
      <c r="F3316" s="46"/>
      <c r="G3316" s="46"/>
      <c r="H3316" s="46"/>
    </row>
    <row r="3317" spans="6:8" x14ac:dyDescent="0.25">
      <c r="F3317" s="46"/>
      <c r="G3317" s="46"/>
      <c r="H3317" s="46"/>
    </row>
    <row r="3318" spans="6:8" x14ac:dyDescent="0.25">
      <c r="F3318" s="46"/>
      <c r="G3318" s="46"/>
      <c r="H3318" s="46"/>
    </row>
    <row r="3319" spans="6:8" x14ac:dyDescent="0.25">
      <c r="F3319" s="46"/>
      <c r="G3319" s="46"/>
      <c r="H3319" s="46"/>
    </row>
    <row r="3320" spans="6:8" x14ac:dyDescent="0.25">
      <c r="F3320" s="46"/>
      <c r="G3320" s="46"/>
      <c r="H3320" s="46"/>
    </row>
    <row r="3321" spans="6:8" x14ac:dyDescent="0.25">
      <c r="F3321" s="46"/>
      <c r="G3321" s="46"/>
      <c r="H3321" s="46"/>
    </row>
    <row r="3322" spans="6:8" x14ac:dyDescent="0.25">
      <c r="F3322" s="46"/>
      <c r="G3322" s="46"/>
      <c r="H3322" s="46"/>
    </row>
    <row r="3323" spans="6:8" x14ac:dyDescent="0.25">
      <c r="F3323" s="46"/>
      <c r="G3323" s="46"/>
      <c r="H3323" s="46"/>
    </row>
    <row r="3324" spans="6:8" x14ac:dyDescent="0.25">
      <c r="F3324" s="46"/>
      <c r="G3324" s="46"/>
      <c r="H3324" s="46"/>
    </row>
    <row r="3325" spans="6:8" x14ac:dyDescent="0.25">
      <c r="F3325" s="46"/>
      <c r="G3325" s="46"/>
      <c r="H3325" s="46"/>
    </row>
    <row r="3326" spans="6:8" x14ac:dyDescent="0.25">
      <c r="F3326" s="46"/>
      <c r="G3326" s="46"/>
      <c r="H3326" s="46"/>
    </row>
    <row r="3327" spans="6:8" x14ac:dyDescent="0.25">
      <c r="F3327" s="46"/>
      <c r="G3327" s="46"/>
      <c r="H3327" s="46"/>
    </row>
    <row r="3328" spans="6:8" x14ac:dyDescent="0.25">
      <c r="F3328" s="46"/>
      <c r="G3328" s="46"/>
      <c r="H3328" s="46"/>
    </row>
    <row r="3329" spans="6:8" x14ac:dyDescent="0.25">
      <c r="F3329" s="46"/>
      <c r="G3329" s="46"/>
      <c r="H3329" s="46"/>
    </row>
    <row r="3330" spans="6:8" x14ac:dyDescent="0.25">
      <c r="F3330" s="46"/>
      <c r="G3330" s="46"/>
      <c r="H3330" s="46"/>
    </row>
    <row r="3331" spans="6:8" x14ac:dyDescent="0.25">
      <c r="F3331" s="46"/>
      <c r="G3331" s="46"/>
      <c r="H3331" s="46"/>
    </row>
    <row r="3332" spans="6:8" x14ac:dyDescent="0.25">
      <c r="F3332" s="46"/>
      <c r="G3332" s="46"/>
      <c r="H3332" s="46"/>
    </row>
    <row r="3333" spans="6:8" x14ac:dyDescent="0.25">
      <c r="F3333" s="46"/>
      <c r="G3333" s="46"/>
      <c r="H3333" s="46"/>
    </row>
    <row r="3334" spans="6:8" x14ac:dyDescent="0.25">
      <c r="F3334" s="46"/>
      <c r="G3334" s="46"/>
      <c r="H3334" s="46"/>
    </row>
    <row r="3335" spans="6:8" x14ac:dyDescent="0.25">
      <c r="F3335" s="46"/>
      <c r="G3335" s="46"/>
      <c r="H3335" s="46"/>
    </row>
    <row r="3336" spans="6:8" x14ac:dyDescent="0.25">
      <c r="F3336" s="46"/>
      <c r="G3336" s="46"/>
      <c r="H3336" s="46"/>
    </row>
    <row r="3337" spans="6:8" x14ac:dyDescent="0.25">
      <c r="F3337" s="46"/>
      <c r="G3337" s="46"/>
      <c r="H3337" s="46"/>
    </row>
    <row r="3338" spans="6:8" x14ac:dyDescent="0.25">
      <c r="F3338" s="46"/>
      <c r="G3338" s="46"/>
      <c r="H3338" s="46"/>
    </row>
    <row r="3339" spans="6:8" x14ac:dyDescent="0.25">
      <c r="F3339" s="46"/>
      <c r="G3339" s="46"/>
      <c r="H3339" s="46"/>
    </row>
    <row r="3340" spans="6:8" x14ac:dyDescent="0.25">
      <c r="F3340" s="46"/>
      <c r="G3340" s="46"/>
      <c r="H3340" s="46"/>
    </row>
    <row r="3341" spans="6:8" x14ac:dyDescent="0.25">
      <c r="F3341" s="46"/>
      <c r="G3341" s="46"/>
      <c r="H3341" s="46"/>
    </row>
    <row r="3342" spans="6:8" x14ac:dyDescent="0.25">
      <c r="F3342" s="46"/>
      <c r="G3342" s="46"/>
      <c r="H3342" s="46"/>
    </row>
    <row r="3343" spans="6:8" x14ac:dyDescent="0.25">
      <c r="F3343" s="46"/>
      <c r="G3343" s="46"/>
      <c r="H3343" s="46"/>
    </row>
    <row r="3344" spans="6:8" x14ac:dyDescent="0.25">
      <c r="F3344" s="46"/>
      <c r="G3344" s="46"/>
      <c r="H3344" s="46"/>
    </row>
    <row r="3345" spans="6:8" x14ac:dyDescent="0.25">
      <c r="F3345" s="46"/>
      <c r="G3345" s="46"/>
      <c r="H3345" s="46"/>
    </row>
    <row r="3346" spans="6:8" x14ac:dyDescent="0.25">
      <c r="F3346" s="46"/>
      <c r="G3346" s="46"/>
      <c r="H3346" s="46"/>
    </row>
    <row r="3347" spans="6:8" x14ac:dyDescent="0.25">
      <c r="F3347" s="46"/>
      <c r="G3347" s="46"/>
      <c r="H3347" s="46"/>
    </row>
    <row r="3348" spans="6:8" x14ac:dyDescent="0.25">
      <c r="F3348" s="46"/>
      <c r="G3348" s="46"/>
      <c r="H3348" s="46"/>
    </row>
    <row r="3349" spans="6:8" x14ac:dyDescent="0.25">
      <c r="F3349" s="46"/>
      <c r="G3349" s="46"/>
      <c r="H3349" s="46"/>
    </row>
    <row r="3350" spans="6:8" x14ac:dyDescent="0.25">
      <c r="F3350" s="46"/>
      <c r="G3350" s="46"/>
      <c r="H3350" s="46"/>
    </row>
    <row r="3351" spans="6:8" x14ac:dyDescent="0.25">
      <c r="F3351" s="46"/>
      <c r="G3351" s="46"/>
      <c r="H3351" s="46"/>
    </row>
    <row r="3352" spans="6:8" x14ac:dyDescent="0.25">
      <c r="F3352" s="46"/>
      <c r="G3352" s="46"/>
      <c r="H3352" s="46"/>
    </row>
    <row r="3353" spans="6:8" x14ac:dyDescent="0.25">
      <c r="F3353" s="46"/>
      <c r="G3353" s="46"/>
      <c r="H3353" s="46"/>
    </row>
    <row r="3354" spans="6:8" x14ac:dyDescent="0.25">
      <c r="F3354" s="46"/>
      <c r="G3354" s="46"/>
      <c r="H3354" s="46"/>
    </row>
    <row r="3355" spans="6:8" x14ac:dyDescent="0.25">
      <c r="F3355" s="46"/>
      <c r="G3355" s="46"/>
      <c r="H3355" s="46"/>
    </row>
    <row r="3356" spans="6:8" x14ac:dyDescent="0.25">
      <c r="F3356" s="46"/>
      <c r="G3356" s="46"/>
      <c r="H3356" s="46"/>
    </row>
    <row r="3357" spans="6:8" x14ac:dyDescent="0.25">
      <c r="F3357" s="46"/>
      <c r="G3357" s="46"/>
      <c r="H3357" s="46"/>
    </row>
    <row r="3358" spans="6:8" x14ac:dyDescent="0.25">
      <c r="F3358" s="46"/>
      <c r="G3358" s="46"/>
      <c r="H3358" s="46"/>
    </row>
    <row r="3359" spans="6:8" x14ac:dyDescent="0.25">
      <c r="F3359" s="46"/>
      <c r="G3359" s="46"/>
      <c r="H3359" s="46"/>
    </row>
    <row r="3360" spans="6:8" x14ac:dyDescent="0.25">
      <c r="F3360" s="46"/>
      <c r="G3360" s="46"/>
      <c r="H3360" s="46"/>
    </row>
    <row r="3361" spans="6:8" x14ac:dyDescent="0.25">
      <c r="F3361" s="46"/>
      <c r="G3361" s="46"/>
      <c r="H3361" s="46"/>
    </row>
    <row r="3362" spans="6:8" x14ac:dyDescent="0.25">
      <c r="F3362" s="46"/>
      <c r="G3362" s="46"/>
      <c r="H3362" s="46"/>
    </row>
    <row r="3363" spans="6:8" x14ac:dyDescent="0.25">
      <c r="F3363" s="46"/>
      <c r="G3363" s="46"/>
      <c r="H3363" s="46"/>
    </row>
    <row r="3364" spans="6:8" x14ac:dyDescent="0.25">
      <c r="F3364" s="46"/>
      <c r="G3364" s="46"/>
      <c r="H3364" s="46"/>
    </row>
    <row r="3365" spans="6:8" x14ac:dyDescent="0.25">
      <c r="F3365" s="46"/>
      <c r="G3365" s="46"/>
      <c r="H3365" s="46"/>
    </row>
    <row r="3366" spans="6:8" x14ac:dyDescent="0.25">
      <c r="F3366" s="46"/>
      <c r="G3366" s="46"/>
      <c r="H3366" s="46"/>
    </row>
    <row r="3367" spans="6:8" x14ac:dyDescent="0.25">
      <c r="F3367" s="46"/>
      <c r="G3367" s="46"/>
      <c r="H3367" s="46"/>
    </row>
    <row r="3368" spans="6:8" x14ac:dyDescent="0.25">
      <c r="F3368" s="46"/>
      <c r="G3368" s="46"/>
      <c r="H3368" s="46"/>
    </row>
    <row r="3369" spans="6:8" x14ac:dyDescent="0.25">
      <c r="F3369" s="46"/>
      <c r="G3369" s="46"/>
      <c r="H3369" s="46"/>
    </row>
    <row r="3370" spans="6:8" x14ac:dyDescent="0.25">
      <c r="F3370" s="46"/>
      <c r="G3370" s="46"/>
      <c r="H3370" s="46"/>
    </row>
    <row r="3371" spans="6:8" x14ac:dyDescent="0.25">
      <c r="F3371" s="46"/>
      <c r="G3371" s="46"/>
      <c r="H3371" s="46"/>
    </row>
    <row r="3372" spans="6:8" x14ac:dyDescent="0.25">
      <c r="F3372" s="46"/>
      <c r="G3372" s="46"/>
      <c r="H3372" s="46"/>
    </row>
    <row r="3373" spans="6:8" x14ac:dyDescent="0.25">
      <c r="F3373" s="46"/>
      <c r="G3373" s="46"/>
      <c r="H3373" s="46"/>
    </row>
    <row r="3374" spans="6:8" x14ac:dyDescent="0.25">
      <c r="F3374" s="46"/>
      <c r="G3374" s="46"/>
      <c r="H3374" s="46"/>
    </row>
    <row r="3375" spans="6:8" x14ac:dyDescent="0.25">
      <c r="F3375" s="46"/>
      <c r="G3375" s="46"/>
      <c r="H3375" s="46"/>
    </row>
    <row r="3376" spans="6:8" x14ac:dyDescent="0.25">
      <c r="F3376" s="46"/>
      <c r="G3376" s="46"/>
      <c r="H3376" s="46"/>
    </row>
    <row r="3377" spans="6:8" x14ac:dyDescent="0.25">
      <c r="F3377" s="46"/>
      <c r="G3377" s="46"/>
      <c r="H3377" s="46"/>
    </row>
    <row r="3378" spans="6:8" x14ac:dyDescent="0.25">
      <c r="F3378" s="46"/>
      <c r="G3378" s="46"/>
      <c r="H3378" s="46"/>
    </row>
    <row r="3379" spans="6:8" x14ac:dyDescent="0.25">
      <c r="F3379" s="46"/>
      <c r="G3379" s="46"/>
      <c r="H3379" s="46"/>
    </row>
    <row r="3380" spans="6:8" x14ac:dyDescent="0.25">
      <c r="F3380" s="46"/>
      <c r="G3380" s="46"/>
      <c r="H3380" s="46"/>
    </row>
    <row r="3381" spans="6:8" x14ac:dyDescent="0.25">
      <c r="F3381" s="46"/>
      <c r="G3381" s="46"/>
      <c r="H3381" s="46"/>
    </row>
    <row r="3382" spans="6:8" x14ac:dyDescent="0.25">
      <c r="F3382" s="46"/>
      <c r="G3382" s="46"/>
      <c r="H3382" s="46"/>
    </row>
    <row r="3383" spans="6:8" x14ac:dyDescent="0.25">
      <c r="F3383" s="46"/>
      <c r="G3383" s="46"/>
      <c r="H3383" s="46"/>
    </row>
    <row r="3384" spans="6:8" x14ac:dyDescent="0.25">
      <c r="F3384" s="46"/>
      <c r="G3384" s="46"/>
      <c r="H3384" s="46"/>
    </row>
    <row r="3385" spans="6:8" x14ac:dyDescent="0.25">
      <c r="F3385" s="46"/>
      <c r="G3385" s="46"/>
      <c r="H3385" s="46"/>
    </row>
    <row r="3386" spans="6:8" x14ac:dyDescent="0.25">
      <c r="F3386" s="46"/>
      <c r="G3386" s="46"/>
      <c r="H3386" s="46"/>
    </row>
    <row r="3387" spans="6:8" x14ac:dyDescent="0.25">
      <c r="F3387" s="46"/>
      <c r="G3387" s="46"/>
      <c r="H3387" s="46"/>
    </row>
    <row r="3388" spans="6:8" x14ac:dyDescent="0.25">
      <c r="F3388" s="46"/>
      <c r="G3388" s="46"/>
      <c r="H3388" s="46"/>
    </row>
    <row r="3389" spans="6:8" x14ac:dyDescent="0.25">
      <c r="F3389" s="46"/>
      <c r="G3389" s="46"/>
      <c r="H3389" s="46"/>
    </row>
    <row r="3390" spans="6:8" x14ac:dyDescent="0.25">
      <c r="F3390" s="46"/>
      <c r="G3390" s="46"/>
      <c r="H3390" s="46"/>
    </row>
    <row r="3391" spans="6:8" x14ac:dyDescent="0.25">
      <c r="F3391" s="46"/>
      <c r="G3391" s="46"/>
      <c r="H3391" s="46"/>
    </row>
    <row r="3392" spans="6:8" x14ac:dyDescent="0.25">
      <c r="F3392" s="46"/>
      <c r="G3392" s="46"/>
      <c r="H3392" s="46"/>
    </row>
    <row r="3393" spans="6:8" x14ac:dyDescent="0.25">
      <c r="F3393" s="46"/>
      <c r="G3393" s="46"/>
      <c r="H3393" s="46"/>
    </row>
    <row r="3394" spans="6:8" x14ac:dyDescent="0.25">
      <c r="F3394" s="46"/>
      <c r="G3394" s="46"/>
      <c r="H3394" s="46"/>
    </row>
    <row r="3395" spans="6:8" x14ac:dyDescent="0.25">
      <c r="F3395" s="46"/>
      <c r="G3395" s="46"/>
      <c r="H3395" s="46"/>
    </row>
    <row r="3396" spans="6:8" x14ac:dyDescent="0.25">
      <c r="F3396" s="46"/>
      <c r="G3396" s="46"/>
      <c r="H3396" s="46"/>
    </row>
    <row r="3397" spans="6:8" x14ac:dyDescent="0.25">
      <c r="F3397" s="46"/>
      <c r="G3397" s="46"/>
      <c r="H3397" s="46"/>
    </row>
    <row r="3398" spans="6:8" x14ac:dyDescent="0.25">
      <c r="F3398" s="46"/>
      <c r="G3398" s="46"/>
      <c r="H3398" s="46"/>
    </row>
    <row r="3399" spans="6:8" x14ac:dyDescent="0.25">
      <c r="F3399" s="46"/>
      <c r="G3399" s="46"/>
      <c r="H3399" s="46"/>
    </row>
    <row r="3400" spans="6:8" x14ac:dyDescent="0.25">
      <c r="F3400" s="46"/>
      <c r="G3400" s="46"/>
      <c r="H3400" s="46"/>
    </row>
    <row r="3401" spans="6:8" x14ac:dyDescent="0.25">
      <c r="F3401" s="46"/>
      <c r="G3401" s="46"/>
      <c r="H3401" s="46"/>
    </row>
    <row r="3402" spans="6:8" x14ac:dyDescent="0.25">
      <c r="F3402" s="46"/>
      <c r="G3402" s="46"/>
      <c r="H3402" s="46"/>
    </row>
    <row r="3403" spans="6:8" x14ac:dyDescent="0.25">
      <c r="F3403" s="46"/>
      <c r="G3403" s="46"/>
      <c r="H3403" s="46"/>
    </row>
    <row r="3404" spans="6:8" x14ac:dyDescent="0.25">
      <c r="F3404" s="46"/>
      <c r="G3404" s="46"/>
      <c r="H3404" s="46"/>
    </row>
    <row r="3405" spans="6:8" x14ac:dyDescent="0.25">
      <c r="F3405" s="46"/>
      <c r="G3405" s="46"/>
      <c r="H3405" s="46"/>
    </row>
    <row r="3406" spans="6:8" x14ac:dyDescent="0.25">
      <c r="F3406" s="46"/>
      <c r="G3406" s="46"/>
      <c r="H3406" s="46"/>
    </row>
    <row r="3407" spans="6:8" x14ac:dyDescent="0.25">
      <c r="F3407" s="46"/>
      <c r="G3407" s="46"/>
      <c r="H3407" s="46"/>
    </row>
    <row r="3408" spans="6:8" x14ac:dyDescent="0.25">
      <c r="F3408" s="46"/>
      <c r="G3408" s="46"/>
      <c r="H3408" s="46"/>
    </row>
    <row r="3409" spans="6:8" x14ac:dyDescent="0.25">
      <c r="F3409" s="46"/>
      <c r="G3409" s="46"/>
      <c r="H3409" s="46"/>
    </row>
    <row r="3410" spans="6:8" x14ac:dyDescent="0.25">
      <c r="F3410" s="46"/>
      <c r="G3410" s="46"/>
      <c r="H3410" s="46"/>
    </row>
    <row r="3411" spans="6:8" x14ac:dyDescent="0.25">
      <c r="F3411" s="46"/>
      <c r="G3411" s="46"/>
      <c r="H3411" s="46"/>
    </row>
    <row r="3412" spans="6:8" x14ac:dyDescent="0.25">
      <c r="F3412" s="46"/>
      <c r="G3412" s="46"/>
      <c r="H3412" s="46"/>
    </row>
    <row r="3413" spans="6:8" x14ac:dyDescent="0.25">
      <c r="F3413" s="46"/>
      <c r="G3413" s="46"/>
      <c r="H3413" s="46"/>
    </row>
    <row r="3414" spans="6:8" x14ac:dyDescent="0.25">
      <c r="F3414" s="46"/>
      <c r="G3414" s="46"/>
      <c r="H3414" s="46"/>
    </row>
    <row r="3415" spans="6:8" x14ac:dyDescent="0.25">
      <c r="F3415" s="46"/>
      <c r="G3415" s="46"/>
      <c r="H3415" s="46"/>
    </row>
    <row r="3416" spans="6:8" x14ac:dyDescent="0.25">
      <c r="F3416" s="46"/>
      <c r="G3416" s="46"/>
      <c r="H3416" s="46"/>
    </row>
    <row r="3417" spans="6:8" x14ac:dyDescent="0.25">
      <c r="F3417" s="46"/>
      <c r="G3417" s="46"/>
      <c r="H3417" s="46"/>
    </row>
    <row r="3418" spans="6:8" x14ac:dyDescent="0.25">
      <c r="F3418" s="46"/>
      <c r="G3418" s="46"/>
      <c r="H3418" s="46"/>
    </row>
    <row r="3419" spans="6:8" x14ac:dyDescent="0.25">
      <c r="F3419" s="46"/>
      <c r="G3419" s="46"/>
      <c r="H3419" s="46"/>
    </row>
    <row r="3420" spans="6:8" x14ac:dyDescent="0.25">
      <c r="F3420" s="46"/>
      <c r="G3420" s="46"/>
      <c r="H3420" s="46"/>
    </row>
    <row r="3421" spans="6:8" x14ac:dyDescent="0.25">
      <c r="F3421" s="46"/>
      <c r="G3421" s="46"/>
      <c r="H3421" s="46"/>
    </row>
    <row r="3422" spans="6:8" x14ac:dyDescent="0.25">
      <c r="F3422" s="46"/>
      <c r="G3422" s="46"/>
      <c r="H3422" s="46"/>
    </row>
    <row r="3423" spans="6:8" x14ac:dyDescent="0.25">
      <c r="F3423" s="46"/>
      <c r="G3423" s="46"/>
      <c r="H3423" s="46"/>
    </row>
    <row r="3424" spans="6:8" x14ac:dyDescent="0.25">
      <c r="F3424" s="46"/>
      <c r="G3424" s="46"/>
      <c r="H3424" s="46"/>
    </row>
    <row r="3425" spans="6:8" x14ac:dyDescent="0.25">
      <c r="F3425" s="46"/>
      <c r="G3425" s="46"/>
      <c r="H3425" s="46"/>
    </row>
    <row r="3426" spans="6:8" x14ac:dyDescent="0.25">
      <c r="F3426" s="46"/>
      <c r="G3426" s="46"/>
      <c r="H3426" s="46"/>
    </row>
    <row r="3427" spans="6:8" x14ac:dyDescent="0.25">
      <c r="F3427" s="46"/>
      <c r="G3427" s="46"/>
      <c r="H3427" s="46"/>
    </row>
    <row r="3428" spans="6:8" x14ac:dyDescent="0.25">
      <c r="F3428" s="46"/>
      <c r="G3428" s="46"/>
      <c r="H3428" s="46"/>
    </row>
    <row r="3429" spans="6:8" x14ac:dyDescent="0.25">
      <c r="F3429" s="46"/>
      <c r="G3429" s="46"/>
      <c r="H3429" s="46"/>
    </row>
    <row r="3430" spans="6:8" x14ac:dyDescent="0.25">
      <c r="F3430" s="46"/>
      <c r="G3430" s="46"/>
      <c r="H3430" s="46"/>
    </row>
    <row r="3431" spans="6:8" x14ac:dyDescent="0.25">
      <c r="F3431" s="46"/>
      <c r="G3431" s="46"/>
      <c r="H3431" s="46"/>
    </row>
    <row r="3432" spans="6:8" x14ac:dyDescent="0.25">
      <c r="F3432" s="46"/>
      <c r="G3432" s="46"/>
      <c r="H3432" s="46"/>
    </row>
    <row r="3433" spans="6:8" x14ac:dyDescent="0.25">
      <c r="F3433" s="46"/>
      <c r="G3433" s="46"/>
      <c r="H3433" s="46"/>
    </row>
    <row r="3434" spans="6:8" x14ac:dyDescent="0.25">
      <c r="F3434" s="46"/>
      <c r="G3434" s="46"/>
      <c r="H3434" s="46"/>
    </row>
    <row r="3435" spans="6:8" x14ac:dyDescent="0.25">
      <c r="F3435" s="46"/>
      <c r="G3435" s="46"/>
      <c r="H3435" s="46"/>
    </row>
    <row r="3436" spans="6:8" x14ac:dyDescent="0.25">
      <c r="F3436" s="46"/>
      <c r="G3436" s="46"/>
      <c r="H3436" s="46"/>
    </row>
    <row r="3437" spans="6:8" x14ac:dyDescent="0.25">
      <c r="F3437" s="46"/>
      <c r="G3437" s="46"/>
      <c r="H3437" s="46"/>
    </row>
    <row r="3438" spans="6:8" x14ac:dyDescent="0.25">
      <c r="F3438" s="46"/>
      <c r="G3438" s="46"/>
      <c r="H3438" s="46"/>
    </row>
    <row r="3439" spans="6:8" x14ac:dyDescent="0.25">
      <c r="F3439" s="46"/>
      <c r="G3439" s="46"/>
      <c r="H3439" s="46"/>
    </row>
    <row r="3440" spans="6:8" x14ac:dyDescent="0.25">
      <c r="F3440" s="46"/>
      <c r="G3440" s="46"/>
      <c r="H3440" s="46"/>
    </row>
    <row r="3441" spans="6:8" x14ac:dyDescent="0.25">
      <c r="F3441" s="46"/>
      <c r="G3441" s="46"/>
      <c r="H3441" s="46"/>
    </row>
    <row r="3442" spans="6:8" x14ac:dyDescent="0.25">
      <c r="F3442" s="46"/>
      <c r="G3442" s="46"/>
      <c r="H3442" s="46"/>
    </row>
    <row r="3443" spans="6:8" x14ac:dyDescent="0.25">
      <c r="F3443" s="46"/>
      <c r="G3443" s="46"/>
      <c r="H3443" s="46"/>
    </row>
    <row r="3444" spans="6:8" x14ac:dyDescent="0.25">
      <c r="F3444" s="46"/>
      <c r="G3444" s="46"/>
      <c r="H3444" s="46"/>
    </row>
    <row r="3445" spans="6:8" x14ac:dyDescent="0.25">
      <c r="F3445" s="46"/>
      <c r="G3445" s="46"/>
      <c r="H3445" s="46"/>
    </row>
    <row r="3446" spans="6:8" x14ac:dyDescent="0.25">
      <c r="F3446" s="46"/>
      <c r="G3446" s="46"/>
      <c r="H3446" s="46"/>
    </row>
    <row r="3447" spans="6:8" x14ac:dyDescent="0.25">
      <c r="F3447" s="46"/>
      <c r="G3447" s="46"/>
      <c r="H3447" s="46"/>
    </row>
    <row r="3448" spans="6:8" x14ac:dyDescent="0.25">
      <c r="F3448" s="46"/>
      <c r="G3448" s="46"/>
      <c r="H3448" s="46"/>
    </row>
    <row r="3449" spans="6:8" x14ac:dyDescent="0.25">
      <c r="F3449" s="46"/>
      <c r="G3449" s="46"/>
      <c r="H3449" s="46"/>
    </row>
    <row r="3450" spans="6:8" x14ac:dyDescent="0.25">
      <c r="F3450" s="46"/>
      <c r="G3450" s="46"/>
      <c r="H3450" s="46"/>
    </row>
    <row r="3451" spans="6:8" x14ac:dyDescent="0.25">
      <c r="F3451" s="46"/>
      <c r="G3451" s="46"/>
      <c r="H3451" s="46"/>
    </row>
    <row r="3452" spans="6:8" x14ac:dyDescent="0.25">
      <c r="F3452" s="46"/>
      <c r="G3452" s="46"/>
      <c r="H3452" s="46"/>
    </row>
    <row r="3453" spans="6:8" x14ac:dyDescent="0.25">
      <c r="F3453" s="46"/>
      <c r="G3453" s="46"/>
      <c r="H3453" s="46"/>
    </row>
    <row r="3454" spans="6:8" x14ac:dyDescent="0.25">
      <c r="F3454" s="46"/>
      <c r="G3454" s="46"/>
      <c r="H3454" s="46"/>
    </row>
    <row r="3455" spans="6:8" x14ac:dyDescent="0.25">
      <c r="F3455" s="46"/>
      <c r="G3455" s="46"/>
      <c r="H3455" s="46"/>
    </row>
    <row r="3456" spans="6:8" x14ac:dyDescent="0.25">
      <c r="F3456" s="46"/>
      <c r="G3456" s="46"/>
      <c r="H3456" s="46"/>
    </row>
    <row r="3457" spans="6:8" x14ac:dyDescent="0.25">
      <c r="F3457" s="46"/>
      <c r="G3457" s="46"/>
      <c r="H3457" s="46"/>
    </row>
    <row r="3458" spans="6:8" x14ac:dyDescent="0.25">
      <c r="F3458" s="46"/>
      <c r="G3458" s="46"/>
      <c r="H3458" s="46"/>
    </row>
    <row r="3459" spans="6:8" x14ac:dyDescent="0.25">
      <c r="F3459" s="46"/>
      <c r="G3459" s="46"/>
      <c r="H3459" s="46"/>
    </row>
    <row r="3460" spans="6:8" x14ac:dyDescent="0.25">
      <c r="F3460" s="46"/>
      <c r="G3460" s="46"/>
      <c r="H3460" s="46"/>
    </row>
    <row r="3461" spans="6:8" x14ac:dyDescent="0.25">
      <c r="F3461" s="46"/>
      <c r="G3461" s="46"/>
      <c r="H3461" s="46"/>
    </row>
    <row r="3462" spans="6:8" x14ac:dyDescent="0.25">
      <c r="F3462" s="46"/>
      <c r="G3462" s="46"/>
      <c r="H3462" s="46"/>
    </row>
    <row r="3463" spans="6:8" x14ac:dyDescent="0.25">
      <c r="F3463" s="46"/>
      <c r="G3463" s="46"/>
      <c r="H3463" s="46"/>
    </row>
    <row r="3464" spans="6:8" x14ac:dyDescent="0.25">
      <c r="F3464" s="46"/>
      <c r="G3464" s="46"/>
      <c r="H3464" s="46"/>
    </row>
    <row r="3465" spans="6:8" x14ac:dyDescent="0.25">
      <c r="F3465" s="46"/>
      <c r="G3465" s="46"/>
      <c r="H3465" s="46"/>
    </row>
    <row r="3466" spans="6:8" x14ac:dyDescent="0.25">
      <c r="F3466" s="46"/>
      <c r="G3466" s="46"/>
      <c r="H3466" s="46"/>
    </row>
    <row r="3467" spans="6:8" x14ac:dyDescent="0.25">
      <c r="F3467" s="46"/>
      <c r="G3467" s="46"/>
      <c r="H3467" s="46"/>
    </row>
    <row r="3468" spans="6:8" x14ac:dyDescent="0.25">
      <c r="F3468" s="46"/>
      <c r="G3468" s="46"/>
      <c r="H3468" s="46"/>
    </row>
    <row r="3469" spans="6:8" x14ac:dyDescent="0.25">
      <c r="F3469" s="46"/>
      <c r="G3469" s="46"/>
      <c r="H3469" s="46"/>
    </row>
    <row r="3470" spans="6:8" x14ac:dyDescent="0.25">
      <c r="F3470" s="46"/>
      <c r="G3470" s="46"/>
      <c r="H3470" s="46"/>
    </row>
    <row r="3471" spans="6:8" x14ac:dyDescent="0.25">
      <c r="F3471" s="46"/>
      <c r="G3471" s="46"/>
      <c r="H3471" s="46"/>
    </row>
    <row r="3472" spans="6:8" x14ac:dyDescent="0.25">
      <c r="F3472" s="46"/>
      <c r="G3472" s="46"/>
      <c r="H3472" s="46"/>
    </row>
    <row r="3473" spans="6:8" x14ac:dyDescent="0.25">
      <c r="F3473" s="46"/>
      <c r="G3473" s="46"/>
      <c r="H3473" s="46"/>
    </row>
    <row r="3474" spans="6:8" x14ac:dyDescent="0.25">
      <c r="F3474" s="46"/>
      <c r="G3474" s="46"/>
      <c r="H3474" s="46"/>
    </row>
    <row r="3475" spans="6:8" x14ac:dyDescent="0.25">
      <c r="F3475" s="46"/>
      <c r="G3475" s="46"/>
      <c r="H3475" s="46"/>
    </row>
    <row r="3476" spans="6:8" x14ac:dyDescent="0.25">
      <c r="F3476" s="46"/>
      <c r="G3476" s="46"/>
      <c r="H3476" s="46"/>
    </row>
    <row r="3477" spans="6:8" x14ac:dyDescent="0.25">
      <c r="F3477" s="46"/>
      <c r="G3477" s="46"/>
      <c r="H3477" s="46"/>
    </row>
    <row r="3478" spans="6:8" x14ac:dyDescent="0.25">
      <c r="F3478" s="46"/>
      <c r="G3478" s="46"/>
      <c r="H3478" s="46"/>
    </row>
    <row r="3479" spans="6:8" x14ac:dyDescent="0.25">
      <c r="F3479" s="46"/>
      <c r="G3479" s="46"/>
      <c r="H3479" s="46"/>
    </row>
    <row r="3480" spans="6:8" x14ac:dyDescent="0.25">
      <c r="F3480" s="46"/>
      <c r="G3480" s="46"/>
      <c r="H3480" s="46"/>
    </row>
    <row r="3481" spans="6:8" x14ac:dyDescent="0.25">
      <c r="F3481" s="46"/>
      <c r="G3481" s="46"/>
      <c r="H3481" s="46"/>
    </row>
    <row r="3482" spans="6:8" x14ac:dyDescent="0.25">
      <c r="F3482" s="46"/>
      <c r="G3482" s="46"/>
      <c r="H3482" s="46"/>
    </row>
    <row r="3483" spans="6:8" x14ac:dyDescent="0.25">
      <c r="F3483" s="46"/>
      <c r="G3483" s="46"/>
      <c r="H3483" s="46"/>
    </row>
    <row r="3484" spans="6:8" x14ac:dyDescent="0.25">
      <c r="F3484" s="46"/>
      <c r="G3484" s="46"/>
      <c r="H3484" s="46"/>
    </row>
    <row r="3485" spans="6:8" x14ac:dyDescent="0.25">
      <c r="F3485" s="46"/>
      <c r="G3485" s="46"/>
      <c r="H3485" s="46"/>
    </row>
    <row r="3486" spans="6:8" x14ac:dyDescent="0.25">
      <c r="F3486" s="46"/>
      <c r="G3486" s="46"/>
      <c r="H3486" s="46"/>
    </row>
    <row r="3487" spans="6:8" x14ac:dyDescent="0.25">
      <c r="F3487" s="46"/>
      <c r="G3487" s="46"/>
      <c r="H3487" s="46"/>
    </row>
    <row r="3488" spans="6:8" x14ac:dyDescent="0.25">
      <c r="F3488" s="46"/>
      <c r="G3488" s="46"/>
      <c r="H3488" s="46"/>
    </row>
    <row r="3489" spans="6:8" x14ac:dyDescent="0.25">
      <c r="F3489" s="46"/>
      <c r="G3489" s="46"/>
      <c r="H3489" s="46"/>
    </row>
    <row r="3490" spans="6:8" x14ac:dyDescent="0.25">
      <c r="F3490" s="46"/>
      <c r="G3490" s="46"/>
      <c r="H3490" s="46"/>
    </row>
    <row r="3491" spans="6:8" x14ac:dyDescent="0.25">
      <c r="F3491" s="46"/>
      <c r="G3491" s="46"/>
      <c r="H3491" s="46"/>
    </row>
    <row r="3492" spans="6:8" x14ac:dyDescent="0.25">
      <c r="F3492" s="46"/>
      <c r="G3492" s="46"/>
      <c r="H3492" s="46"/>
    </row>
    <row r="3493" spans="6:8" x14ac:dyDescent="0.25">
      <c r="F3493" s="46"/>
      <c r="G3493" s="46"/>
      <c r="H3493" s="46"/>
    </row>
    <row r="3494" spans="6:8" x14ac:dyDescent="0.25">
      <c r="F3494" s="46"/>
      <c r="G3494" s="46"/>
      <c r="H3494" s="46"/>
    </row>
    <row r="3495" spans="6:8" x14ac:dyDescent="0.25">
      <c r="F3495" s="46"/>
      <c r="G3495" s="46"/>
      <c r="H3495" s="46"/>
    </row>
    <row r="3496" spans="6:8" x14ac:dyDescent="0.25">
      <c r="F3496" s="46"/>
      <c r="G3496" s="46"/>
      <c r="H3496" s="46"/>
    </row>
    <row r="3497" spans="6:8" x14ac:dyDescent="0.25">
      <c r="F3497" s="46"/>
      <c r="G3497" s="46"/>
      <c r="H3497" s="46"/>
    </row>
    <row r="3498" spans="6:8" x14ac:dyDescent="0.25">
      <c r="F3498" s="46"/>
      <c r="G3498" s="46"/>
      <c r="H3498" s="46"/>
    </row>
    <row r="3499" spans="6:8" x14ac:dyDescent="0.25">
      <c r="F3499" s="46"/>
      <c r="G3499" s="46"/>
      <c r="H3499" s="46"/>
    </row>
    <row r="3500" spans="6:8" x14ac:dyDescent="0.25">
      <c r="F3500" s="46"/>
      <c r="G3500" s="46"/>
      <c r="H3500" s="46"/>
    </row>
    <row r="3501" spans="6:8" x14ac:dyDescent="0.25">
      <c r="F3501" s="46"/>
      <c r="G3501" s="46"/>
      <c r="H3501" s="46"/>
    </row>
    <row r="3502" spans="6:8" x14ac:dyDescent="0.25">
      <c r="F3502" s="46"/>
      <c r="G3502" s="46"/>
      <c r="H3502" s="46"/>
    </row>
    <row r="3503" spans="6:8" x14ac:dyDescent="0.25">
      <c r="F3503" s="46"/>
      <c r="G3503" s="46"/>
      <c r="H3503" s="46"/>
    </row>
    <row r="3504" spans="6:8" x14ac:dyDescent="0.25">
      <c r="F3504" s="46"/>
      <c r="G3504" s="46"/>
      <c r="H3504" s="46"/>
    </row>
    <row r="3505" spans="6:8" x14ac:dyDescent="0.25">
      <c r="F3505" s="46"/>
      <c r="G3505" s="46"/>
      <c r="H3505" s="46"/>
    </row>
    <row r="3506" spans="6:8" x14ac:dyDescent="0.25">
      <c r="F3506" s="46"/>
      <c r="G3506" s="46"/>
      <c r="H3506" s="46"/>
    </row>
    <row r="3507" spans="6:8" x14ac:dyDescent="0.25">
      <c r="F3507" s="46"/>
      <c r="G3507" s="46"/>
      <c r="H3507" s="46"/>
    </row>
    <row r="3508" spans="6:8" x14ac:dyDescent="0.25">
      <c r="F3508" s="46"/>
      <c r="G3508" s="46"/>
      <c r="H3508" s="46"/>
    </row>
    <row r="3509" spans="6:8" x14ac:dyDescent="0.25">
      <c r="F3509" s="46"/>
      <c r="G3509" s="46"/>
      <c r="H3509" s="46"/>
    </row>
    <row r="3510" spans="6:8" x14ac:dyDescent="0.25">
      <c r="F3510" s="46"/>
      <c r="G3510" s="46"/>
      <c r="H3510" s="46"/>
    </row>
    <row r="3511" spans="6:8" x14ac:dyDescent="0.25">
      <c r="F3511" s="46"/>
      <c r="G3511" s="46"/>
      <c r="H3511" s="46"/>
    </row>
    <row r="3512" spans="6:8" x14ac:dyDescent="0.25">
      <c r="F3512" s="46"/>
      <c r="G3512" s="46"/>
      <c r="H3512" s="46"/>
    </row>
    <row r="3513" spans="6:8" x14ac:dyDescent="0.25">
      <c r="F3513" s="46"/>
      <c r="G3513" s="46"/>
      <c r="H3513" s="46"/>
    </row>
    <row r="3514" spans="6:8" x14ac:dyDescent="0.25">
      <c r="F3514" s="46"/>
      <c r="G3514" s="46"/>
      <c r="H3514" s="46"/>
    </row>
    <row r="3515" spans="6:8" x14ac:dyDescent="0.25">
      <c r="F3515" s="46"/>
      <c r="G3515" s="46"/>
      <c r="H3515" s="46"/>
    </row>
    <row r="3516" spans="6:8" x14ac:dyDescent="0.25">
      <c r="F3516" s="46"/>
      <c r="G3516" s="46"/>
      <c r="H3516" s="46"/>
    </row>
    <row r="3517" spans="6:8" x14ac:dyDescent="0.25">
      <c r="F3517" s="46"/>
      <c r="G3517" s="46"/>
      <c r="H3517" s="46"/>
    </row>
    <row r="3518" spans="6:8" x14ac:dyDescent="0.25">
      <c r="F3518" s="46"/>
      <c r="G3518" s="46"/>
      <c r="H3518" s="46"/>
    </row>
    <row r="3519" spans="6:8" x14ac:dyDescent="0.25">
      <c r="F3519" s="46"/>
      <c r="G3519" s="46"/>
      <c r="H3519" s="46"/>
    </row>
    <row r="3520" spans="6:8" x14ac:dyDescent="0.25">
      <c r="F3520" s="46"/>
      <c r="G3520" s="46"/>
      <c r="H3520" s="46"/>
    </row>
    <row r="3521" spans="6:8" x14ac:dyDescent="0.25">
      <c r="F3521" s="46"/>
      <c r="G3521" s="46"/>
      <c r="H3521" s="46"/>
    </row>
    <row r="3522" spans="6:8" x14ac:dyDescent="0.25">
      <c r="F3522" s="46"/>
      <c r="G3522" s="46"/>
      <c r="H3522" s="46"/>
    </row>
    <row r="3523" spans="6:8" x14ac:dyDescent="0.25">
      <c r="F3523" s="46"/>
      <c r="G3523" s="46"/>
      <c r="H3523" s="46"/>
    </row>
    <row r="3524" spans="6:8" x14ac:dyDescent="0.25">
      <c r="F3524" s="46"/>
      <c r="G3524" s="46"/>
      <c r="H3524" s="46"/>
    </row>
    <row r="3525" spans="6:8" x14ac:dyDescent="0.25">
      <c r="F3525" s="46"/>
      <c r="G3525" s="46"/>
      <c r="H3525" s="46"/>
    </row>
    <row r="3526" spans="6:8" x14ac:dyDescent="0.25">
      <c r="F3526" s="46"/>
      <c r="G3526" s="46"/>
      <c r="H3526" s="46"/>
    </row>
    <row r="3527" spans="6:8" x14ac:dyDescent="0.25">
      <c r="F3527" s="46"/>
      <c r="G3527" s="46"/>
      <c r="H3527" s="46"/>
    </row>
    <row r="3528" spans="6:8" x14ac:dyDescent="0.25">
      <c r="F3528" s="46"/>
      <c r="G3528" s="46"/>
      <c r="H3528" s="46"/>
    </row>
    <row r="3529" spans="6:8" x14ac:dyDescent="0.25">
      <c r="F3529" s="46"/>
      <c r="G3529" s="46"/>
      <c r="H3529" s="46"/>
    </row>
    <row r="3530" spans="6:8" x14ac:dyDescent="0.25">
      <c r="F3530" s="46"/>
      <c r="G3530" s="46"/>
      <c r="H3530" s="46"/>
    </row>
    <row r="3531" spans="6:8" x14ac:dyDescent="0.25">
      <c r="F3531" s="46"/>
      <c r="G3531" s="46"/>
      <c r="H3531" s="46"/>
    </row>
    <row r="3532" spans="6:8" x14ac:dyDescent="0.25">
      <c r="F3532" s="46"/>
      <c r="G3532" s="46"/>
      <c r="H3532" s="46"/>
    </row>
    <row r="3533" spans="6:8" x14ac:dyDescent="0.25">
      <c r="F3533" s="46"/>
      <c r="G3533" s="46"/>
      <c r="H3533" s="46"/>
    </row>
    <row r="3534" spans="6:8" x14ac:dyDescent="0.25">
      <c r="F3534" s="46"/>
      <c r="G3534" s="46"/>
      <c r="H3534" s="46"/>
    </row>
    <row r="3535" spans="6:8" x14ac:dyDescent="0.25">
      <c r="F3535" s="46"/>
      <c r="G3535" s="46"/>
      <c r="H3535" s="46"/>
    </row>
    <row r="3536" spans="6:8" x14ac:dyDescent="0.25">
      <c r="F3536" s="46"/>
      <c r="G3536" s="46"/>
      <c r="H3536" s="46"/>
    </row>
    <row r="3537" spans="6:8" x14ac:dyDescent="0.25">
      <c r="F3537" s="46"/>
      <c r="G3537" s="46"/>
      <c r="H3537" s="46"/>
    </row>
    <row r="3538" spans="6:8" x14ac:dyDescent="0.25">
      <c r="F3538" s="46"/>
      <c r="G3538" s="46"/>
      <c r="H3538" s="46"/>
    </row>
    <row r="3539" spans="6:8" x14ac:dyDescent="0.25">
      <c r="F3539" s="46"/>
      <c r="G3539" s="46"/>
      <c r="H3539" s="46"/>
    </row>
    <row r="3540" spans="6:8" x14ac:dyDescent="0.25">
      <c r="F3540" s="46"/>
      <c r="G3540" s="46"/>
      <c r="H3540" s="46"/>
    </row>
    <row r="3541" spans="6:8" x14ac:dyDescent="0.25">
      <c r="F3541" s="46"/>
      <c r="G3541" s="46"/>
      <c r="H3541" s="46"/>
    </row>
    <row r="3542" spans="6:8" x14ac:dyDescent="0.25">
      <c r="F3542" s="46"/>
      <c r="G3542" s="46"/>
      <c r="H3542" s="46"/>
    </row>
    <row r="3543" spans="6:8" x14ac:dyDescent="0.25">
      <c r="F3543" s="46"/>
      <c r="G3543" s="46"/>
      <c r="H3543" s="46"/>
    </row>
    <row r="3544" spans="6:8" x14ac:dyDescent="0.25">
      <c r="F3544" s="46"/>
      <c r="G3544" s="46"/>
      <c r="H3544" s="46"/>
    </row>
    <row r="3545" spans="6:8" x14ac:dyDescent="0.25">
      <c r="F3545" s="46"/>
      <c r="G3545" s="46"/>
      <c r="H3545" s="46"/>
    </row>
    <row r="3546" spans="6:8" x14ac:dyDescent="0.25">
      <c r="F3546" s="46"/>
      <c r="G3546" s="46"/>
      <c r="H3546" s="46"/>
    </row>
    <row r="3547" spans="6:8" x14ac:dyDescent="0.25">
      <c r="F3547" s="46"/>
      <c r="G3547" s="46"/>
      <c r="H3547" s="46"/>
    </row>
    <row r="3548" spans="6:8" x14ac:dyDescent="0.25">
      <c r="F3548" s="46"/>
      <c r="G3548" s="46"/>
      <c r="H3548" s="46"/>
    </row>
    <row r="3549" spans="6:8" x14ac:dyDescent="0.25">
      <c r="F3549" s="46"/>
      <c r="G3549" s="46"/>
      <c r="H3549" s="46"/>
    </row>
    <row r="3550" spans="6:8" x14ac:dyDescent="0.25">
      <c r="F3550" s="46"/>
      <c r="G3550" s="46"/>
      <c r="H3550" s="46"/>
    </row>
    <row r="3551" spans="6:8" x14ac:dyDescent="0.25">
      <c r="F3551" s="46"/>
      <c r="G3551" s="46"/>
      <c r="H3551" s="46"/>
    </row>
    <row r="3552" spans="6:8" x14ac:dyDescent="0.25">
      <c r="F3552" s="46"/>
      <c r="G3552" s="46"/>
      <c r="H3552" s="46"/>
    </row>
    <row r="3553" spans="6:8" x14ac:dyDescent="0.25">
      <c r="F3553" s="46"/>
      <c r="G3553" s="46"/>
      <c r="H3553" s="46"/>
    </row>
    <row r="3554" spans="6:8" x14ac:dyDescent="0.25">
      <c r="F3554" s="46"/>
      <c r="G3554" s="46"/>
      <c r="H3554" s="46"/>
    </row>
    <row r="3555" spans="6:8" x14ac:dyDescent="0.25">
      <c r="F3555" s="46"/>
      <c r="G3555" s="46"/>
      <c r="H3555" s="46"/>
    </row>
    <row r="3556" spans="6:8" x14ac:dyDescent="0.25">
      <c r="F3556" s="46"/>
      <c r="G3556" s="46"/>
      <c r="H3556" s="46"/>
    </row>
    <row r="3557" spans="6:8" x14ac:dyDescent="0.25">
      <c r="F3557" s="46"/>
      <c r="G3557" s="46"/>
      <c r="H3557" s="46"/>
    </row>
    <row r="3558" spans="6:8" x14ac:dyDescent="0.25">
      <c r="F3558" s="46"/>
      <c r="G3558" s="46"/>
      <c r="H3558" s="46"/>
    </row>
    <row r="3559" spans="6:8" x14ac:dyDescent="0.25">
      <c r="F3559" s="46"/>
      <c r="G3559" s="46"/>
      <c r="H3559" s="46"/>
    </row>
    <row r="3560" spans="6:8" x14ac:dyDescent="0.25">
      <c r="F3560" s="46"/>
      <c r="G3560" s="46"/>
      <c r="H3560" s="46"/>
    </row>
    <row r="3561" spans="6:8" x14ac:dyDescent="0.25">
      <c r="F3561" s="46"/>
      <c r="G3561" s="46"/>
      <c r="H3561" s="46"/>
    </row>
    <row r="3562" spans="6:8" x14ac:dyDescent="0.25">
      <c r="F3562" s="46"/>
      <c r="G3562" s="46"/>
      <c r="H3562" s="46"/>
    </row>
    <row r="3563" spans="6:8" x14ac:dyDescent="0.25">
      <c r="F3563" s="46"/>
      <c r="G3563" s="46"/>
      <c r="H3563" s="46"/>
    </row>
    <row r="3564" spans="6:8" x14ac:dyDescent="0.25">
      <c r="F3564" s="46"/>
      <c r="G3564" s="46"/>
      <c r="H3564" s="46"/>
    </row>
    <row r="3565" spans="6:8" x14ac:dyDescent="0.25">
      <c r="F3565" s="46"/>
      <c r="G3565" s="46"/>
      <c r="H3565" s="46"/>
    </row>
    <row r="3566" spans="6:8" x14ac:dyDescent="0.25">
      <c r="F3566" s="46"/>
      <c r="G3566" s="46"/>
      <c r="H3566" s="46"/>
    </row>
    <row r="3567" spans="6:8" x14ac:dyDescent="0.25">
      <c r="F3567" s="46"/>
      <c r="G3567" s="46"/>
      <c r="H3567" s="46"/>
    </row>
    <row r="3568" spans="6:8" x14ac:dyDescent="0.25">
      <c r="F3568" s="46"/>
      <c r="G3568" s="46"/>
      <c r="H3568" s="46"/>
    </row>
    <row r="3569" spans="6:8" x14ac:dyDescent="0.25">
      <c r="F3569" s="46"/>
      <c r="G3569" s="46"/>
      <c r="H3569" s="46"/>
    </row>
    <row r="3570" spans="6:8" x14ac:dyDescent="0.25">
      <c r="F3570" s="46"/>
      <c r="G3570" s="46"/>
      <c r="H3570" s="46"/>
    </row>
    <row r="3571" spans="6:8" x14ac:dyDescent="0.25">
      <c r="F3571" s="46"/>
      <c r="G3571" s="46"/>
      <c r="H3571" s="46"/>
    </row>
    <row r="3572" spans="6:8" x14ac:dyDescent="0.25">
      <c r="F3572" s="46"/>
      <c r="G3572" s="46"/>
      <c r="H3572" s="46"/>
    </row>
    <row r="3573" spans="6:8" x14ac:dyDescent="0.25">
      <c r="F3573" s="46"/>
      <c r="G3573" s="46"/>
      <c r="H3573" s="46"/>
    </row>
    <row r="3574" spans="6:8" x14ac:dyDescent="0.25">
      <c r="F3574" s="46"/>
      <c r="G3574" s="46"/>
      <c r="H3574" s="46"/>
    </row>
    <row r="3575" spans="6:8" x14ac:dyDescent="0.25">
      <c r="F3575" s="46"/>
      <c r="G3575" s="46"/>
      <c r="H3575" s="46"/>
    </row>
    <row r="3576" spans="6:8" x14ac:dyDescent="0.25">
      <c r="F3576" s="46"/>
      <c r="G3576" s="46"/>
      <c r="H3576" s="46"/>
    </row>
    <row r="3577" spans="6:8" x14ac:dyDescent="0.25">
      <c r="F3577" s="46"/>
      <c r="G3577" s="46"/>
      <c r="H3577" s="46"/>
    </row>
    <row r="3578" spans="6:8" x14ac:dyDescent="0.25">
      <c r="F3578" s="46"/>
      <c r="G3578" s="46"/>
      <c r="H3578" s="46"/>
    </row>
    <row r="3579" spans="6:8" x14ac:dyDescent="0.25">
      <c r="F3579" s="46"/>
      <c r="G3579" s="46"/>
      <c r="H3579" s="46"/>
    </row>
    <row r="3580" spans="6:8" x14ac:dyDescent="0.25">
      <c r="F3580" s="46"/>
      <c r="G3580" s="46"/>
      <c r="H3580" s="46"/>
    </row>
    <row r="3581" spans="6:8" x14ac:dyDescent="0.25">
      <c r="F3581" s="46"/>
      <c r="G3581" s="46"/>
      <c r="H3581" s="46"/>
    </row>
    <row r="3582" spans="6:8" x14ac:dyDescent="0.25">
      <c r="F3582" s="46"/>
      <c r="G3582" s="46"/>
      <c r="H3582" s="46"/>
    </row>
    <row r="3583" spans="6:8" x14ac:dyDescent="0.25">
      <c r="F3583" s="46"/>
      <c r="G3583" s="46"/>
      <c r="H3583" s="46"/>
    </row>
    <row r="3584" spans="6:8" x14ac:dyDescent="0.25">
      <c r="F3584" s="46"/>
      <c r="G3584" s="46"/>
      <c r="H3584" s="46"/>
    </row>
    <row r="3585" spans="6:8" x14ac:dyDescent="0.25">
      <c r="F3585" s="46"/>
      <c r="G3585" s="46"/>
      <c r="H3585" s="46"/>
    </row>
    <row r="3586" spans="6:8" x14ac:dyDescent="0.25">
      <c r="F3586" s="46"/>
      <c r="G3586" s="46"/>
      <c r="H3586" s="46"/>
    </row>
    <row r="3587" spans="6:8" x14ac:dyDescent="0.25">
      <c r="F3587" s="46"/>
      <c r="G3587" s="46"/>
      <c r="H3587" s="46"/>
    </row>
    <row r="3588" spans="6:8" x14ac:dyDescent="0.25">
      <c r="F3588" s="46"/>
      <c r="G3588" s="46"/>
      <c r="H3588" s="46"/>
    </row>
    <row r="3589" spans="6:8" x14ac:dyDescent="0.25">
      <c r="F3589" s="46"/>
      <c r="G3589" s="46"/>
      <c r="H3589" s="46"/>
    </row>
    <row r="3590" spans="6:8" x14ac:dyDescent="0.25">
      <c r="F3590" s="46"/>
      <c r="G3590" s="46"/>
      <c r="H3590" s="46"/>
    </row>
    <row r="3591" spans="6:8" x14ac:dyDescent="0.25">
      <c r="F3591" s="46"/>
      <c r="G3591" s="46"/>
      <c r="H3591" s="46"/>
    </row>
    <row r="3592" spans="6:8" x14ac:dyDescent="0.25">
      <c r="F3592" s="46"/>
      <c r="G3592" s="46"/>
      <c r="H3592" s="46"/>
    </row>
    <row r="3593" spans="6:8" x14ac:dyDescent="0.25">
      <c r="F3593" s="46"/>
      <c r="G3593" s="46"/>
      <c r="H3593" s="46"/>
    </row>
    <row r="3594" spans="6:8" x14ac:dyDescent="0.25">
      <c r="F3594" s="46"/>
      <c r="G3594" s="46"/>
      <c r="H3594" s="46"/>
    </row>
    <row r="3595" spans="6:8" x14ac:dyDescent="0.25">
      <c r="F3595" s="46"/>
      <c r="G3595" s="46"/>
      <c r="H3595" s="46"/>
    </row>
    <row r="3596" spans="6:8" x14ac:dyDescent="0.25">
      <c r="F3596" s="46"/>
      <c r="G3596" s="46"/>
      <c r="H3596" s="46"/>
    </row>
    <row r="3597" spans="6:8" x14ac:dyDescent="0.25">
      <c r="F3597" s="46"/>
      <c r="G3597" s="46"/>
      <c r="H3597" s="46"/>
    </row>
    <row r="3598" spans="6:8" x14ac:dyDescent="0.25">
      <c r="F3598" s="46"/>
      <c r="G3598" s="46"/>
      <c r="H3598" s="46"/>
    </row>
    <row r="3599" spans="6:8" x14ac:dyDescent="0.25">
      <c r="F3599" s="46"/>
      <c r="G3599" s="46"/>
      <c r="H3599" s="46"/>
    </row>
    <row r="3600" spans="6:8" x14ac:dyDescent="0.25">
      <c r="F3600" s="46"/>
      <c r="G3600" s="46"/>
      <c r="H3600" s="46"/>
    </row>
    <row r="3601" spans="6:8" x14ac:dyDescent="0.25">
      <c r="F3601" s="46"/>
      <c r="G3601" s="46"/>
      <c r="H3601" s="46"/>
    </row>
    <row r="3602" spans="6:8" x14ac:dyDescent="0.25">
      <c r="F3602" s="46"/>
      <c r="G3602" s="46"/>
      <c r="H3602" s="46"/>
    </row>
    <row r="3603" spans="6:8" x14ac:dyDescent="0.25">
      <c r="F3603" s="46"/>
      <c r="G3603" s="46"/>
      <c r="H3603" s="46"/>
    </row>
    <row r="3604" spans="6:8" x14ac:dyDescent="0.25">
      <c r="F3604" s="46"/>
      <c r="G3604" s="46"/>
      <c r="H3604" s="46"/>
    </row>
    <row r="3605" spans="6:8" x14ac:dyDescent="0.25">
      <c r="F3605" s="46"/>
      <c r="G3605" s="46"/>
      <c r="H3605" s="46"/>
    </row>
    <row r="3606" spans="6:8" x14ac:dyDescent="0.25">
      <c r="F3606" s="46"/>
      <c r="G3606" s="46"/>
      <c r="H3606" s="46"/>
    </row>
    <row r="3607" spans="6:8" x14ac:dyDescent="0.25">
      <c r="F3607" s="46"/>
      <c r="G3607" s="46"/>
      <c r="H3607" s="46"/>
    </row>
    <row r="3608" spans="6:8" x14ac:dyDescent="0.25">
      <c r="F3608" s="46"/>
      <c r="G3608" s="46"/>
      <c r="H3608" s="46"/>
    </row>
    <row r="3609" spans="6:8" x14ac:dyDescent="0.25">
      <c r="F3609" s="46"/>
      <c r="G3609" s="46"/>
      <c r="H3609" s="46"/>
    </row>
    <row r="3610" spans="6:8" x14ac:dyDescent="0.25">
      <c r="F3610" s="46"/>
      <c r="G3610" s="46"/>
      <c r="H3610" s="46"/>
    </row>
    <row r="3611" spans="6:8" x14ac:dyDescent="0.25">
      <c r="F3611" s="46"/>
      <c r="G3611" s="46"/>
      <c r="H3611" s="46"/>
    </row>
    <row r="3612" spans="6:8" x14ac:dyDescent="0.25">
      <c r="F3612" s="46"/>
      <c r="G3612" s="46"/>
      <c r="H3612" s="46"/>
    </row>
    <row r="3613" spans="6:8" x14ac:dyDescent="0.25">
      <c r="F3613" s="46"/>
      <c r="G3613" s="46"/>
      <c r="H3613" s="46"/>
    </row>
    <row r="3614" spans="6:8" x14ac:dyDescent="0.25">
      <c r="F3614" s="46"/>
      <c r="G3614" s="46"/>
      <c r="H3614" s="46"/>
    </row>
    <row r="3615" spans="6:8" x14ac:dyDescent="0.25">
      <c r="F3615" s="46"/>
      <c r="G3615" s="46"/>
      <c r="H3615" s="46"/>
    </row>
    <row r="3616" spans="6:8" x14ac:dyDescent="0.25">
      <c r="F3616" s="46"/>
      <c r="G3616" s="46"/>
      <c r="H3616" s="46"/>
    </row>
    <row r="3617" spans="6:8" x14ac:dyDescent="0.25">
      <c r="F3617" s="46"/>
      <c r="G3617" s="46"/>
      <c r="H3617" s="46"/>
    </row>
    <row r="3618" spans="6:8" x14ac:dyDescent="0.25">
      <c r="F3618" s="46"/>
      <c r="G3618" s="46"/>
      <c r="H3618" s="46"/>
    </row>
    <row r="3619" spans="6:8" x14ac:dyDescent="0.25">
      <c r="F3619" s="46"/>
      <c r="G3619" s="46"/>
      <c r="H3619" s="46"/>
    </row>
    <row r="3620" spans="6:8" x14ac:dyDescent="0.25">
      <c r="F3620" s="46"/>
      <c r="G3620" s="46"/>
      <c r="H3620" s="46"/>
    </row>
    <row r="3621" spans="6:8" x14ac:dyDescent="0.25">
      <c r="F3621" s="46"/>
      <c r="G3621" s="46"/>
      <c r="H3621" s="46"/>
    </row>
    <row r="3622" spans="6:8" x14ac:dyDescent="0.25">
      <c r="F3622" s="46"/>
      <c r="G3622" s="46"/>
      <c r="H3622" s="46"/>
    </row>
    <row r="3623" spans="6:8" x14ac:dyDescent="0.25">
      <c r="F3623" s="46"/>
      <c r="G3623" s="46"/>
      <c r="H3623" s="46"/>
    </row>
    <row r="3624" spans="6:8" x14ac:dyDescent="0.25">
      <c r="F3624" s="46"/>
      <c r="G3624" s="46"/>
      <c r="H3624" s="46"/>
    </row>
    <row r="3625" spans="6:8" x14ac:dyDescent="0.25">
      <c r="F3625" s="46"/>
      <c r="G3625" s="46"/>
      <c r="H3625" s="46"/>
    </row>
    <row r="3626" spans="6:8" x14ac:dyDescent="0.25">
      <c r="F3626" s="46"/>
      <c r="G3626" s="46"/>
      <c r="H3626" s="46"/>
    </row>
    <row r="3627" spans="6:8" x14ac:dyDescent="0.25">
      <c r="F3627" s="46"/>
      <c r="G3627" s="46"/>
      <c r="H3627" s="46"/>
    </row>
    <row r="3628" spans="6:8" x14ac:dyDescent="0.25">
      <c r="F3628" s="46"/>
      <c r="G3628" s="46"/>
      <c r="H3628" s="46"/>
    </row>
    <row r="3629" spans="6:8" x14ac:dyDescent="0.25">
      <c r="F3629" s="46"/>
      <c r="G3629" s="46"/>
      <c r="H3629" s="46"/>
    </row>
    <row r="3630" spans="6:8" x14ac:dyDescent="0.25">
      <c r="F3630" s="46"/>
      <c r="G3630" s="46"/>
      <c r="H3630" s="46"/>
    </row>
    <row r="3631" spans="6:8" x14ac:dyDescent="0.25">
      <c r="F3631" s="46"/>
      <c r="G3631" s="46"/>
      <c r="H3631" s="46"/>
    </row>
    <row r="3632" spans="6:8" x14ac:dyDescent="0.25">
      <c r="F3632" s="46"/>
      <c r="G3632" s="46"/>
      <c r="H3632" s="46"/>
    </row>
    <row r="3633" spans="6:8" x14ac:dyDescent="0.25">
      <c r="F3633" s="46"/>
      <c r="G3633" s="46"/>
      <c r="H3633" s="46"/>
    </row>
    <row r="3634" spans="6:8" x14ac:dyDescent="0.25">
      <c r="F3634" s="46"/>
      <c r="G3634" s="46"/>
      <c r="H3634" s="46"/>
    </row>
    <row r="3635" spans="6:8" x14ac:dyDescent="0.25">
      <c r="F3635" s="46"/>
      <c r="G3635" s="46"/>
      <c r="H3635" s="46"/>
    </row>
    <row r="3636" spans="6:8" x14ac:dyDescent="0.25">
      <c r="F3636" s="46"/>
      <c r="G3636" s="46"/>
      <c r="H3636" s="46"/>
    </row>
    <row r="3637" spans="6:8" x14ac:dyDescent="0.25">
      <c r="F3637" s="46"/>
      <c r="G3637" s="46"/>
      <c r="H3637" s="46"/>
    </row>
    <row r="3638" spans="6:8" x14ac:dyDescent="0.25">
      <c r="F3638" s="46"/>
      <c r="G3638" s="46"/>
      <c r="H3638" s="46"/>
    </row>
    <row r="3639" spans="6:8" x14ac:dyDescent="0.25">
      <c r="F3639" s="46"/>
      <c r="G3639" s="46"/>
      <c r="H3639" s="46"/>
    </row>
    <row r="3640" spans="6:8" x14ac:dyDescent="0.25">
      <c r="F3640" s="46"/>
      <c r="G3640" s="46"/>
      <c r="H3640" s="46"/>
    </row>
    <row r="3641" spans="6:8" x14ac:dyDescent="0.25">
      <c r="F3641" s="46"/>
      <c r="G3641" s="46"/>
      <c r="H3641" s="46"/>
    </row>
    <row r="3642" spans="6:8" x14ac:dyDescent="0.25">
      <c r="F3642" s="46"/>
      <c r="G3642" s="46"/>
      <c r="H3642" s="46"/>
    </row>
    <row r="3643" spans="6:8" x14ac:dyDescent="0.25">
      <c r="F3643" s="46"/>
      <c r="G3643" s="46"/>
      <c r="H3643" s="46"/>
    </row>
    <row r="3644" spans="6:8" x14ac:dyDescent="0.25">
      <c r="F3644" s="46"/>
      <c r="G3644" s="46"/>
      <c r="H3644" s="46"/>
    </row>
    <row r="3645" spans="6:8" x14ac:dyDescent="0.25">
      <c r="F3645" s="46"/>
      <c r="G3645" s="46"/>
      <c r="H3645" s="46"/>
    </row>
    <row r="3646" spans="6:8" x14ac:dyDescent="0.25">
      <c r="F3646" s="46"/>
      <c r="G3646" s="46"/>
      <c r="H3646" s="46"/>
    </row>
    <row r="3647" spans="6:8" x14ac:dyDescent="0.25">
      <c r="F3647" s="46"/>
      <c r="G3647" s="46"/>
      <c r="H3647" s="46"/>
    </row>
    <row r="3648" spans="6:8" x14ac:dyDescent="0.25">
      <c r="F3648" s="46"/>
      <c r="G3648" s="46"/>
      <c r="H3648" s="46"/>
    </row>
    <row r="3649" spans="6:8" x14ac:dyDescent="0.25">
      <c r="F3649" s="46"/>
      <c r="G3649" s="46"/>
      <c r="H3649" s="46"/>
    </row>
    <row r="3650" spans="6:8" x14ac:dyDescent="0.25">
      <c r="F3650" s="46"/>
      <c r="G3650" s="46"/>
      <c r="H3650" s="46"/>
    </row>
    <row r="3651" spans="6:8" x14ac:dyDescent="0.25">
      <c r="F3651" s="46"/>
      <c r="G3651" s="46"/>
      <c r="H3651" s="46"/>
    </row>
    <row r="3652" spans="6:8" x14ac:dyDescent="0.25">
      <c r="F3652" s="46"/>
      <c r="G3652" s="46"/>
      <c r="H3652" s="46"/>
    </row>
    <row r="3653" spans="6:8" x14ac:dyDescent="0.25">
      <c r="F3653" s="46"/>
      <c r="G3653" s="46"/>
      <c r="H3653" s="46"/>
    </row>
    <row r="3654" spans="6:8" x14ac:dyDescent="0.25">
      <c r="F3654" s="46"/>
      <c r="G3654" s="46"/>
      <c r="H3654" s="46"/>
    </row>
    <row r="3655" spans="6:8" x14ac:dyDescent="0.25">
      <c r="F3655" s="46"/>
      <c r="G3655" s="46"/>
      <c r="H3655" s="46"/>
    </row>
    <row r="3656" spans="6:8" x14ac:dyDescent="0.25">
      <c r="F3656" s="46"/>
      <c r="G3656" s="46"/>
      <c r="H3656" s="46"/>
    </row>
    <row r="3657" spans="6:8" x14ac:dyDescent="0.25">
      <c r="F3657" s="46"/>
      <c r="G3657" s="46"/>
      <c r="H3657" s="46"/>
    </row>
    <row r="3658" spans="6:8" x14ac:dyDescent="0.25">
      <c r="F3658" s="46"/>
      <c r="G3658" s="46"/>
      <c r="H3658" s="46"/>
    </row>
    <row r="3659" spans="6:8" x14ac:dyDescent="0.25">
      <c r="F3659" s="46"/>
      <c r="G3659" s="46"/>
      <c r="H3659" s="46"/>
    </row>
    <row r="3660" spans="6:8" x14ac:dyDescent="0.25">
      <c r="F3660" s="46"/>
      <c r="G3660" s="46"/>
      <c r="H3660" s="46"/>
    </row>
    <row r="3661" spans="6:8" x14ac:dyDescent="0.25">
      <c r="F3661" s="46"/>
      <c r="G3661" s="46"/>
      <c r="H3661" s="46"/>
    </row>
    <row r="3662" spans="6:8" x14ac:dyDescent="0.25">
      <c r="F3662" s="46"/>
      <c r="G3662" s="46"/>
      <c r="H3662" s="46"/>
    </row>
    <row r="3663" spans="6:8" x14ac:dyDescent="0.25">
      <c r="F3663" s="46"/>
      <c r="G3663" s="46"/>
      <c r="H3663" s="46"/>
    </row>
    <row r="3664" spans="6:8" x14ac:dyDescent="0.25">
      <c r="F3664" s="46"/>
      <c r="G3664" s="46"/>
      <c r="H3664" s="46"/>
    </row>
    <row r="3665" spans="6:8" x14ac:dyDescent="0.25">
      <c r="F3665" s="46"/>
      <c r="G3665" s="46"/>
      <c r="H3665" s="46"/>
    </row>
    <row r="3666" spans="6:8" x14ac:dyDescent="0.25">
      <c r="F3666" s="46"/>
      <c r="G3666" s="46"/>
      <c r="H3666" s="46"/>
    </row>
    <row r="3667" spans="6:8" x14ac:dyDescent="0.25">
      <c r="F3667" s="46"/>
      <c r="G3667" s="46"/>
      <c r="H3667" s="46"/>
    </row>
    <row r="3668" spans="6:8" x14ac:dyDescent="0.25">
      <c r="F3668" s="46"/>
      <c r="G3668" s="46"/>
      <c r="H3668" s="46"/>
    </row>
    <row r="3669" spans="6:8" x14ac:dyDescent="0.25">
      <c r="F3669" s="46"/>
      <c r="G3669" s="46"/>
      <c r="H3669" s="46"/>
    </row>
    <row r="3670" spans="6:8" x14ac:dyDescent="0.25">
      <c r="F3670" s="46"/>
      <c r="G3670" s="46"/>
      <c r="H3670" s="46"/>
    </row>
    <row r="3671" spans="6:8" x14ac:dyDescent="0.25">
      <c r="F3671" s="46"/>
      <c r="G3671" s="46"/>
      <c r="H3671" s="46"/>
    </row>
    <row r="3672" spans="6:8" x14ac:dyDescent="0.25">
      <c r="F3672" s="46"/>
      <c r="G3672" s="46"/>
      <c r="H3672" s="46"/>
    </row>
    <row r="3673" spans="6:8" x14ac:dyDescent="0.25">
      <c r="F3673" s="46"/>
      <c r="G3673" s="46"/>
      <c r="H3673" s="46"/>
    </row>
    <row r="3674" spans="6:8" x14ac:dyDescent="0.25">
      <c r="F3674" s="46"/>
      <c r="G3674" s="46"/>
      <c r="H3674" s="46"/>
    </row>
    <row r="3675" spans="6:8" x14ac:dyDescent="0.25">
      <c r="F3675" s="46"/>
      <c r="G3675" s="46"/>
      <c r="H3675" s="46"/>
    </row>
    <row r="3676" spans="6:8" x14ac:dyDescent="0.25">
      <c r="F3676" s="46"/>
      <c r="G3676" s="46"/>
      <c r="H3676" s="46"/>
    </row>
    <row r="3677" spans="6:8" x14ac:dyDescent="0.25">
      <c r="F3677" s="46"/>
      <c r="G3677" s="46"/>
      <c r="H3677" s="46"/>
    </row>
    <row r="3678" spans="6:8" x14ac:dyDescent="0.25">
      <c r="F3678" s="46"/>
      <c r="G3678" s="46"/>
      <c r="H3678" s="46"/>
    </row>
    <row r="3679" spans="6:8" x14ac:dyDescent="0.25">
      <c r="F3679" s="46"/>
      <c r="G3679" s="46"/>
      <c r="H3679" s="46"/>
    </row>
    <row r="3680" spans="6:8" x14ac:dyDescent="0.25">
      <c r="F3680" s="46"/>
      <c r="G3680" s="46"/>
      <c r="H3680" s="46"/>
    </row>
    <row r="3681" spans="6:8" x14ac:dyDescent="0.25">
      <c r="F3681" s="46"/>
      <c r="G3681" s="46"/>
      <c r="H3681" s="46"/>
    </row>
    <row r="3682" spans="6:8" x14ac:dyDescent="0.25">
      <c r="F3682" s="46"/>
      <c r="G3682" s="46"/>
      <c r="H3682" s="46"/>
    </row>
    <row r="3683" spans="6:8" x14ac:dyDescent="0.25">
      <c r="F3683" s="46"/>
      <c r="G3683" s="46"/>
      <c r="H3683" s="46"/>
    </row>
    <row r="3684" spans="6:8" x14ac:dyDescent="0.25">
      <c r="F3684" s="46"/>
      <c r="G3684" s="46"/>
      <c r="H3684" s="46"/>
    </row>
    <row r="3685" spans="6:8" x14ac:dyDescent="0.25">
      <c r="F3685" s="46"/>
      <c r="G3685" s="46"/>
      <c r="H3685" s="46"/>
    </row>
    <row r="3686" spans="6:8" x14ac:dyDescent="0.25">
      <c r="F3686" s="46"/>
      <c r="G3686" s="46"/>
      <c r="H3686" s="46"/>
    </row>
    <row r="3687" spans="6:8" x14ac:dyDescent="0.25">
      <c r="F3687" s="46"/>
      <c r="G3687" s="46"/>
      <c r="H3687" s="46"/>
    </row>
    <row r="3688" spans="6:8" x14ac:dyDescent="0.25">
      <c r="F3688" s="46"/>
      <c r="G3688" s="46"/>
      <c r="H3688" s="46"/>
    </row>
    <row r="3689" spans="6:8" x14ac:dyDescent="0.25">
      <c r="F3689" s="46"/>
      <c r="G3689" s="46"/>
      <c r="H3689" s="46"/>
    </row>
    <row r="3690" spans="6:8" x14ac:dyDescent="0.25">
      <c r="F3690" s="46"/>
      <c r="G3690" s="46"/>
      <c r="H3690" s="46"/>
    </row>
    <row r="3691" spans="6:8" x14ac:dyDescent="0.25">
      <c r="F3691" s="46"/>
      <c r="G3691" s="46"/>
      <c r="H3691" s="46"/>
    </row>
    <row r="3692" spans="6:8" x14ac:dyDescent="0.25">
      <c r="F3692" s="46"/>
      <c r="G3692" s="46"/>
      <c r="H3692" s="46"/>
    </row>
    <row r="3693" spans="6:8" x14ac:dyDescent="0.25">
      <c r="F3693" s="46"/>
      <c r="G3693" s="46"/>
      <c r="H3693" s="46"/>
    </row>
    <row r="3694" spans="6:8" x14ac:dyDescent="0.25">
      <c r="F3694" s="46"/>
      <c r="G3694" s="46"/>
      <c r="H3694" s="46"/>
    </row>
    <row r="3695" spans="6:8" x14ac:dyDescent="0.25">
      <c r="F3695" s="46"/>
      <c r="G3695" s="46"/>
      <c r="H3695" s="46"/>
    </row>
    <row r="3696" spans="6:8" x14ac:dyDescent="0.25">
      <c r="F3696" s="46"/>
      <c r="G3696" s="46"/>
      <c r="H3696" s="46"/>
    </row>
    <row r="3697" spans="6:8" x14ac:dyDescent="0.25">
      <c r="F3697" s="46"/>
      <c r="G3697" s="46"/>
      <c r="H3697" s="46"/>
    </row>
    <row r="3698" spans="6:8" x14ac:dyDescent="0.25">
      <c r="F3698" s="46"/>
      <c r="G3698" s="46"/>
      <c r="H3698" s="46"/>
    </row>
    <row r="3699" spans="6:8" x14ac:dyDescent="0.25">
      <c r="F3699" s="46"/>
      <c r="G3699" s="46"/>
      <c r="H3699" s="46"/>
    </row>
    <row r="3700" spans="6:8" x14ac:dyDescent="0.25">
      <c r="F3700" s="46"/>
      <c r="G3700" s="46"/>
      <c r="H3700" s="46"/>
    </row>
    <row r="3701" spans="6:8" x14ac:dyDescent="0.25">
      <c r="F3701" s="46"/>
      <c r="G3701" s="46"/>
      <c r="H3701" s="46"/>
    </row>
    <row r="3702" spans="6:8" x14ac:dyDescent="0.25">
      <c r="F3702" s="46"/>
      <c r="G3702" s="46"/>
      <c r="H3702" s="46"/>
    </row>
    <row r="3703" spans="6:8" x14ac:dyDescent="0.25">
      <c r="F3703" s="46"/>
      <c r="G3703" s="46"/>
      <c r="H3703" s="46"/>
    </row>
    <row r="3704" spans="6:8" x14ac:dyDescent="0.25">
      <c r="F3704" s="46"/>
      <c r="G3704" s="46"/>
      <c r="H3704" s="46"/>
    </row>
    <row r="3705" spans="6:8" x14ac:dyDescent="0.25">
      <c r="F3705" s="46"/>
      <c r="G3705" s="46"/>
      <c r="H3705" s="46"/>
    </row>
    <row r="3706" spans="6:8" x14ac:dyDescent="0.25">
      <c r="F3706" s="46"/>
      <c r="G3706" s="46"/>
      <c r="H3706" s="46"/>
    </row>
    <row r="3707" spans="6:8" x14ac:dyDescent="0.25">
      <c r="F3707" s="46"/>
      <c r="G3707" s="46"/>
      <c r="H3707" s="46"/>
    </row>
    <row r="3708" spans="6:8" x14ac:dyDescent="0.25">
      <c r="F3708" s="46"/>
      <c r="G3708" s="46"/>
      <c r="H3708" s="46"/>
    </row>
    <row r="3709" spans="6:8" x14ac:dyDescent="0.25">
      <c r="F3709" s="46"/>
      <c r="G3709" s="46"/>
      <c r="H3709" s="46"/>
    </row>
    <row r="3710" spans="6:8" x14ac:dyDescent="0.25">
      <c r="F3710" s="46"/>
      <c r="G3710" s="46"/>
      <c r="H3710" s="46"/>
    </row>
    <row r="3711" spans="6:8" x14ac:dyDescent="0.25">
      <c r="F3711" s="46"/>
      <c r="G3711" s="46"/>
      <c r="H3711" s="46"/>
    </row>
    <row r="3712" spans="6:8" x14ac:dyDescent="0.25">
      <c r="F3712" s="46"/>
      <c r="G3712" s="46"/>
      <c r="H3712" s="46"/>
    </row>
    <row r="3713" spans="6:8" x14ac:dyDescent="0.25">
      <c r="F3713" s="46"/>
      <c r="G3713" s="46"/>
      <c r="H3713" s="46"/>
    </row>
    <row r="3714" spans="6:8" x14ac:dyDescent="0.25">
      <c r="F3714" s="46"/>
      <c r="G3714" s="46"/>
      <c r="H3714" s="46"/>
    </row>
    <row r="3715" spans="6:8" x14ac:dyDescent="0.25">
      <c r="F3715" s="46"/>
      <c r="G3715" s="46"/>
      <c r="H3715" s="46"/>
    </row>
    <row r="3716" spans="6:8" x14ac:dyDescent="0.25">
      <c r="F3716" s="46"/>
      <c r="G3716" s="46"/>
      <c r="H3716" s="46"/>
    </row>
    <row r="3717" spans="6:8" x14ac:dyDescent="0.25">
      <c r="F3717" s="46"/>
      <c r="G3717" s="46"/>
      <c r="H3717" s="46"/>
    </row>
    <row r="3718" spans="6:8" x14ac:dyDescent="0.25">
      <c r="F3718" s="46"/>
      <c r="G3718" s="46"/>
      <c r="H3718" s="46"/>
    </row>
    <row r="3719" spans="6:8" x14ac:dyDescent="0.25">
      <c r="F3719" s="46"/>
      <c r="G3719" s="46"/>
      <c r="H3719" s="46"/>
    </row>
    <row r="3720" spans="6:8" x14ac:dyDescent="0.25">
      <c r="F3720" s="46"/>
      <c r="G3720" s="46"/>
      <c r="H3720" s="46"/>
    </row>
    <row r="3721" spans="6:8" x14ac:dyDescent="0.25">
      <c r="F3721" s="46"/>
      <c r="G3721" s="46"/>
      <c r="H3721" s="46"/>
    </row>
    <row r="3722" spans="6:8" x14ac:dyDescent="0.25">
      <c r="F3722" s="46"/>
      <c r="G3722" s="46"/>
      <c r="H3722" s="46"/>
    </row>
    <row r="3723" spans="6:8" x14ac:dyDescent="0.25">
      <c r="F3723" s="46"/>
      <c r="G3723" s="46"/>
      <c r="H3723" s="46"/>
    </row>
    <row r="3724" spans="6:8" x14ac:dyDescent="0.25">
      <c r="F3724" s="46"/>
      <c r="G3724" s="46"/>
      <c r="H3724" s="46"/>
    </row>
    <row r="3725" spans="6:8" x14ac:dyDescent="0.25">
      <c r="F3725" s="46"/>
      <c r="G3725" s="46"/>
      <c r="H3725" s="46"/>
    </row>
    <row r="3726" spans="6:8" x14ac:dyDescent="0.25">
      <c r="F3726" s="46"/>
      <c r="G3726" s="46"/>
      <c r="H3726" s="46"/>
    </row>
    <row r="3727" spans="6:8" x14ac:dyDescent="0.25">
      <c r="F3727" s="46"/>
      <c r="G3727" s="46"/>
      <c r="H3727" s="46"/>
    </row>
    <row r="3728" spans="6:8" x14ac:dyDescent="0.25">
      <c r="F3728" s="46"/>
      <c r="G3728" s="46"/>
      <c r="H3728" s="46"/>
    </row>
    <row r="3729" spans="6:8" x14ac:dyDescent="0.25">
      <c r="F3729" s="46"/>
      <c r="G3729" s="46"/>
      <c r="H3729" s="46"/>
    </row>
    <row r="3730" spans="6:8" x14ac:dyDescent="0.25">
      <c r="F3730" s="46"/>
      <c r="G3730" s="46"/>
      <c r="H3730" s="46"/>
    </row>
    <row r="3731" spans="6:8" x14ac:dyDescent="0.25">
      <c r="F3731" s="46"/>
      <c r="G3731" s="46"/>
      <c r="H3731" s="46"/>
    </row>
    <row r="3732" spans="6:8" x14ac:dyDescent="0.25">
      <c r="F3732" s="46"/>
      <c r="G3732" s="46"/>
      <c r="H3732" s="46"/>
    </row>
    <row r="3733" spans="6:8" x14ac:dyDescent="0.25">
      <c r="F3733" s="46"/>
      <c r="G3733" s="46"/>
      <c r="H3733" s="46"/>
    </row>
    <row r="3734" spans="6:8" x14ac:dyDescent="0.25">
      <c r="F3734" s="46"/>
      <c r="G3734" s="46"/>
      <c r="H3734" s="46"/>
    </row>
    <row r="3735" spans="6:8" x14ac:dyDescent="0.25">
      <c r="F3735" s="46"/>
      <c r="G3735" s="46"/>
      <c r="H3735" s="46"/>
    </row>
    <row r="3736" spans="6:8" x14ac:dyDescent="0.25">
      <c r="F3736" s="46"/>
      <c r="G3736" s="46"/>
      <c r="H3736" s="46"/>
    </row>
    <row r="3737" spans="6:8" x14ac:dyDescent="0.25">
      <c r="F3737" s="46"/>
      <c r="G3737" s="46"/>
      <c r="H3737" s="46"/>
    </row>
    <row r="3738" spans="6:8" x14ac:dyDescent="0.25">
      <c r="F3738" s="46"/>
      <c r="G3738" s="46"/>
      <c r="H3738" s="46"/>
    </row>
    <row r="3739" spans="6:8" x14ac:dyDescent="0.25">
      <c r="F3739" s="46"/>
      <c r="G3739" s="46"/>
      <c r="H3739" s="46"/>
    </row>
    <row r="3740" spans="6:8" x14ac:dyDescent="0.25">
      <c r="F3740" s="46"/>
      <c r="G3740" s="46"/>
      <c r="H3740" s="46"/>
    </row>
    <row r="3741" spans="6:8" x14ac:dyDescent="0.25">
      <c r="F3741" s="46"/>
      <c r="G3741" s="46"/>
      <c r="H3741" s="46"/>
    </row>
    <row r="3742" spans="6:8" x14ac:dyDescent="0.25">
      <c r="F3742" s="46"/>
      <c r="G3742" s="46"/>
      <c r="H3742" s="46"/>
    </row>
    <row r="3743" spans="6:8" x14ac:dyDescent="0.25">
      <c r="F3743" s="46"/>
      <c r="G3743" s="46"/>
      <c r="H3743" s="46"/>
    </row>
    <row r="3744" spans="6:8" x14ac:dyDescent="0.25">
      <c r="F3744" s="46"/>
      <c r="G3744" s="46"/>
      <c r="H3744" s="46"/>
    </row>
    <row r="3745" spans="6:8" x14ac:dyDescent="0.25">
      <c r="F3745" s="46"/>
      <c r="G3745" s="46"/>
      <c r="H3745" s="46"/>
    </row>
    <row r="3746" spans="6:8" x14ac:dyDescent="0.25">
      <c r="F3746" s="46"/>
      <c r="G3746" s="46"/>
      <c r="H3746" s="46"/>
    </row>
    <row r="3747" spans="6:8" x14ac:dyDescent="0.25">
      <c r="F3747" s="46"/>
      <c r="G3747" s="46"/>
      <c r="H3747" s="46"/>
    </row>
    <row r="3748" spans="6:8" x14ac:dyDescent="0.25">
      <c r="F3748" s="46"/>
      <c r="G3748" s="46"/>
      <c r="H3748" s="46"/>
    </row>
    <row r="3749" spans="6:8" x14ac:dyDescent="0.25">
      <c r="F3749" s="46"/>
      <c r="G3749" s="46"/>
      <c r="H3749" s="46"/>
    </row>
    <row r="3750" spans="6:8" x14ac:dyDescent="0.25">
      <c r="F3750" s="46"/>
      <c r="G3750" s="46"/>
      <c r="H3750" s="46"/>
    </row>
    <row r="3751" spans="6:8" x14ac:dyDescent="0.25">
      <c r="F3751" s="46"/>
      <c r="G3751" s="46"/>
      <c r="H3751" s="46"/>
    </row>
    <row r="3752" spans="6:8" x14ac:dyDescent="0.25">
      <c r="F3752" s="46"/>
      <c r="G3752" s="46"/>
      <c r="H3752" s="46"/>
    </row>
    <row r="3753" spans="6:8" x14ac:dyDescent="0.25">
      <c r="F3753" s="46"/>
      <c r="G3753" s="46"/>
      <c r="H3753" s="46"/>
    </row>
    <row r="3754" spans="6:8" x14ac:dyDescent="0.25">
      <c r="F3754" s="46"/>
      <c r="G3754" s="46"/>
      <c r="H3754" s="46"/>
    </row>
    <row r="3755" spans="6:8" x14ac:dyDescent="0.25">
      <c r="F3755" s="46"/>
      <c r="G3755" s="46"/>
      <c r="H3755" s="46"/>
    </row>
    <row r="3756" spans="6:8" x14ac:dyDescent="0.25">
      <c r="F3756" s="46"/>
      <c r="G3756" s="46"/>
      <c r="H3756" s="46"/>
    </row>
    <row r="3757" spans="6:8" x14ac:dyDescent="0.25">
      <c r="F3757" s="46"/>
      <c r="G3757" s="46"/>
      <c r="H3757" s="46"/>
    </row>
    <row r="3758" spans="6:8" x14ac:dyDescent="0.25">
      <c r="F3758" s="46"/>
      <c r="G3758" s="46"/>
      <c r="H3758" s="46"/>
    </row>
    <row r="3759" spans="6:8" x14ac:dyDescent="0.25">
      <c r="F3759" s="46"/>
      <c r="G3759" s="46"/>
      <c r="H3759" s="46"/>
    </row>
    <row r="3760" spans="6:8" x14ac:dyDescent="0.25">
      <c r="F3760" s="46"/>
      <c r="G3760" s="46"/>
      <c r="H3760" s="46"/>
    </row>
    <row r="3761" spans="6:8" x14ac:dyDescent="0.25">
      <c r="F3761" s="46"/>
      <c r="G3761" s="46"/>
      <c r="H3761" s="46"/>
    </row>
    <row r="3762" spans="6:8" x14ac:dyDescent="0.25">
      <c r="F3762" s="46"/>
      <c r="G3762" s="46"/>
      <c r="H3762" s="46"/>
    </row>
    <row r="3763" spans="6:8" x14ac:dyDescent="0.25">
      <c r="F3763" s="46"/>
      <c r="G3763" s="46"/>
      <c r="H3763" s="46"/>
    </row>
    <row r="3764" spans="6:8" x14ac:dyDescent="0.25">
      <c r="F3764" s="46"/>
      <c r="G3764" s="46"/>
      <c r="H3764" s="46"/>
    </row>
    <row r="3765" spans="6:8" x14ac:dyDescent="0.25">
      <c r="F3765" s="46"/>
      <c r="G3765" s="46"/>
      <c r="H3765" s="46"/>
    </row>
    <row r="3766" spans="6:8" x14ac:dyDescent="0.25">
      <c r="F3766" s="46"/>
      <c r="G3766" s="46"/>
      <c r="H3766" s="46"/>
    </row>
    <row r="3767" spans="6:8" x14ac:dyDescent="0.25">
      <c r="F3767" s="46"/>
      <c r="G3767" s="46"/>
      <c r="H3767" s="46"/>
    </row>
    <row r="3768" spans="6:8" x14ac:dyDescent="0.25">
      <c r="F3768" s="46"/>
      <c r="G3768" s="46"/>
      <c r="H3768" s="46"/>
    </row>
    <row r="3769" spans="6:8" x14ac:dyDescent="0.25">
      <c r="F3769" s="46"/>
      <c r="G3769" s="46"/>
      <c r="H3769" s="46"/>
    </row>
    <row r="3770" spans="6:8" x14ac:dyDescent="0.25">
      <c r="F3770" s="46"/>
      <c r="G3770" s="46"/>
      <c r="H3770" s="46"/>
    </row>
    <row r="3771" spans="6:8" x14ac:dyDescent="0.25">
      <c r="F3771" s="46"/>
      <c r="G3771" s="46"/>
      <c r="H3771" s="46"/>
    </row>
    <row r="3772" spans="6:8" x14ac:dyDescent="0.25">
      <c r="F3772" s="46"/>
      <c r="G3772" s="46"/>
      <c r="H3772" s="46"/>
    </row>
    <row r="3773" spans="6:8" x14ac:dyDescent="0.25">
      <c r="F3773" s="46"/>
      <c r="G3773" s="46"/>
      <c r="H3773" s="46"/>
    </row>
    <row r="3774" spans="6:8" x14ac:dyDescent="0.25">
      <c r="F3774" s="46"/>
      <c r="G3774" s="46"/>
      <c r="H3774" s="46"/>
    </row>
    <row r="3775" spans="6:8" x14ac:dyDescent="0.25">
      <c r="F3775" s="46"/>
      <c r="G3775" s="46"/>
      <c r="H3775" s="46"/>
    </row>
    <row r="3776" spans="6:8" x14ac:dyDescent="0.25">
      <c r="F3776" s="46"/>
      <c r="G3776" s="46"/>
      <c r="H3776" s="46"/>
    </row>
    <row r="3777" spans="6:8" x14ac:dyDescent="0.25">
      <c r="F3777" s="46"/>
      <c r="G3777" s="46"/>
      <c r="H3777" s="46"/>
    </row>
    <row r="3778" spans="6:8" x14ac:dyDescent="0.25">
      <c r="F3778" s="46"/>
      <c r="G3778" s="46"/>
      <c r="H3778" s="46"/>
    </row>
    <row r="3779" spans="6:8" x14ac:dyDescent="0.25">
      <c r="F3779" s="46"/>
      <c r="G3779" s="46"/>
      <c r="H3779" s="46"/>
    </row>
    <row r="3780" spans="6:8" x14ac:dyDescent="0.25">
      <c r="F3780" s="46"/>
      <c r="G3780" s="46"/>
      <c r="H3780" s="46"/>
    </row>
    <row r="3781" spans="6:8" x14ac:dyDescent="0.25">
      <c r="F3781" s="46"/>
      <c r="G3781" s="46"/>
      <c r="H3781" s="46"/>
    </row>
    <row r="3782" spans="6:8" x14ac:dyDescent="0.25">
      <c r="F3782" s="46"/>
      <c r="G3782" s="46"/>
      <c r="H3782" s="46"/>
    </row>
    <row r="3783" spans="6:8" x14ac:dyDescent="0.25">
      <c r="F3783" s="46"/>
      <c r="G3783" s="46"/>
      <c r="H3783" s="46"/>
    </row>
    <row r="3784" spans="6:8" x14ac:dyDescent="0.25">
      <c r="F3784" s="46"/>
      <c r="G3784" s="46"/>
      <c r="H3784" s="46"/>
    </row>
    <row r="3785" spans="6:8" x14ac:dyDescent="0.25">
      <c r="F3785" s="46"/>
      <c r="G3785" s="46"/>
      <c r="H3785" s="46"/>
    </row>
    <row r="3786" spans="6:8" x14ac:dyDescent="0.25">
      <c r="F3786" s="46"/>
      <c r="G3786" s="46"/>
      <c r="H3786" s="46"/>
    </row>
    <row r="3787" spans="6:8" x14ac:dyDescent="0.25">
      <c r="F3787" s="46"/>
      <c r="G3787" s="46"/>
      <c r="H3787" s="46"/>
    </row>
    <row r="3788" spans="6:8" x14ac:dyDescent="0.25">
      <c r="F3788" s="46"/>
      <c r="G3788" s="46"/>
      <c r="H3788" s="46"/>
    </row>
    <row r="3789" spans="6:8" x14ac:dyDescent="0.25">
      <c r="F3789" s="46"/>
      <c r="G3789" s="46"/>
      <c r="H3789" s="46"/>
    </row>
    <row r="3790" spans="6:8" x14ac:dyDescent="0.25">
      <c r="F3790" s="46"/>
      <c r="G3790" s="46"/>
      <c r="H3790" s="46"/>
    </row>
    <row r="3791" spans="6:8" x14ac:dyDescent="0.25">
      <c r="F3791" s="46"/>
      <c r="G3791" s="46"/>
      <c r="H3791" s="46"/>
    </row>
    <row r="3792" spans="6:8" x14ac:dyDescent="0.25">
      <c r="F3792" s="46"/>
      <c r="G3792" s="46"/>
      <c r="H3792" s="46"/>
    </row>
    <row r="3793" spans="6:8" x14ac:dyDescent="0.25">
      <c r="F3793" s="46"/>
      <c r="G3793" s="46"/>
      <c r="H3793" s="46"/>
    </row>
    <row r="3794" spans="6:8" x14ac:dyDescent="0.25">
      <c r="F3794" s="46"/>
      <c r="G3794" s="46"/>
      <c r="H3794" s="46"/>
    </row>
    <row r="3795" spans="6:8" x14ac:dyDescent="0.25">
      <c r="F3795" s="46"/>
      <c r="G3795" s="46"/>
      <c r="H3795" s="46"/>
    </row>
    <row r="3796" spans="6:8" x14ac:dyDescent="0.25">
      <c r="F3796" s="46"/>
      <c r="G3796" s="46"/>
      <c r="H3796" s="46"/>
    </row>
    <row r="3797" spans="6:8" x14ac:dyDescent="0.25">
      <c r="F3797" s="46"/>
      <c r="G3797" s="46"/>
      <c r="H3797" s="46"/>
    </row>
    <row r="3798" spans="6:8" x14ac:dyDescent="0.25">
      <c r="F3798" s="46"/>
      <c r="G3798" s="46"/>
      <c r="H3798" s="46"/>
    </row>
    <row r="3799" spans="6:8" x14ac:dyDescent="0.25">
      <c r="F3799" s="46"/>
      <c r="G3799" s="46"/>
      <c r="H3799" s="46"/>
    </row>
    <row r="3800" spans="6:8" x14ac:dyDescent="0.25">
      <c r="F3800" s="46"/>
      <c r="G3800" s="46"/>
      <c r="H3800" s="46"/>
    </row>
    <row r="3801" spans="6:8" x14ac:dyDescent="0.25">
      <c r="F3801" s="46"/>
      <c r="G3801" s="46"/>
      <c r="H3801" s="46"/>
    </row>
    <row r="3802" spans="6:8" x14ac:dyDescent="0.25">
      <c r="F3802" s="46"/>
      <c r="G3802" s="46"/>
      <c r="H3802" s="46"/>
    </row>
    <row r="3803" spans="6:8" x14ac:dyDescent="0.25">
      <c r="F3803" s="46"/>
      <c r="G3803" s="46"/>
      <c r="H3803" s="46"/>
    </row>
    <row r="3804" spans="6:8" x14ac:dyDescent="0.25">
      <c r="F3804" s="46"/>
      <c r="G3804" s="46"/>
      <c r="H3804" s="46"/>
    </row>
    <row r="3805" spans="6:8" x14ac:dyDescent="0.25">
      <c r="F3805" s="46"/>
      <c r="G3805" s="46"/>
      <c r="H3805" s="46"/>
    </row>
    <row r="3806" spans="6:8" x14ac:dyDescent="0.25">
      <c r="F3806" s="46"/>
      <c r="G3806" s="46"/>
      <c r="H3806" s="46"/>
    </row>
    <row r="3807" spans="6:8" x14ac:dyDescent="0.25">
      <c r="F3807" s="46"/>
      <c r="G3807" s="46"/>
      <c r="H3807" s="46"/>
    </row>
    <row r="3808" spans="6:8" x14ac:dyDescent="0.25">
      <c r="F3808" s="46"/>
      <c r="G3808" s="46"/>
      <c r="H3808" s="46"/>
    </row>
    <row r="3809" spans="6:8" x14ac:dyDescent="0.25">
      <c r="F3809" s="46"/>
      <c r="G3809" s="46"/>
      <c r="H3809" s="46"/>
    </row>
    <row r="3810" spans="6:8" x14ac:dyDescent="0.25">
      <c r="F3810" s="46"/>
      <c r="G3810" s="46"/>
      <c r="H3810" s="46"/>
    </row>
    <row r="3811" spans="6:8" x14ac:dyDescent="0.25">
      <c r="F3811" s="46"/>
      <c r="G3811" s="46"/>
      <c r="H3811" s="46"/>
    </row>
    <row r="3812" spans="6:8" x14ac:dyDescent="0.25">
      <c r="F3812" s="46"/>
      <c r="G3812" s="46"/>
      <c r="H3812" s="46"/>
    </row>
    <row r="3813" spans="6:8" x14ac:dyDescent="0.25">
      <c r="F3813" s="46"/>
      <c r="G3813" s="46"/>
      <c r="H3813" s="46"/>
    </row>
    <row r="3814" spans="6:8" x14ac:dyDescent="0.25">
      <c r="F3814" s="46"/>
      <c r="G3814" s="46"/>
      <c r="H3814" s="46"/>
    </row>
    <row r="3815" spans="6:8" x14ac:dyDescent="0.25">
      <c r="F3815" s="46"/>
      <c r="G3815" s="46"/>
      <c r="H3815" s="46"/>
    </row>
    <row r="3816" spans="6:8" x14ac:dyDescent="0.25">
      <c r="F3816" s="46"/>
      <c r="G3816" s="46"/>
      <c r="H3816" s="46"/>
    </row>
    <row r="3817" spans="6:8" x14ac:dyDescent="0.25">
      <c r="F3817" s="46"/>
      <c r="G3817" s="46"/>
      <c r="H3817" s="46"/>
    </row>
    <row r="3818" spans="6:8" x14ac:dyDescent="0.25">
      <c r="F3818" s="46"/>
      <c r="G3818" s="46"/>
      <c r="H3818" s="46"/>
    </row>
    <row r="3819" spans="6:8" x14ac:dyDescent="0.25">
      <c r="F3819" s="46"/>
      <c r="G3819" s="46"/>
      <c r="H3819" s="46"/>
    </row>
    <row r="3820" spans="6:8" x14ac:dyDescent="0.25">
      <c r="F3820" s="46"/>
      <c r="G3820" s="46"/>
      <c r="H3820" s="46"/>
    </row>
    <row r="3821" spans="6:8" x14ac:dyDescent="0.25">
      <c r="F3821" s="46"/>
      <c r="G3821" s="46"/>
      <c r="H3821" s="46"/>
    </row>
    <row r="3822" spans="6:8" x14ac:dyDescent="0.25">
      <c r="F3822" s="46"/>
      <c r="G3822" s="46"/>
      <c r="H3822" s="46"/>
    </row>
    <row r="3823" spans="6:8" x14ac:dyDescent="0.25">
      <c r="F3823" s="46"/>
      <c r="G3823" s="46"/>
      <c r="H3823" s="46"/>
    </row>
    <row r="3824" spans="6:8" x14ac:dyDescent="0.25">
      <c r="F3824" s="46"/>
      <c r="G3824" s="46"/>
      <c r="H3824" s="46"/>
    </row>
    <row r="3825" spans="6:8" x14ac:dyDescent="0.25">
      <c r="F3825" s="46"/>
      <c r="G3825" s="46"/>
      <c r="H3825" s="46"/>
    </row>
    <row r="3826" spans="6:8" x14ac:dyDescent="0.25">
      <c r="F3826" s="46"/>
      <c r="G3826" s="46"/>
      <c r="H3826" s="46"/>
    </row>
    <row r="3827" spans="6:8" x14ac:dyDescent="0.25">
      <c r="F3827" s="46"/>
      <c r="G3827" s="46"/>
      <c r="H3827" s="46"/>
    </row>
    <row r="3828" spans="6:8" x14ac:dyDescent="0.25">
      <c r="F3828" s="46"/>
      <c r="G3828" s="46"/>
      <c r="H3828" s="46"/>
    </row>
    <row r="3829" spans="6:8" x14ac:dyDescent="0.25">
      <c r="F3829" s="46"/>
      <c r="G3829" s="46"/>
      <c r="H3829" s="46"/>
    </row>
    <row r="3830" spans="6:8" x14ac:dyDescent="0.25">
      <c r="F3830" s="46"/>
      <c r="G3830" s="46"/>
      <c r="H3830" s="46"/>
    </row>
    <row r="3831" spans="6:8" x14ac:dyDescent="0.25">
      <c r="F3831" s="46"/>
      <c r="G3831" s="46"/>
      <c r="H3831" s="46"/>
    </row>
    <row r="3832" spans="6:8" x14ac:dyDescent="0.25">
      <c r="F3832" s="46"/>
      <c r="G3832" s="46"/>
      <c r="H3832" s="46"/>
    </row>
    <row r="3833" spans="6:8" x14ac:dyDescent="0.25">
      <c r="F3833" s="46"/>
      <c r="G3833" s="46"/>
      <c r="H3833" s="46"/>
    </row>
    <row r="3834" spans="6:8" x14ac:dyDescent="0.25">
      <c r="F3834" s="46"/>
      <c r="G3834" s="46"/>
      <c r="H3834" s="46"/>
    </row>
    <row r="3835" spans="6:8" x14ac:dyDescent="0.25">
      <c r="F3835" s="46"/>
      <c r="G3835" s="46"/>
      <c r="H3835" s="46"/>
    </row>
    <row r="3836" spans="6:8" x14ac:dyDescent="0.25">
      <c r="F3836" s="46"/>
      <c r="G3836" s="46"/>
      <c r="H3836" s="46"/>
    </row>
    <row r="3837" spans="6:8" x14ac:dyDescent="0.25">
      <c r="F3837" s="46"/>
      <c r="G3837" s="46"/>
      <c r="H3837" s="46"/>
    </row>
    <row r="3838" spans="6:8" x14ac:dyDescent="0.25">
      <c r="F3838" s="46"/>
      <c r="G3838" s="46"/>
      <c r="H3838" s="46"/>
    </row>
    <row r="3839" spans="6:8" x14ac:dyDescent="0.25">
      <c r="F3839" s="46"/>
      <c r="G3839" s="46"/>
      <c r="H3839" s="46"/>
    </row>
    <row r="3840" spans="6:8" x14ac:dyDescent="0.25">
      <c r="F3840" s="46"/>
      <c r="G3840" s="46"/>
      <c r="H3840" s="46"/>
    </row>
    <row r="3841" spans="6:8" x14ac:dyDescent="0.25">
      <c r="F3841" s="46"/>
      <c r="G3841" s="46"/>
      <c r="H3841" s="46"/>
    </row>
    <row r="3842" spans="6:8" x14ac:dyDescent="0.25">
      <c r="F3842" s="46"/>
      <c r="G3842" s="46"/>
      <c r="H3842" s="46"/>
    </row>
    <row r="3843" spans="6:8" x14ac:dyDescent="0.25">
      <c r="F3843" s="46"/>
      <c r="G3843" s="46"/>
      <c r="H3843" s="46"/>
    </row>
    <row r="3844" spans="6:8" x14ac:dyDescent="0.25">
      <c r="F3844" s="46"/>
      <c r="G3844" s="46"/>
      <c r="H3844" s="46"/>
    </row>
    <row r="3845" spans="6:8" x14ac:dyDescent="0.25">
      <c r="F3845" s="46"/>
      <c r="G3845" s="46"/>
      <c r="H3845" s="46"/>
    </row>
    <row r="3846" spans="6:8" x14ac:dyDescent="0.25">
      <c r="F3846" s="46"/>
      <c r="G3846" s="46"/>
      <c r="H3846" s="46"/>
    </row>
    <row r="3847" spans="6:8" x14ac:dyDescent="0.25">
      <c r="F3847" s="46"/>
      <c r="G3847" s="46"/>
      <c r="H3847" s="46"/>
    </row>
    <row r="3848" spans="6:8" x14ac:dyDescent="0.25">
      <c r="F3848" s="46"/>
      <c r="G3848" s="46"/>
      <c r="H3848" s="46"/>
    </row>
    <row r="3849" spans="6:8" x14ac:dyDescent="0.25">
      <c r="F3849" s="46"/>
      <c r="G3849" s="46"/>
      <c r="H3849" s="46"/>
    </row>
    <row r="3850" spans="6:8" x14ac:dyDescent="0.25">
      <c r="F3850" s="46"/>
      <c r="G3850" s="46"/>
      <c r="H3850" s="46"/>
    </row>
    <row r="3851" spans="6:8" x14ac:dyDescent="0.25">
      <c r="F3851" s="46"/>
      <c r="G3851" s="46"/>
      <c r="H3851" s="46"/>
    </row>
    <row r="3852" spans="6:8" x14ac:dyDescent="0.25">
      <c r="F3852" s="46"/>
      <c r="G3852" s="46"/>
      <c r="H3852" s="46"/>
    </row>
    <row r="3853" spans="6:8" x14ac:dyDescent="0.25">
      <c r="F3853" s="46"/>
      <c r="G3853" s="46"/>
      <c r="H3853" s="46"/>
    </row>
    <row r="3854" spans="6:8" x14ac:dyDescent="0.25">
      <c r="F3854" s="46"/>
      <c r="G3854" s="46"/>
      <c r="H3854" s="46"/>
    </row>
    <row r="3855" spans="6:8" x14ac:dyDescent="0.25">
      <c r="F3855" s="46"/>
      <c r="G3855" s="46"/>
      <c r="H3855" s="46"/>
    </row>
    <row r="3856" spans="6:8" x14ac:dyDescent="0.25">
      <c r="F3856" s="46"/>
      <c r="G3856" s="46"/>
      <c r="H3856" s="46"/>
    </row>
    <row r="3857" spans="6:8" x14ac:dyDescent="0.25">
      <c r="F3857" s="46"/>
      <c r="G3857" s="46"/>
      <c r="H3857" s="46"/>
    </row>
    <row r="3858" spans="6:8" x14ac:dyDescent="0.25">
      <c r="F3858" s="46"/>
      <c r="G3858" s="46"/>
      <c r="H3858" s="46"/>
    </row>
    <row r="3859" spans="6:8" x14ac:dyDescent="0.25">
      <c r="F3859" s="46"/>
      <c r="G3859" s="46"/>
      <c r="H3859" s="46"/>
    </row>
    <row r="3860" spans="6:8" x14ac:dyDescent="0.25">
      <c r="F3860" s="46"/>
      <c r="G3860" s="46"/>
      <c r="H3860" s="46"/>
    </row>
    <row r="3861" spans="6:8" x14ac:dyDescent="0.25">
      <c r="F3861" s="46"/>
      <c r="G3861" s="46"/>
      <c r="H3861" s="46"/>
    </row>
    <row r="3862" spans="6:8" x14ac:dyDescent="0.25">
      <c r="F3862" s="46"/>
      <c r="G3862" s="46"/>
      <c r="H3862" s="46"/>
    </row>
    <row r="3863" spans="6:8" x14ac:dyDescent="0.25">
      <c r="F3863" s="46"/>
      <c r="G3863" s="46"/>
      <c r="H3863" s="46"/>
    </row>
    <row r="3864" spans="6:8" x14ac:dyDescent="0.25">
      <c r="F3864" s="46"/>
      <c r="G3864" s="46"/>
      <c r="H3864" s="46"/>
    </row>
    <row r="3865" spans="6:8" x14ac:dyDescent="0.25">
      <c r="F3865" s="46"/>
      <c r="G3865" s="46"/>
      <c r="H3865" s="46"/>
    </row>
    <row r="3866" spans="6:8" x14ac:dyDescent="0.25">
      <c r="F3866" s="46"/>
      <c r="G3866" s="46"/>
      <c r="H3866" s="46"/>
    </row>
    <row r="3867" spans="6:8" x14ac:dyDescent="0.25">
      <c r="F3867" s="46"/>
      <c r="G3867" s="46"/>
      <c r="H3867" s="46"/>
    </row>
    <row r="3868" spans="6:8" x14ac:dyDescent="0.25">
      <c r="F3868" s="46"/>
      <c r="G3868" s="46"/>
      <c r="H3868" s="46"/>
    </row>
    <row r="3869" spans="6:8" x14ac:dyDescent="0.25">
      <c r="F3869" s="46"/>
      <c r="G3869" s="46"/>
      <c r="H3869" s="46"/>
    </row>
    <row r="3870" spans="6:8" x14ac:dyDescent="0.25">
      <c r="F3870" s="46"/>
      <c r="G3870" s="46"/>
      <c r="H3870" s="46"/>
    </row>
    <row r="3871" spans="6:8" x14ac:dyDescent="0.25">
      <c r="F3871" s="46"/>
      <c r="G3871" s="46"/>
      <c r="H3871" s="46"/>
    </row>
    <row r="3872" spans="6:8" x14ac:dyDescent="0.25">
      <c r="F3872" s="46"/>
      <c r="G3872" s="46"/>
      <c r="H3872" s="46"/>
    </row>
    <row r="3873" spans="6:8" x14ac:dyDescent="0.25">
      <c r="F3873" s="46"/>
      <c r="G3873" s="46"/>
      <c r="H3873" s="46"/>
    </row>
    <row r="3874" spans="6:8" x14ac:dyDescent="0.25">
      <c r="F3874" s="46"/>
      <c r="G3874" s="46"/>
      <c r="H3874" s="46"/>
    </row>
    <row r="3875" spans="6:8" x14ac:dyDescent="0.25">
      <c r="F3875" s="46"/>
      <c r="G3875" s="46"/>
      <c r="H3875" s="46"/>
    </row>
    <row r="3876" spans="6:8" x14ac:dyDescent="0.25">
      <c r="F3876" s="46"/>
      <c r="G3876" s="46"/>
      <c r="H3876" s="46"/>
    </row>
    <row r="3877" spans="6:8" x14ac:dyDescent="0.25">
      <c r="F3877" s="46"/>
      <c r="G3877" s="46"/>
      <c r="H3877" s="46"/>
    </row>
    <row r="3878" spans="6:8" x14ac:dyDescent="0.25">
      <c r="F3878" s="46"/>
      <c r="G3878" s="46"/>
      <c r="H3878" s="46"/>
    </row>
    <row r="3879" spans="6:8" x14ac:dyDescent="0.25">
      <c r="F3879" s="46"/>
      <c r="G3879" s="46"/>
      <c r="H3879" s="46"/>
    </row>
    <row r="3880" spans="6:8" x14ac:dyDescent="0.25">
      <c r="F3880" s="46"/>
      <c r="G3880" s="46"/>
      <c r="H3880" s="46"/>
    </row>
    <row r="3881" spans="6:8" x14ac:dyDescent="0.25">
      <c r="F3881" s="46"/>
      <c r="G3881" s="46"/>
      <c r="H3881" s="46"/>
    </row>
    <row r="3882" spans="6:8" x14ac:dyDescent="0.25">
      <c r="F3882" s="46"/>
      <c r="G3882" s="46"/>
      <c r="H3882" s="46"/>
    </row>
    <row r="3883" spans="6:8" x14ac:dyDescent="0.25">
      <c r="F3883" s="46"/>
      <c r="G3883" s="46"/>
      <c r="H3883" s="46"/>
    </row>
    <row r="3884" spans="6:8" x14ac:dyDescent="0.25">
      <c r="F3884" s="46"/>
      <c r="G3884" s="46"/>
      <c r="H3884" s="46"/>
    </row>
    <row r="3885" spans="6:8" x14ac:dyDescent="0.25">
      <c r="F3885" s="46"/>
      <c r="G3885" s="46"/>
      <c r="H3885" s="46"/>
    </row>
    <row r="3886" spans="6:8" x14ac:dyDescent="0.25">
      <c r="F3886" s="46"/>
      <c r="G3886" s="46"/>
      <c r="H3886" s="46"/>
    </row>
    <row r="3887" spans="6:8" x14ac:dyDescent="0.25">
      <c r="F3887" s="46"/>
      <c r="G3887" s="46"/>
      <c r="H3887" s="46"/>
    </row>
    <row r="3888" spans="6:8" x14ac:dyDescent="0.25">
      <c r="F3888" s="46"/>
      <c r="G3888" s="46"/>
      <c r="H3888" s="46"/>
    </row>
    <row r="3889" spans="6:8" x14ac:dyDescent="0.25">
      <c r="F3889" s="46"/>
      <c r="G3889" s="46"/>
      <c r="H3889" s="46"/>
    </row>
    <row r="3890" spans="6:8" x14ac:dyDescent="0.25">
      <c r="F3890" s="46"/>
      <c r="G3890" s="46"/>
      <c r="H3890" s="46"/>
    </row>
    <row r="3891" spans="6:8" x14ac:dyDescent="0.25">
      <c r="F3891" s="46"/>
      <c r="G3891" s="46"/>
      <c r="H3891" s="46"/>
    </row>
    <row r="3892" spans="6:8" x14ac:dyDescent="0.25">
      <c r="F3892" s="46"/>
      <c r="G3892" s="46"/>
      <c r="H3892" s="46"/>
    </row>
    <row r="3893" spans="6:8" x14ac:dyDescent="0.25">
      <c r="F3893" s="46"/>
      <c r="G3893" s="46"/>
      <c r="H3893" s="46"/>
    </row>
    <row r="3894" spans="6:8" x14ac:dyDescent="0.25">
      <c r="F3894" s="46"/>
      <c r="G3894" s="46"/>
      <c r="H3894" s="46"/>
    </row>
    <row r="3895" spans="6:8" x14ac:dyDescent="0.25">
      <c r="F3895" s="46"/>
      <c r="G3895" s="46"/>
      <c r="H3895" s="46"/>
    </row>
    <row r="3896" spans="6:8" x14ac:dyDescent="0.25">
      <c r="F3896" s="46"/>
      <c r="G3896" s="46"/>
      <c r="H3896" s="46"/>
    </row>
    <row r="3897" spans="6:8" x14ac:dyDescent="0.25">
      <c r="F3897" s="46"/>
      <c r="G3897" s="46"/>
      <c r="H3897" s="46"/>
    </row>
    <row r="3898" spans="6:8" x14ac:dyDescent="0.25">
      <c r="F3898" s="46"/>
      <c r="G3898" s="46"/>
      <c r="H3898" s="46"/>
    </row>
    <row r="3899" spans="6:8" x14ac:dyDescent="0.25">
      <c r="F3899" s="46"/>
      <c r="G3899" s="46"/>
      <c r="H3899" s="46"/>
    </row>
    <row r="3900" spans="6:8" x14ac:dyDescent="0.25">
      <c r="F3900" s="46"/>
      <c r="G3900" s="46"/>
      <c r="H3900" s="46"/>
    </row>
    <row r="3901" spans="6:8" x14ac:dyDescent="0.25">
      <c r="F3901" s="46"/>
      <c r="G3901" s="46"/>
      <c r="H3901" s="46"/>
    </row>
    <row r="3902" spans="6:8" x14ac:dyDescent="0.25">
      <c r="F3902" s="46"/>
      <c r="G3902" s="46"/>
      <c r="H3902" s="46"/>
    </row>
    <row r="3903" spans="6:8" x14ac:dyDescent="0.25">
      <c r="F3903" s="46"/>
      <c r="G3903" s="46"/>
      <c r="H3903" s="46"/>
    </row>
    <row r="3904" spans="6:8" x14ac:dyDescent="0.25">
      <c r="F3904" s="46"/>
      <c r="G3904" s="46"/>
      <c r="H3904" s="46"/>
    </row>
    <row r="3905" spans="6:8" x14ac:dyDescent="0.25">
      <c r="F3905" s="46"/>
      <c r="G3905" s="46"/>
      <c r="H3905" s="46"/>
    </row>
    <row r="3906" spans="6:8" x14ac:dyDescent="0.25">
      <c r="F3906" s="46"/>
      <c r="G3906" s="46"/>
      <c r="H3906" s="46"/>
    </row>
    <row r="3907" spans="6:8" x14ac:dyDescent="0.25">
      <c r="F3907" s="46"/>
      <c r="G3907" s="46"/>
      <c r="H3907" s="46"/>
    </row>
    <row r="3908" spans="6:8" x14ac:dyDescent="0.25">
      <c r="F3908" s="46"/>
      <c r="G3908" s="46"/>
      <c r="H3908" s="46"/>
    </row>
    <row r="3909" spans="6:8" x14ac:dyDescent="0.25">
      <c r="F3909" s="46"/>
      <c r="G3909" s="46"/>
      <c r="H3909" s="46"/>
    </row>
    <row r="3910" spans="6:8" x14ac:dyDescent="0.25">
      <c r="F3910" s="46"/>
      <c r="G3910" s="46"/>
      <c r="H3910" s="46"/>
    </row>
    <row r="3911" spans="6:8" x14ac:dyDescent="0.25">
      <c r="F3911" s="46"/>
      <c r="G3911" s="46"/>
      <c r="H3911" s="46"/>
    </row>
    <row r="3912" spans="6:8" x14ac:dyDescent="0.25">
      <c r="F3912" s="46"/>
      <c r="G3912" s="46"/>
      <c r="H3912" s="46"/>
    </row>
    <row r="3913" spans="6:8" x14ac:dyDescent="0.25">
      <c r="F3913" s="46"/>
      <c r="G3913" s="46"/>
      <c r="H3913" s="46"/>
    </row>
    <row r="3914" spans="6:8" x14ac:dyDescent="0.25">
      <c r="F3914" s="46"/>
      <c r="G3914" s="46"/>
      <c r="H3914" s="46"/>
    </row>
    <row r="3915" spans="6:8" x14ac:dyDescent="0.25">
      <c r="F3915" s="46"/>
      <c r="G3915" s="46"/>
      <c r="H3915" s="46"/>
    </row>
    <row r="3916" spans="6:8" x14ac:dyDescent="0.25">
      <c r="F3916" s="46"/>
      <c r="G3916" s="46"/>
      <c r="H3916" s="46"/>
    </row>
    <row r="3917" spans="6:8" x14ac:dyDescent="0.25">
      <c r="F3917" s="46"/>
      <c r="G3917" s="46"/>
      <c r="H3917" s="46"/>
    </row>
    <row r="3918" spans="6:8" x14ac:dyDescent="0.25">
      <c r="F3918" s="46"/>
      <c r="G3918" s="46"/>
      <c r="H3918" s="46"/>
    </row>
    <row r="3919" spans="6:8" x14ac:dyDescent="0.25">
      <c r="F3919" s="46"/>
      <c r="G3919" s="46"/>
      <c r="H3919" s="46"/>
    </row>
    <row r="3920" spans="6:8" x14ac:dyDescent="0.25">
      <c r="F3920" s="46"/>
      <c r="G3920" s="46"/>
      <c r="H3920" s="46"/>
    </row>
    <row r="3921" spans="6:8" x14ac:dyDescent="0.25">
      <c r="F3921" s="46"/>
      <c r="G3921" s="46"/>
      <c r="H3921" s="46"/>
    </row>
    <row r="3922" spans="6:8" x14ac:dyDescent="0.25">
      <c r="F3922" s="46"/>
      <c r="G3922" s="46"/>
      <c r="H3922" s="46"/>
    </row>
    <row r="3923" spans="6:8" x14ac:dyDescent="0.25">
      <c r="F3923" s="46"/>
      <c r="G3923" s="46"/>
      <c r="H3923" s="46"/>
    </row>
    <row r="3924" spans="6:8" x14ac:dyDescent="0.25">
      <c r="F3924" s="46"/>
      <c r="G3924" s="46"/>
      <c r="H3924" s="46"/>
    </row>
    <row r="3925" spans="6:8" x14ac:dyDescent="0.25">
      <c r="F3925" s="46"/>
      <c r="G3925" s="46"/>
      <c r="H3925" s="46"/>
    </row>
    <row r="3926" spans="6:8" x14ac:dyDescent="0.25">
      <c r="F3926" s="46"/>
      <c r="G3926" s="46"/>
      <c r="H3926" s="46"/>
    </row>
    <row r="3927" spans="6:8" x14ac:dyDescent="0.25">
      <c r="F3927" s="46"/>
      <c r="G3927" s="46"/>
      <c r="H3927" s="46"/>
    </row>
    <row r="3928" spans="6:8" x14ac:dyDescent="0.25">
      <c r="F3928" s="46"/>
      <c r="G3928" s="46"/>
      <c r="H3928" s="46"/>
    </row>
    <row r="3929" spans="6:8" x14ac:dyDescent="0.25">
      <c r="F3929" s="46"/>
      <c r="G3929" s="46"/>
      <c r="H3929" s="46"/>
    </row>
    <row r="3930" spans="6:8" x14ac:dyDescent="0.25">
      <c r="F3930" s="46"/>
      <c r="G3930" s="46"/>
      <c r="H3930" s="46"/>
    </row>
    <row r="3931" spans="6:8" x14ac:dyDescent="0.25">
      <c r="F3931" s="46"/>
      <c r="G3931" s="46"/>
      <c r="H3931" s="46"/>
    </row>
    <row r="3932" spans="6:8" x14ac:dyDescent="0.25">
      <c r="F3932" s="46"/>
      <c r="G3932" s="46"/>
      <c r="H3932" s="46"/>
    </row>
    <row r="3933" spans="6:8" x14ac:dyDescent="0.25">
      <c r="F3933" s="46"/>
      <c r="G3933" s="46"/>
      <c r="H3933" s="46"/>
    </row>
    <row r="3934" spans="6:8" x14ac:dyDescent="0.25">
      <c r="F3934" s="46"/>
      <c r="G3934" s="46"/>
      <c r="H3934" s="46"/>
    </row>
    <row r="3935" spans="6:8" x14ac:dyDescent="0.25">
      <c r="F3935" s="46"/>
      <c r="G3935" s="46"/>
      <c r="H3935" s="46"/>
    </row>
    <row r="3936" spans="6:8" x14ac:dyDescent="0.25">
      <c r="F3936" s="46"/>
      <c r="G3936" s="46"/>
      <c r="H3936" s="46"/>
    </row>
    <row r="3937" spans="6:8" x14ac:dyDescent="0.25">
      <c r="F3937" s="46"/>
      <c r="G3937" s="46"/>
      <c r="H3937" s="46"/>
    </row>
    <row r="3938" spans="6:8" x14ac:dyDescent="0.25">
      <c r="F3938" s="46"/>
      <c r="G3938" s="46"/>
      <c r="H3938" s="46"/>
    </row>
    <row r="3939" spans="6:8" x14ac:dyDescent="0.25">
      <c r="F3939" s="46"/>
      <c r="G3939" s="46"/>
      <c r="H3939" s="46"/>
    </row>
    <row r="3940" spans="6:8" x14ac:dyDescent="0.25">
      <c r="F3940" s="46"/>
      <c r="G3940" s="46"/>
      <c r="H3940" s="46"/>
    </row>
    <row r="3941" spans="6:8" x14ac:dyDescent="0.25">
      <c r="F3941" s="46"/>
      <c r="G3941" s="46"/>
      <c r="H3941" s="46"/>
    </row>
    <row r="3942" spans="6:8" x14ac:dyDescent="0.25">
      <c r="F3942" s="46"/>
      <c r="G3942" s="46"/>
      <c r="H3942" s="46"/>
    </row>
    <row r="3943" spans="6:8" x14ac:dyDescent="0.25">
      <c r="F3943" s="46"/>
      <c r="G3943" s="46"/>
      <c r="H3943" s="46"/>
    </row>
    <row r="3944" spans="6:8" x14ac:dyDescent="0.25">
      <c r="F3944" s="46"/>
      <c r="G3944" s="46"/>
      <c r="H3944" s="46"/>
    </row>
    <row r="3945" spans="6:8" x14ac:dyDescent="0.25">
      <c r="F3945" s="46"/>
      <c r="G3945" s="46"/>
      <c r="H3945" s="46"/>
    </row>
    <row r="3946" spans="6:8" x14ac:dyDescent="0.25">
      <c r="F3946" s="46"/>
      <c r="G3946" s="46"/>
      <c r="H3946" s="46"/>
    </row>
    <row r="3947" spans="6:8" x14ac:dyDescent="0.25">
      <c r="F3947" s="46"/>
      <c r="G3947" s="46"/>
      <c r="H3947" s="46"/>
    </row>
    <row r="3948" spans="6:8" x14ac:dyDescent="0.25">
      <c r="F3948" s="46"/>
      <c r="G3948" s="46"/>
      <c r="H3948" s="46"/>
    </row>
    <row r="3949" spans="6:8" x14ac:dyDescent="0.25">
      <c r="F3949" s="46"/>
      <c r="G3949" s="46"/>
      <c r="H3949" s="46"/>
    </row>
    <row r="3950" spans="6:8" x14ac:dyDescent="0.25">
      <c r="F3950" s="46"/>
      <c r="G3950" s="46"/>
      <c r="H3950" s="46"/>
    </row>
    <row r="3951" spans="6:8" x14ac:dyDescent="0.25">
      <c r="F3951" s="46"/>
      <c r="G3951" s="46"/>
      <c r="H3951" s="46"/>
    </row>
    <row r="3952" spans="6:8" x14ac:dyDescent="0.25">
      <c r="F3952" s="46"/>
      <c r="G3952" s="46"/>
      <c r="H3952" s="46"/>
    </row>
    <row r="3953" spans="6:8" x14ac:dyDescent="0.25">
      <c r="F3953" s="46"/>
      <c r="G3953" s="46"/>
      <c r="H3953" s="46"/>
    </row>
    <row r="3954" spans="6:8" x14ac:dyDescent="0.25">
      <c r="F3954" s="46"/>
      <c r="G3954" s="46"/>
      <c r="H3954" s="46"/>
    </row>
    <row r="3955" spans="6:8" x14ac:dyDescent="0.25">
      <c r="F3955" s="46"/>
      <c r="G3955" s="46"/>
      <c r="H3955" s="46"/>
    </row>
    <row r="3956" spans="6:8" x14ac:dyDescent="0.25">
      <c r="F3956" s="46"/>
      <c r="G3956" s="46"/>
      <c r="H3956" s="46"/>
    </row>
    <row r="3957" spans="6:8" x14ac:dyDescent="0.25">
      <c r="F3957" s="46"/>
      <c r="G3957" s="46"/>
      <c r="H3957" s="46"/>
    </row>
    <row r="3958" spans="6:8" x14ac:dyDescent="0.25">
      <c r="F3958" s="46"/>
      <c r="G3958" s="46"/>
      <c r="H3958" s="46"/>
    </row>
    <row r="3959" spans="6:8" x14ac:dyDescent="0.25">
      <c r="F3959" s="46"/>
      <c r="G3959" s="46"/>
      <c r="H3959" s="46"/>
    </row>
    <row r="3960" spans="6:8" x14ac:dyDescent="0.25">
      <c r="F3960" s="46"/>
      <c r="G3960" s="46"/>
      <c r="H3960" s="46"/>
    </row>
    <row r="3961" spans="6:8" x14ac:dyDescent="0.25">
      <c r="F3961" s="46"/>
      <c r="G3961" s="46"/>
      <c r="H3961" s="46"/>
    </row>
    <row r="3962" spans="6:8" x14ac:dyDescent="0.25">
      <c r="F3962" s="46"/>
      <c r="G3962" s="46"/>
      <c r="H3962" s="46"/>
    </row>
    <row r="3963" spans="6:8" x14ac:dyDescent="0.25">
      <c r="F3963" s="46"/>
      <c r="G3963" s="46"/>
      <c r="H3963" s="46"/>
    </row>
    <row r="3964" spans="6:8" x14ac:dyDescent="0.25">
      <c r="F3964" s="46"/>
      <c r="G3964" s="46"/>
      <c r="H3964" s="46"/>
    </row>
    <row r="3965" spans="6:8" x14ac:dyDescent="0.25">
      <c r="F3965" s="46"/>
      <c r="G3965" s="46"/>
      <c r="H3965" s="46"/>
    </row>
    <row r="3966" spans="6:8" x14ac:dyDescent="0.25">
      <c r="F3966" s="46"/>
      <c r="G3966" s="46"/>
      <c r="H3966" s="46"/>
    </row>
    <row r="3967" spans="6:8" x14ac:dyDescent="0.25">
      <c r="F3967" s="46"/>
      <c r="G3967" s="46"/>
      <c r="H3967" s="46"/>
    </row>
    <row r="3968" spans="6:8" x14ac:dyDescent="0.25">
      <c r="F3968" s="46"/>
      <c r="G3968" s="46"/>
      <c r="H3968" s="46"/>
    </row>
    <row r="3969" spans="6:8" x14ac:dyDescent="0.25">
      <c r="F3969" s="46"/>
      <c r="G3969" s="46"/>
      <c r="H3969" s="46"/>
    </row>
    <row r="3970" spans="6:8" x14ac:dyDescent="0.25">
      <c r="F3970" s="46"/>
      <c r="G3970" s="46"/>
      <c r="H3970" s="46"/>
    </row>
    <row r="3971" spans="6:8" x14ac:dyDescent="0.25">
      <c r="F3971" s="46"/>
      <c r="G3971" s="46"/>
      <c r="H3971" s="46"/>
    </row>
    <row r="3972" spans="6:8" x14ac:dyDescent="0.25">
      <c r="F3972" s="46"/>
      <c r="G3972" s="46"/>
      <c r="H3972" s="46"/>
    </row>
    <row r="3973" spans="6:8" x14ac:dyDescent="0.25">
      <c r="F3973" s="46"/>
      <c r="G3973" s="46"/>
      <c r="H3973" s="46"/>
    </row>
    <row r="3974" spans="6:8" x14ac:dyDescent="0.25">
      <c r="F3974" s="46"/>
      <c r="G3974" s="46"/>
      <c r="H3974" s="46"/>
    </row>
    <row r="3975" spans="6:8" x14ac:dyDescent="0.25">
      <c r="F3975" s="46"/>
      <c r="G3975" s="46"/>
      <c r="H3975" s="46"/>
    </row>
    <row r="3976" spans="6:8" x14ac:dyDescent="0.25">
      <c r="F3976" s="46"/>
      <c r="G3976" s="46"/>
      <c r="H3976" s="46"/>
    </row>
    <row r="3977" spans="6:8" x14ac:dyDescent="0.25">
      <c r="F3977" s="46"/>
      <c r="G3977" s="46"/>
      <c r="H3977" s="46"/>
    </row>
    <row r="3978" spans="6:8" x14ac:dyDescent="0.25">
      <c r="F3978" s="46"/>
      <c r="G3978" s="46"/>
      <c r="H3978" s="46"/>
    </row>
    <row r="3979" spans="6:8" x14ac:dyDescent="0.25">
      <c r="F3979" s="46"/>
      <c r="G3979" s="46"/>
      <c r="H3979" s="46"/>
    </row>
    <row r="3980" spans="6:8" x14ac:dyDescent="0.25">
      <c r="F3980" s="46"/>
      <c r="G3980" s="46"/>
      <c r="H3980" s="46"/>
    </row>
    <row r="3981" spans="6:8" x14ac:dyDescent="0.25">
      <c r="F3981" s="46"/>
      <c r="G3981" s="46"/>
      <c r="H3981" s="46"/>
    </row>
    <row r="3982" spans="6:8" x14ac:dyDescent="0.25">
      <c r="F3982" s="46"/>
      <c r="G3982" s="46"/>
      <c r="H3982" s="46"/>
    </row>
    <row r="3983" spans="6:8" x14ac:dyDescent="0.25">
      <c r="F3983" s="46"/>
      <c r="G3983" s="46"/>
      <c r="H3983" s="46"/>
    </row>
    <row r="3984" spans="6:8" x14ac:dyDescent="0.25">
      <c r="F3984" s="46"/>
      <c r="G3984" s="46"/>
      <c r="H3984" s="46"/>
    </row>
    <row r="3985" spans="6:8" x14ac:dyDescent="0.25">
      <c r="F3985" s="46"/>
      <c r="G3985" s="46"/>
      <c r="H3985" s="46"/>
    </row>
    <row r="3986" spans="6:8" x14ac:dyDescent="0.25">
      <c r="F3986" s="46"/>
      <c r="G3986" s="46"/>
      <c r="H3986" s="46"/>
    </row>
    <row r="3987" spans="6:8" x14ac:dyDescent="0.25">
      <c r="F3987" s="46"/>
      <c r="G3987" s="46"/>
      <c r="H3987" s="46"/>
    </row>
    <row r="3988" spans="6:8" x14ac:dyDescent="0.25">
      <c r="F3988" s="46"/>
      <c r="G3988" s="46"/>
      <c r="H3988" s="46"/>
    </row>
    <row r="3989" spans="6:8" x14ac:dyDescent="0.25">
      <c r="F3989" s="46"/>
      <c r="G3989" s="46"/>
      <c r="H3989" s="46"/>
    </row>
    <row r="3990" spans="6:8" x14ac:dyDescent="0.25">
      <c r="F3990" s="46"/>
      <c r="G3990" s="46"/>
      <c r="H3990" s="46"/>
    </row>
    <row r="3991" spans="6:8" x14ac:dyDescent="0.25">
      <c r="F3991" s="46"/>
      <c r="G3991" s="46"/>
      <c r="H3991" s="46"/>
    </row>
    <row r="3992" spans="6:8" x14ac:dyDescent="0.25">
      <c r="F3992" s="46"/>
      <c r="G3992" s="46"/>
      <c r="H3992" s="46"/>
    </row>
    <row r="3993" spans="6:8" x14ac:dyDescent="0.25">
      <c r="F3993" s="46"/>
      <c r="G3993" s="46"/>
      <c r="H3993" s="46"/>
    </row>
    <row r="3994" spans="6:8" x14ac:dyDescent="0.25">
      <c r="F3994" s="46"/>
      <c r="G3994" s="46"/>
      <c r="H3994" s="46"/>
    </row>
    <row r="3995" spans="6:8" x14ac:dyDescent="0.25">
      <c r="F3995" s="46"/>
      <c r="G3995" s="46"/>
      <c r="H3995" s="46"/>
    </row>
    <row r="3996" spans="6:8" x14ac:dyDescent="0.25">
      <c r="F3996" s="46"/>
      <c r="G3996" s="46"/>
      <c r="H3996" s="46"/>
    </row>
    <row r="3997" spans="6:8" x14ac:dyDescent="0.25">
      <c r="F3997" s="46"/>
      <c r="G3997" s="46"/>
      <c r="H3997" s="46"/>
    </row>
    <row r="3998" spans="6:8" x14ac:dyDescent="0.25">
      <c r="F3998" s="46"/>
      <c r="G3998" s="46"/>
      <c r="H3998" s="46"/>
    </row>
    <row r="3999" spans="6:8" x14ac:dyDescent="0.25">
      <c r="F3999" s="46"/>
      <c r="G3999" s="46"/>
      <c r="H3999" s="46"/>
    </row>
    <row r="4000" spans="6:8" x14ac:dyDescent="0.25">
      <c r="F4000" s="46"/>
      <c r="G4000" s="46"/>
      <c r="H4000" s="46"/>
    </row>
    <row r="4001" spans="6:8" x14ac:dyDescent="0.25">
      <c r="F4001" s="46"/>
      <c r="G4001" s="46"/>
      <c r="H4001" s="46"/>
    </row>
    <row r="4002" spans="6:8" x14ac:dyDescent="0.25">
      <c r="F4002" s="46"/>
      <c r="G4002" s="46"/>
      <c r="H4002" s="46"/>
    </row>
    <row r="4003" spans="6:8" x14ac:dyDescent="0.25">
      <c r="F4003" s="46"/>
      <c r="G4003" s="46"/>
      <c r="H4003" s="46"/>
    </row>
    <row r="4004" spans="6:8" x14ac:dyDescent="0.25">
      <c r="F4004" s="46"/>
      <c r="G4004" s="46"/>
      <c r="H4004" s="46"/>
    </row>
    <row r="4005" spans="6:8" x14ac:dyDescent="0.25">
      <c r="F4005" s="46"/>
      <c r="G4005" s="46"/>
      <c r="H4005" s="46"/>
    </row>
    <row r="4006" spans="6:8" x14ac:dyDescent="0.25">
      <c r="F4006" s="46"/>
      <c r="G4006" s="46"/>
      <c r="H4006" s="46"/>
    </row>
    <row r="4007" spans="6:8" x14ac:dyDescent="0.25">
      <c r="F4007" s="46"/>
      <c r="G4007" s="46"/>
      <c r="H4007" s="46"/>
    </row>
    <row r="4008" spans="6:8" x14ac:dyDescent="0.25">
      <c r="F4008" s="46"/>
      <c r="G4008" s="46"/>
      <c r="H4008" s="46"/>
    </row>
    <row r="4009" spans="6:8" x14ac:dyDescent="0.25">
      <c r="F4009" s="46"/>
      <c r="G4009" s="46"/>
      <c r="H4009" s="46"/>
    </row>
    <row r="4010" spans="6:8" x14ac:dyDescent="0.25">
      <c r="F4010" s="46"/>
      <c r="G4010" s="46"/>
      <c r="H4010" s="46"/>
    </row>
    <row r="4011" spans="6:8" x14ac:dyDescent="0.25">
      <c r="F4011" s="46"/>
      <c r="G4011" s="46"/>
      <c r="H4011" s="46"/>
    </row>
    <row r="4012" spans="6:8" x14ac:dyDescent="0.25">
      <c r="F4012" s="46"/>
      <c r="G4012" s="46"/>
      <c r="H4012" s="46"/>
    </row>
    <row r="4013" spans="6:8" x14ac:dyDescent="0.25">
      <c r="F4013" s="46"/>
      <c r="G4013" s="46"/>
      <c r="H4013" s="46"/>
    </row>
    <row r="4014" spans="6:8" x14ac:dyDescent="0.25">
      <c r="F4014" s="46"/>
      <c r="G4014" s="46"/>
      <c r="H4014" s="46"/>
    </row>
    <row r="4015" spans="6:8" x14ac:dyDescent="0.25">
      <c r="F4015" s="46"/>
      <c r="G4015" s="46"/>
      <c r="H4015" s="46"/>
    </row>
    <row r="4016" spans="6:8" x14ac:dyDescent="0.25">
      <c r="F4016" s="46"/>
      <c r="G4016" s="46"/>
      <c r="H4016" s="46"/>
    </row>
    <row r="4017" spans="6:8" x14ac:dyDescent="0.25">
      <c r="F4017" s="46"/>
      <c r="G4017" s="46"/>
      <c r="H4017" s="46"/>
    </row>
    <row r="4018" spans="6:8" x14ac:dyDescent="0.25">
      <c r="F4018" s="46"/>
      <c r="G4018" s="46"/>
      <c r="H4018" s="46"/>
    </row>
    <row r="4019" spans="6:8" x14ac:dyDescent="0.25">
      <c r="F4019" s="46"/>
      <c r="G4019" s="46"/>
      <c r="H4019" s="46"/>
    </row>
    <row r="4020" spans="6:8" x14ac:dyDescent="0.25">
      <c r="F4020" s="46"/>
      <c r="G4020" s="46"/>
      <c r="H4020" s="46"/>
    </row>
    <row r="4021" spans="6:8" x14ac:dyDescent="0.25">
      <c r="F4021" s="46"/>
      <c r="G4021" s="46"/>
      <c r="H4021" s="46"/>
    </row>
    <row r="4022" spans="6:8" x14ac:dyDescent="0.25">
      <c r="F4022" s="46"/>
      <c r="G4022" s="46"/>
      <c r="H4022" s="46"/>
    </row>
    <row r="4023" spans="6:8" x14ac:dyDescent="0.25">
      <c r="F4023" s="46"/>
      <c r="G4023" s="46"/>
      <c r="H4023" s="46"/>
    </row>
    <row r="4024" spans="6:8" x14ac:dyDescent="0.25">
      <c r="F4024" s="46"/>
      <c r="G4024" s="46"/>
      <c r="H4024" s="46"/>
    </row>
    <row r="4025" spans="6:8" x14ac:dyDescent="0.25">
      <c r="F4025" s="46"/>
      <c r="G4025" s="46"/>
      <c r="H4025" s="46"/>
    </row>
    <row r="4026" spans="6:8" x14ac:dyDescent="0.25">
      <c r="F4026" s="46"/>
      <c r="G4026" s="46"/>
      <c r="H4026" s="46"/>
    </row>
    <row r="4027" spans="6:8" x14ac:dyDescent="0.25">
      <c r="F4027" s="46"/>
      <c r="G4027" s="46"/>
      <c r="H4027" s="46"/>
    </row>
    <row r="4028" spans="6:8" x14ac:dyDescent="0.25">
      <c r="F4028" s="46"/>
      <c r="G4028" s="46"/>
      <c r="H4028" s="46"/>
    </row>
    <row r="4029" spans="6:8" x14ac:dyDescent="0.25">
      <c r="F4029" s="46"/>
      <c r="G4029" s="46"/>
      <c r="H4029" s="46"/>
    </row>
    <row r="4030" spans="6:8" x14ac:dyDescent="0.25">
      <c r="F4030" s="46"/>
      <c r="G4030" s="46"/>
      <c r="H4030" s="46"/>
    </row>
    <row r="4031" spans="6:8" x14ac:dyDescent="0.25">
      <c r="F4031" s="46"/>
      <c r="G4031" s="46"/>
      <c r="H4031" s="46"/>
    </row>
    <row r="4032" spans="6:8" x14ac:dyDescent="0.25">
      <c r="F4032" s="46"/>
      <c r="G4032" s="46"/>
      <c r="H4032" s="46"/>
    </row>
    <row r="4033" spans="6:8" x14ac:dyDescent="0.25">
      <c r="F4033" s="46"/>
      <c r="G4033" s="46"/>
      <c r="H4033" s="46"/>
    </row>
    <row r="4034" spans="6:8" x14ac:dyDescent="0.25">
      <c r="F4034" s="46"/>
      <c r="G4034" s="46"/>
      <c r="H4034" s="46"/>
    </row>
    <row r="4035" spans="6:8" x14ac:dyDescent="0.25">
      <c r="F4035" s="46"/>
      <c r="G4035" s="46"/>
      <c r="H4035" s="46"/>
    </row>
    <row r="4036" spans="6:8" x14ac:dyDescent="0.25">
      <c r="F4036" s="46"/>
      <c r="G4036" s="46"/>
      <c r="H4036" s="46"/>
    </row>
    <row r="4037" spans="6:8" x14ac:dyDescent="0.25">
      <c r="F4037" s="46"/>
      <c r="G4037" s="46"/>
      <c r="H4037" s="46"/>
    </row>
    <row r="4038" spans="6:8" x14ac:dyDescent="0.25">
      <c r="F4038" s="46"/>
      <c r="G4038" s="46"/>
      <c r="H4038" s="46"/>
    </row>
    <row r="4039" spans="6:8" x14ac:dyDescent="0.25">
      <c r="F4039" s="46"/>
      <c r="G4039" s="46"/>
      <c r="H4039" s="46"/>
    </row>
    <row r="4040" spans="6:8" x14ac:dyDescent="0.25">
      <c r="F4040" s="46"/>
      <c r="G4040" s="46"/>
      <c r="H4040" s="46"/>
    </row>
    <row r="4041" spans="6:8" x14ac:dyDescent="0.25">
      <c r="F4041" s="46"/>
      <c r="G4041" s="46"/>
      <c r="H4041" s="46"/>
    </row>
    <row r="4042" spans="6:8" x14ac:dyDescent="0.25">
      <c r="F4042" s="46"/>
      <c r="G4042" s="46"/>
      <c r="H4042" s="46"/>
    </row>
    <row r="4043" spans="6:8" x14ac:dyDescent="0.25">
      <c r="F4043" s="46"/>
      <c r="G4043" s="46"/>
      <c r="H4043" s="46"/>
    </row>
    <row r="4044" spans="6:8" x14ac:dyDescent="0.25">
      <c r="F4044" s="46"/>
      <c r="G4044" s="46"/>
      <c r="H4044" s="46"/>
    </row>
    <row r="4045" spans="6:8" x14ac:dyDescent="0.25">
      <c r="F4045" s="46"/>
      <c r="G4045" s="46"/>
      <c r="H4045" s="46"/>
    </row>
    <row r="4046" spans="6:8" x14ac:dyDescent="0.25">
      <c r="F4046" s="46"/>
      <c r="G4046" s="46"/>
      <c r="H4046" s="46"/>
    </row>
    <row r="4047" spans="6:8" x14ac:dyDescent="0.25">
      <c r="F4047" s="46"/>
      <c r="G4047" s="46"/>
      <c r="H4047" s="46"/>
    </row>
    <row r="4048" spans="6:8" x14ac:dyDescent="0.25">
      <c r="F4048" s="46"/>
      <c r="G4048" s="46"/>
      <c r="H4048" s="46"/>
    </row>
    <row r="4049" spans="6:8" x14ac:dyDescent="0.25">
      <c r="F4049" s="46"/>
      <c r="G4049" s="46"/>
      <c r="H4049" s="46"/>
    </row>
    <row r="4050" spans="6:8" x14ac:dyDescent="0.25">
      <c r="F4050" s="46"/>
      <c r="G4050" s="46"/>
      <c r="H4050" s="46"/>
    </row>
    <row r="4051" spans="6:8" x14ac:dyDescent="0.25">
      <c r="F4051" s="46"/>
      <c r="G4051" s="46"/>
      <c r="H4051" s="46"/>
    </row>
    <row r="4052" spans="6:8" x14ac:dyDescent="0.25">
      <c r="F4052" s="46"/>
      <c r="G4052" s="46"/>
      <c r="H4052" s="46"/>
    </row>
    <row r="4053" spans="6:8" x14ac:dyDescent="0.25">
      <c r="F4053" s="46"/>
      <c r="G4053" s="46"/>
      <c r="H4053" s="46"/>
    </row>
    <row r="4054" spans="6:8" x14ac:dyDescent="0.25">
      <c r="F4054" s="46"/>
      <c r="G4054" s="46"/>
      <c r="H4054" s="46"/>
    </row>
    <row r="4055" spans="6:8" x14ac:dyDescent="0.25">
      <c r="F4055" s="46"/>
      <c r="G4055" s="46"/>
      <c r="H4055" s="46"/>
    </row>
    <row r="4056" spans="6:8" x14ac:dyDescent="0.25">
      <c r="F4056" s="46"/>
      <c r="G4056" s="46"/>
      <c r="H4056" s="46"/>
    </row>
    <row r="4057" spans="6:8" x14ac:dyDescent="0.25">
      <c r="F4057" s="46"/>
      <c r="G4057" s="46"/>
      <c r="H4057" s="46"/>
    </row>
    <row r="4058" spans="6:8" x14ac:dyDescent="0.25">
      <c r="F4058" s="46"/>
      <c r="G4058" s="46"/>
      <c r="H4058" s="46"/>
    </row>
    <row r="4059" spans="6:8" x14ac:dyDescent="0.25">
      <c r="F4059" s="46"/>
      <c r="G4059" s="46"/>
      <c r="H4059" s="46"/>
    </row>
    <row r="4060" spans="6:8" x14ac:dyDescent="0.25">
      <c r="F4060" s="46"/>
      <c r="G4060" s="46"/>
      <c r="H4060" s="46"/>
    </row>
    <row r="4061" spans="6:8" x14ac:dyDescent="0.25">
      <c r="F4061" s="46"/>
      <c r="G4061" s="46"/>
      <c r="H4061" s="46"/>
    </row>
    <row r="4062" spans="6:8" x14ac:dyDescent="0.25">
      <c r="F4062" s="46"/>
      <c r="G4062" s="46"/>
      <c r="H4062" s="46"/>
    </row>
    <row r="4063" spans="6:8" x14ac:dyDescent="0.25">
      <c r="F4063" s="46"/>
      <c r="G4063" s="46"/>
      <c r="H4063" s="46"/>
    </row>
    <row r="4064" spans="6:8" x14ac:dyDescent="0.25">
      <c r="F4064" s="46"/>
      <c r="G4064" s="46"/>
      <c r="H4064" s="46"/>
    </row>
    <row r="4065" spans="6:8" x14ac:dyDescent="0.25">
      <c r="F4065" s="46"/>
      <c r="G4065" s="46"/>
      <c r="H4065" s="46"/>
    </row>
    <row r="4066" spans="6:8" x14ac:dyDescent="0.25">
      <c r="F4066" s="46"/>
      <c r="G4066" s="46"/>
      <c r="H4066" s="46"/>
    </row>
    <row r="4067" spans="6:8" x14ac:dyDescent="0.25">
      <c r="F4067" s="46"/>
      <c r="G4067" s="46"/>
      <c r="H4067" s="46"/>
    </row>
    <row r="4068" spans="6:8" x14ac:dyDescent="0.25">
      <c r="F4068" s="46"/>
      <c r="G4068" s="46"/>
      <c r="H4068" s="46"/>
    </row>
    <row r="4069" spans="6:8" x14ac:dyDescent="0.25">
      <c r="F4069" s="46"/>
      <c r="G4069" s="46"/>
      <c r="H4069" s="46"/>
    </row>
    <row r="4070" spans="6:8" x14ac:dyDescent="0.25">
      <c r="F4070" s="46"/>
      <c r="G4070" s="46"/>
      <c r="H4070" s="46"/>
    </row>
    <row r="4071" spans="6:8" x14ac:dyDescent="0.25">
      <c r="F4071" s="46"/>
      <c r="G4071" s="46"/>
      <c r="H4071" s="46"/>
    </row>
    <row r="4072" spans="6:8" x14ac:dyDescent="0.25">
      <c r="F4072" s="46"/>
      <c r="G4072" s="46"/>
      <c r="H4072" s="46"/>
    </row>
    <row r="4073" spans="6:8" x14ac:dyDescent="0.25">
      <c r="F4073" s="46"/>
      <c r="G4073" s="46"/>
      <c r="H4073" s="46"/>
    </row>
    <row r="4074" spans="6:8" x14ac:dyDescent="0.25">
      <c r="F4074" s="46"/>
      <c r="G4074" s="46"/>
      <c r="H4074" s="46"/>
    </row>
    <row r="4075" spans="6:8" x14ac:dyDescent="0.25">
      <c r="F4075" s="46"/>
      <c r="G4075" s="46"/>
      <c r="H4075" s="46"/>
    </row>
    <row r="4076" spans="6:8" x14ac:dyDescent="0.25">
      <c r="F4076" s="46"/>
      <c r="G4076" s="46"/>
      <c r="H4076" s="46"/>
    </row>
    <row r="4077" spans="6:8" x14ac:dyDescent="0.25">
      <c r="F4077" s="46"/>
      <c r="G4077" s="46"/>
      <c r="H4077" s="46"/>
    </row>
    <row r="4078" spans="6:8" x14ac:dyDescent="0.25">
      <c r="F4078" s="46"/>
      <c r="G4078" s="46"/>
      <c r="H4078" s="46"/>
    </row>
    <row r="4079" spans="6:8" x14ac:dyDescent="0.25">
      <c r="F4079" s="46"/>
      <c r="G4079" s="46"/>
      <c r="H4079" s="46"/>
    </row>
    <row r="4080" spans="6:8" x14ac:dyDescent="0.25">
      <c r="F4080" s="46"/>
      <c r="G4080" s="46"/>
      <c r="H4080" s="46"/>
    </row>
    <row r="4081" spans="6:8" x14ac:dyDescent="0.25">
      <c r="F4081" s="46"/>
      <c r="G4081" s="46"/>
      <c r="H4081" s="46"/>
    </row>
    <row r="4082" spans="6:8" x14ac:dyDescent="0.25">
      <c r="F4082" s="46"/>
      <c r="G4082" s="46"/>
      <c r="H4082" s="46"/>
    </row>
    <row r="4083" spans="6:8" x14ac:dyDescent="0.25">
      <c r="F4083" s="46"/>
      <c r="G4083" s="46"/>
      <c r="H4083" s="46"/>
    </row>
    <row r="4084" spans="6:8" x14ac:dyDescent="0.25">
      <c r="F4084" s="46"/>
      <c r="G4084" s="46"/>
      <c r="H4084" s="46"/>
    </row>
    <row r="4085" spans="6:8" x14ac:dyDescent="0.25">
      <c r="F4085" s="46"/>
      <c r="G4085" s="46"/>
      <c r="H4085" s="46"/>
    </row>
    <row r="4086" spans="6:8" x14ac:dyDescent="0.25">
      <c r="F4086" s="46"/>
      <c r="G4086" s="46"/>
      <c r="H4086" s="46"/>
    </row>
    <row r="4087" spans="6:8" x14ac:dyDescent="0.25">
      <c r="F4087" s="46"/>
      <c r="G4087" s="46"/>
      <c r="H4087" s="46"/>
    </row>
    <row r="4088" spans="6:8" x14ac:dyDescent="0.25">
      <c r="F4088" s="46"/>
      <c r="G4088" s="46"/>
      <c r="H4088" s="46"/>
    </row>
    <row r="4089" spans="6:8" x14ac:dyDescent="0.25">
      <c r="F4089" s="46"/>
      <c r="G4089" s="46"/>
      <c r="H4089" s="46"/>
    </row>
    <row r="4090" spans="6:8" x14ac:dyDescent="0.25">
      <c r="F4090" s="46"/>
      <c r="G4090" s="46"/>
      <c r="H4090" s="46"/>
    </row>
    <row r="4091" spans="6:8" x14ac:dyDescent="0.25">
      <c r="F4091" s="46"/>
      <c r="G4091" s="46"/>
      <c r="H4091" s="46"/>
    </row>
    <row r="4092" spans="6:8" x14ac:dyDescent="0.25">
      <c r="F4092" s="46"/>
      <c r="G4092" s="46"/>
      <c r="H4092" s="46"/>
    </row>
    <row r="4093" spans="6:8" x14ac:dyDescent="0.25">
      <c r="F4093" s="46"/>
      <c r="G4093" s="46"/>
      <c r="H4093" s="46"/>
    </row>
    <row r="4094" spans="6:8" x14ac:dyDescent="0.25">
      <c r="F4094" s="46"/>
      <c r="G4094" s="46"/>
      <c r="H4094" s="46"/>
    </row>
    <row r="4095" spans="6:8" x14ac:dyDescent="0.25">
      <c r="F4095" s="46"/>
      <c r="G4095" s="46"/>
      <c r="H4095" s="46"/>
    </row>
    <row r="4096" spans="6:8" x14ac:dyDescent="0.25">
      <c r="F4096" s="46"/>
      <c r="G4096" s="46"/>
      <c r="H4096" s="46"/>
    </row>
    <row r="4097" spans="6:8" x14ac:dyDescent="0.25">
      <c r="F4097" s="46"/>
      <c r="G4097" s="46"/>
      <c r="H4097" s="46"/>
    </row>
    <row r="4098" spans="6:8" x14ac:dyDescent="0.25">
      <c r="F4098" s="46"/>
      <c r="G4098" s="46"/>
      <c r="H4098" s="46"/>
    </row>
    <row r="4099" spans="6:8" x14ac:dyDescent="0.25">
      <c r="F4099" s="46"/>
      <c r="G4099" s="46"/>
      <c r="H4099" s="46"/>
    </row>
    <row r="4100" spans="6:8" x14ac:dyDescent="0.25">
      <c r="F4100" s="46"/>
      <c r="G4100" s="46"/>
      <c r="H4100" s="46"/>
    </row>
    <row r="4101" spans="6:8" x14ac:dyDescent="0.25">
      <c r="F4101" s="46"/>
      <c r="G4101" s="46"/>
      <c r="H4101" s="46"/>
    </row>
    <row r="4102" spans="6:8" x14ac:dyDescent="0.25">
      <c r="F4102" s="46"/>
      <c r="G4102" s="46"/>
      <c r="H4102" s="46"/>
    </row>
    <row r="4103" spans="6:8" x14ac:dyDescent="0.25">
      <c r="F4103" s="46"/>
      <c r="G4103" s="46"/>
      <c r="H4103" s="46"/>
    </row>
    <row r="4104" spans="6:8" x14ac:dyDescent="0.25">
      <c r="F4104" s="46"/>
      <c r="G4104" s="46"/>
      <c r="H4104" s="46"/>
    </row>
    <row r="4105" spans="6:8" x14ac:dyDescent="0.25">
      <c r="F4105" s="46"/>
      <c r="G4105" s="46"/>
      <c r="H4105" s="46"/>
    </row>
    <row r="4106" spans="6:8" x14ac:dyDescent="0.25">
      <c r="F4106" s="46"/>
      <c r="G4106" s="46"/>
      <c r="H4106" s="46"/>
    </row>
    <row r="4107" spans="6:8" x14ac:dyDescent="0.25">
      <c r="F4107" s="46"/>
      <c r="G4107" s="46"/>
      <c r="H4107" s="46"/>
    </row>
    <row r="4108" spans="6:8" x14ac:dyDescent="0.25">
      <c r="F4108" s="46"/>
      <c r="G4108" s="46"/>
      <c r="H4108" s="46"/>
    </row>
    <row r="4109" spans="6:8" x14ac:dyDescent="0.25">
      <c r="F4109" s="46"/>
      <c r="G4109" s="46"/>
      <c r="H4109" s="46"/>
    </row>
    <row r="4110" spans="6:8" x14ac:dyDescent="0.25">
      <c r="F4110" s="46"/>
      <c r="G4110" s="46"/>
      <c r="H4110" s="46"/>
    </row>
    <row r="4111" spans="6:8" x14ac:dyDescent="0.25">
      <c r="F4111" s="46"/>
      <c r="G4111" s="46"/>
      <c r="H4111" s="46"/>
    </row>
    <row r="4112" spans="6:8" x14ac:dyDescent="0.25">
      <c r="F4112" s="46"/>
      <c r="G4112" s="46"/>
      <c r="H4112" s="46"/>
    </row>
    <row r="4113" spans="6:8" x14ac:dyDescent="0.25">
      <c r="F4113" s="46"/>
      <c r="G4113" s="46"/>
      <c r="H4113" s="46"/>
    </row>
    <row r="4114" spans="6:8" x14ac:dyDescent="0.25">
      <c r="F4114" s="46"/>
      <c r="G4114" s="46"/>
      <c r="H4114" s="46"/>
    </row>
    <row r="4115" spans="6:8" x14ac:dyDescent="0.25">
      <c r="F4115" s="46"/>
      <c r="G4115" s="46"/>
      <c r="H4115" s="46"/>
    </row>
    <row r="4116" spans="6:8" x14ac:dyDescent="0.25">
      <c r="F4116" s="46"/>
      <c r="G4116" s="46"/>
      <c r="H4116" s="46"/>
    </row>
    <row r="4117" spans="6:8" x14ac:dyDescent="0.25">
      <c r="F4117" s="46"/>
      <c r="G4117" s="46"/>
      <c r="H4117" s="46"/>
    </row>
    <row r="4118" spans="6:8" x14ac:dyDescent="0.25">
      <c r="F4118" s="46"/>
      <c r="G4118" s="46"/>
      <c r="H4118" s="46"/>
    </row>
    <row r="4119" spans="6:8" x14ac:dyDescent="0.25">
      <c r="F4119" s="46"/>
      <c r="G4119" s="46"/>
      <c r="H4119" s="46"/>
    </row>
    <row r="4120" spans="6:8" x14ac:dyDescent="0.25">
      <c r="F4120" s="46"/>
      <c r="G4120" s="46"/>
      <c r="H4120" s="46"/>
    </row>
    <row r="4121" spans="6:8" x14ac:dyDescent="0.25">
      <c r="F4121" s="46"/>
      <c r="G4121" s="46"/>
      <c r="H4121" s="46"/>
    </row>
    <row r="4122" spans="6:8" x14ac:dyDescent="0.25">
      <c r="F4122" s="46"/>
      <c r="G4122" s="46"/>
      <c r="H4122" s="46"/>
    </row>
    <row r="4123" spans="6:8" x14ac:dyDescent="0.25">
      <c r="F4123" s="46"/>
      <c r="G4123" s="46"/>
      <c r="H4123" s="46"/>
    </row>
    <row r="4124" spans="6:8" x14ac:dyDescent="0.25">
      <c r="F4124" s="46"/>
      <c r="G4124" s="46"/>
      <c r="H4124" s="46"/>
    </row>
    <row r="4125" spans="6:8" x14ac:dyDescent="0.25">
      <c r="F4125" s="46"/>
      <c r="G4125" s="46"/>
      <c r="H4125" s="46"/>
    </row>
    <row r="4126" spans="6:8" x14ac:dyDescent="0.25">
      <c r="F4126" s="46"/>
      <c r="G4126" s="46"/>
      <c r="H4126" s="46"/>
    </row>
    <row r="4127" spans="6:8" x14ac:dyDescent="0.25">
      <c r="F4127" s="46"/>
      <c r="G4127" s="46"/>
      <c r="H4127" s="46"/>
    </row>
    <row r="4128" spans="6:8" x14ac:dyDescent="0.25">
      <c r="F4128" s="46"/>
      <c r="G4128" s="46"/>
      <c r="H4128" s="46"/>
    </row>
    <row r="4129" spans="6:8" x14ac:dyDescent="0.25">
      <c r="F4129" s="46"/>
      <c r="G4129" s="46"/>
      <c r="H4129" s="46"/>
    </row>
    <row r="4130" spans="6:8" x14ac:dyDescent="0.25">
      <c r="F4130" s="46"/>
      <c r="G4130" s="46"/>
      <c r="H4130" s="46"/>
    </row>
    <row r="4131" spans="6:8" x14ac:dyDescent="0.25">
      <c r="F4131" s="46"/>
      <c r="G4131" s="46"/>
      <c r="H4131" s="46"/>
    </row>
    <row r="4132" spans="6:8" x14ac:dyDescent="0.25">
      <c r="F4132" s="46"/>
      <c r="G4132" s="46"/>
      <c r="H4132" s="46"/>
    </row>
    <row r="4133" spans="6:8" x14ac:dyDescent="0.25">
      <c r="F4133" s="46"/>
      <c r="G4133" s="46"/>
      <c r="H4133" s="46"/>
    </row>
    <row r="4134" spans="6:8" x14ac:dyDescent="0.25">
      <c r="F4134" s="46"/>
      <c r="G4134" s="46"/>
      <c r="H4134" s="46"/>
    </row>
    <row r="4135" spans="6:8" x14ac:dyDescent="0.25">
      <c r="F4135" s="46"/>
      <c r="G4135" s="46"/>
      <c r="H4135" s="46"/>
    </row>
    <row r="4136" spans="6:8" x14ac:dyDescent="0.25">
      <c r="F4136" s="46"/>
      <c r="G4136" s="46"/>
      <c r="H4136" s="46"/>
    </row>
    <row r="4137" spans="6:8" x14ac:dyDescent="0.25">
      <c r="F4137" s="46"/>
      <c r="G4137" s="46"/>
      <c r="H4137" s="46"/>
    </row>
    <row r="4138" spans="6:8" x14ac:dyDescent="0.25">
      <c r="F4138" s="46"/>
      <c r="G4138" s="46"/>
      <c r="H4138" s="46"/>
    </row>
  </sheetData>
  <sheetProtection formatCells="0" formatColumns="0" formatRows="0"/>
  <autoFilter ref="A7:Y322" xr:uid="{00000000-0009-0000-0000-000002000000}"/>
  <mergeCells count="11">
    <mergeCell ref="F322:I322"/>
    <mergeCell ref="S3:Y3"/>
    <mergeCell ref="F4:P4"/>
    <mergeCell ref="C6:E6"/>
    <mergeCell ref="F6:I6"/>
    <mergeCell ref="J6:M6"/>
    <mergeCell ref="N6:P6"/>
    <mergeCell ref="Q6:S6"/>
    <mergeCell ref="T6:V6"/>
    <mergeCell ref="W6:Y6"/>
    <mergeCell ref="C5:F5"/>
  </mergeCells>
  <pageMargins left="0.48622047200000001" right="0.23622047244094499" top="0.5" bottom="0.23622047244094499" header="0.23622047244094499" footer="0.23622047244094499"/>
  <pageSetup scale="6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K27"/>
  <sheetViews>
    <sheetView topLeftCell="A4" workbookViewId="0">
      <selection activeCell="L9" sqref="L9"/>
    </sheetView>
  </sheetViews>
  <sheetFormatPr defaultColWidth="9.36328125" defaultRowHeight="12.5" x14ac:dyDescent="0.25"/>
  <cols>
    <col min="1" max="1" width="4.6328125" style="57" customWidth="1"/>
    <col min="2" max="2" width="27.36328125" style="35" customWidth="1"/>
    <col min="3" max="4" width="10.6328125" style="35" customWidth="1"/>
    <col min="5" max="8" width="7.6328125" style="35" customWidth="1"/>
    <col min="9" max="9" width="10.36328125" style="35" customWidth="1"/>
    <col min="10" max="10" width="4.54296875" style="35" customWidth="1"/>
    <col min="11" max="16384" width="9.36328125" style="35"/>
  </cols>
  <sheetData>
    <row r="1" spans="1:11" ht="25.25" customHeight="1" x14ac:dyDescent="0.25">
      <c r="A1" s="256" t="s">
        <v>247</v>
      </c>
      <c r="B1" s="256"/>
      <c r="C1" s="256"/>
      <c r="D1" s="256"/>
      <c r="E1" s="256"/>
      <c r="F1" s="256"/>
      <c r="G1" s="256"/>
      <c r="H1" s="256"/>
      <c r="I1" s="256"/>
    </row>
    <row r="2" spans="1:11" ht="25.25" customHeight="1" x14ac:dyDescent="0.25">
      <c r="A2" s="257" t="s">
        <v>40</v>
      </c>
      <c r="B2" s="257"/>
      <c r="C2" s="257"/>
      <c r="D2" s="257"/>
      <c r="E2" s="257"/>
      <c r="F2" s="257"/>
      <c r="G2" s="257"/>
      <c r="H2" s="257"/>
      <c r="I2" s="257"/>
    </row>
    <row r="3" spans="1:11" ht="25.25" customHeight="1" x14ac:dyDescent="0.25">
      <c r="A3" s="257" t="s">
        <v>41</v>
      </c>
      <c r="B3" s="257"/>
      <c r="C3" s="257"/>
      <c r="D3" s="257"/>
      <c r="E3" s="257"/>
      <c r="F3" s="257"/>
      <c r="G3" s="257"/>
      <c r="H3" s="257"/>
      <c r="I3" s="257"/>
    </row>
    <row r="4" spans="1:11" ht="18" customHeight="1" x14ac:dyDescent="0.25">
      <c r="B4" s="182">
        <f>'Provisions Covering Sheet'!J4</f>
        <v>46021</v>
      </c>
    </row>
    <row r="5" spans="1:11" ht="37.5" x14ac:dyDescent="0.25">
      <c r="A5" s="50" t="s">
        <v>33</v>
      </c>
      <c r="B5" s="51" t="s">
        <v>34</v>
      </c>
      <c r="C5" s="51" t="s">
        <v>35</v>
      </c>
      <c r="D5" s="51" t="s">
        <v>36</v>
      </c>
      <c r="E5" s="60" t="s">
        <v>42</v>
      </c>
      <c r="F5" s="60" t="s">
        <v>37</v>
      </c>
      <c r="G5" s="75" t="s">
        <v>422</v>
      </c>
      <c r="H5" s="75" t="s">
        <v>51</v>
      </c>
      <c r="I5" s="51" t="s">
        <v>43</v>
      </c>
    </row>
    <row r="6" spans="1:11" ht="9" customHeight="1" thickBot="1" x14ac:dyDescent="0.3">
      <c r="A6" s="147"/>
    </row>
    <row r="7" spans="1:11" ht="20.149999999999999" customHeight="1" thickBot="1" x14ac:dyDescent="0.3">
      <c r="A7" s="259" t="s">
        <v>50</v>
      </c>
      <c r="B7" s="260"/>
      <c r="C7" s="260"/>
      <c r="D7" s="260"/>
      <c r="E7" s="260"/>
      <c r="F7" s="260"/>
      <c r="G7" s="260"/>
      <c r="H7" s="260"/>
      <c r="I7" s="261"/>
    </row>
    <row r="8" spans="1:11" ht="66.75" customHeight="1" thickBot="1" x14ac:dyDescent="0.3">
      <c r="A8" s="209">
        <v>1</v>
      </c>
      <c r="B8" s="210" t="s">
        <v>419</v>
      </c>
      <c r="C8" s="185" t="s">
        <v>414</v>
      </c>
      <c r="D8" s="185" t="s">
        <v>415</v>
      </c>
      <c r="E8" s="211">
        <v>3</v>
      </c>
      <c r="F8" s="211">
        <v>1</v>
      </c>
      <c r="G8" s="268" t="s">
        <v>424</v>
      </c>
      <c r="H8" s="186"/>
      <c r="I8" s="187">
        <f>H8*'Provisions Covering Sheet'!J23</f>
        <v>0</v>
      </c>
      <c r="K8" s="106"/>
    </row>
    <row r="9" spans="1:11" ht="30.75" customHeight="1" x14ac:dyDescent="0.25">
      <c r="A9" s="212">
        <v>2</v>
      </c>
      <c r="B9" s="184" t="s">
        <v>416</v>
      </c>
      <c r="C9" s="116" t="s">
        <v>418</v>
      </c>
      <c r="D9" s="116" t="s">
        <v>417</v>
      </c>
      <c r="E9" s="60">
        <v>1</v>
      </c>
      <c r="F9" s="60">
        <v>3</v>
      </c>
      <c r="G9" s="268" t="s">
        <v>424</v>
      </c>
      <c r="H9" s="51"/>
      <c r="I9" s="153">
        <f>H9*'Provisions Covering Sheet'!J23</f>
        <v>0</v>
      </c>
    </row>
    <row r="10" spans="1:11" ht="29.25" customHeight="1" x14ac:dyDescent="0.35">
      <c r="A10" s="212"/>
      <c r="B10" s="183"/>
      <c r="C10" s="195"/>
      <c r="D10" s="116"/>
      <c r="E10" s="50"/>
      <c r="F10" s="51"/>
      <c r="G10" s="51"/>
      <c r="H10" s="51"/>
      <c r="I10" s="153">
        <f>H10*'Provisions Covering Sheet'!J23</f>
        <v>0</v>
      </c>
    </row>
    <row r="11" spans="1:11" ht="26.25" customHeight="1" x14ac:dyDescent="0.25">
      <c r="A11" s="188"/>
      <c r="B11" s="189"/>
      <c r="C11" s="116"/>
      <c r="D11" s="50"/>
      <c r="E11" s="51"/>
      <c r="F11" s="51"/>
      <c r="G11" s="51"/>
      <c r="H11" s="51"/>
      <c r="I11" s="153">
        <f>H11*'Provisions Covering Sheet'!J23</f>
        <v>0</v>
      </c>
    </row>
    <row r="12" spans="1:11" ht="27.75" customHeight="1" x14ac:dyDescent="0.25">
      <c r="A12" s="190"/>
      <c r="B12" s="189"/>
      <c r="C12" s="116"/>
      <c r="D12" s="116"/>
      <c r="E12" s="51"/>
      <c r="F12" s="51"/>
      <c r="G12" s="51"/>
      <c r="H12" s="51"/>
      <c r="I12" s="153">
        <f>H12*'Provisions Covering Sheet'!J23</f>
        <v>0</v>
      </c>
    </row>
    <row r="13" spans="1:11" ht="30" customHeight="1" x14ac:dyDescent="0.25">
      <c r="A13" s="190"/>
      <c r="B13" s="189"/>
      <c r="C13" s="116"/>
      <c r="D13" s="50"/>
      <c r="E13" s="51"/>
      <c r="F13" s="51"/>
      <c r="G13" s="51"/>
      <c r="H13" s="51"/>
      <c r="I13" s="153">
        <f>H13*'Provisions Covering Sheet'!J23</f>
        <v>0</v>
      </c>
    </row>
    <row r="14" spans="1:11" ht="30" customHeight="1" x14ac:dyDescent="0.25">
      <c r="A14" s="212"/>
      <c r="B14" s="179"/>
      <c r="C14" s="116"/>
      <c r="D14" s="116"/>
      <c r="E14" s="50"/>
      <c r="F14" s="51"/>
      <c r="G14" s="51"/>
      <c r="H14" s="51"/>
      <c r="I14" s="153"/>
    </row>
    <row r="15" spans="1:11" ht="29.25" customHeight="1" thickBot="1" x14ac:dyDescent="0.3">
      <c r="A15" s="218"/>
      <c r="B15" s="219"/>
      <c r="C15" s="220"/>
      <c r="D15" s="220"/>
      <c r="E15" s="208"/>
      <c r="F15" s="221"/>
      <c r="G15" s="221"/>
      <c r="H15" s="221"/>
      <c r="I15" s="222"/>
      <c r="J15" s="137"/>
    </row>
    <row r="16" spans="1:11" ht="18" customHeight="1" thickBot="1" x14ac:dyDescent="0.3">
      <c r="A16" s="213"/>
      <c r="B16" s="214"/>
      <c r="C16" s="258" t="s">
        <v>39</v>
      </c>
      <c r="D16" s="258"/>
      <c r="E16" s="215"/>
      <c r="F16" s="216"/>
      <c r="G16" s="216"/>
      <c r="H16" s="216">
        <f>SUM(H8:H15)</f>
        <v>0</v>
      </c>
      <c r="I16" s="217">
        <f>SUM(I8:I15)</f>
        <v>0</v>
      </c>
    </row>
    <row r="17" spans="1:9" ht="18" customHeight="1" thickBot="1" x14ac:dyDescent="0.3">
      <c r="A17" s="35"/>
      <c r="C17" s="59"/>
      <c r="D17" s="59"/>
      <c r="E17" s="59"/>
      <c r="F17" s="56"/>
      <c r="G17" s="56"/>
      <c r="H17" s="56"/>
    </row>
    <row r="18" spans="1:9" ht="15.75" customHeight="1" thickBot="1" x14ac:dyDescent="0.3">
      <c r="A18" s="35"/>
      <c r="B18" s="148" t="s">
        <v>49</v>
      </c>
      <c r="C18" s="149"/>
      <c r="D18" s="262" t="s">
        <v>46</v>
      </c>
      <c r="E18" s="263"/>
      <c r="F18" s="263"/>
      <c r="G18" s="263"/>
      <c r="H18" s="264"/>
      <c r="I18" s="150">
        <f>I16</f>
        <v>0</v>
      </c>
    </row>
    <row r="19" spans="1:9" ht="18" customHeight="1" x14ac:dyDescent="0.25">
      <c r="A19" s="35"/>
      <c r="C19" s="59"/>
      <c r="D19" s="59"/>
      <c r="E19" s="59"/>
      <c r="F19" s="56"/>
      <c r="G19" s="56"/>
      <c r="H19" s="56"/>
    </row>
    <row r="20" spans="1:9" ht="18" customHeight="1" x14ac:dyDescent="0.25">
      <c r="A20" s="35"/>
      <c r="C20" s="59"/>
      <c r="D20" s="59"/>
      <c r="E20" s="59"/>
      <c r="F20" s="56"/>
      <c r="G20" s="56"/>
      <c r="H20" s="56"/>
    </row>
    <row r="21" spans="1:9" ht="18" customHeight="1" x14ac:dyDescent="0.25">
      <c r="A21" s="35"/>
      <c r="C21" s="59"/>
      <c r="D21" s="59"/>
      <c r="E21" s="59"/>
      <c r="F21" s="56"/>
      <c r="G21" s="56"/>
      <c r="H21" s="56"/>
    </row>
    <row r="22" spans="1:9" ht="18" customHeight="1" x14ac:dyDescent="0.25">
      <c r="A22" s="35"/>
      <c r="C22" s="59"/>
      <c r="D22" s="59"/>
      <c r="E22" s="59"/>
      <c r="F22" s="56"/>
      <c r="G22" s="56"/>
      <c r="H22" s="56"/>
    </row>
    <row r="23" spans="1:9" ht="18" customHeight="1" x14ac:dyDescent="0.25">
      <c r="A23" s="35"/>
      <c r="C23" s="59"/>
      <c r="D23" s="59"/>
      <c r="E23" s="59"/>
      <c r="F23" s="56"/>
      <c r="G23" s="56"/>
      <c r="H23" s="56"/>
    </row>
    <row r="24" spans="1:9" ht="13.5" customHeight="1" x14ac:dyDescent="0.25">
      <c r="A24" s="35"/>
      <c r="C24" s="59"/>
      <c r="F24" s="124"/>
      <c r="G24" s="124"/>
      <c r="H24" s="124"/>
      <c r="I24" s="124"/>
    </row>
    <row r="25" spans="1:9" ht="24.75" customHeight="1" x14ac:dyDescent="0.25">
      <c r="A25" s="35"/>
      <c r="D25" s="123"/>
      <c r="E25" s="265" t="str">
        <f>'Provisions Covering Sheet'!L31</f>
        <v>Master name</v>
      </c>
      <c r="F25" s="265"/>
      <c r="G25" s="265"/>
      <c r="H25" s="265"/>
      <c r="I25" s="265"/>
    </row>
    <row r="26" spans="1:9" ht="18" customHeight="1" x14ac:dyDescent="0.25">
      <c r="A26" s="35"/>
      <c r="D26" s="121"/>
      <c r="E26" s="122"/>
      <c r="F26" s="255" t="str">
        <f>'Provisions Covering Sheet'!L32</f>
        <v>Vessel Name</v>
      </c>
      <c r="G26" s="255"/>
      <c r="H26" s="255"/>
      <c r="I26" s="255"/>
    </row>
    <row r="27" spans="1:9" ht="18" customHeight="1" x14ac:dyDescent="0.25">
      <c r="A27" s="35"/>
      <c r="D27" s="120"/>
      <c r="E27" s="120"/>
      <c r="F27" s="120"/>
      <c r="G27" s="120"/>
      <c r="H27" s="120"/>
      <c r="I27" s="120"/>
    </row>
  </sheetData>
  <mergeCells count="8">
    <mergeCell ref="F26:I26"/>
    <mergeCell ref="A1:I1"/>
    <mergeCell ref="A2:I2"/>
    <mergeCell ref="A3:I3"/>
    <mergeCell ref="C16:D16"/>
    <mergeCell ref="A7:I7"/>
    <mergeCell ref="D18:H18"/>
    <mergeCell ref="E25:I25"/>
  </mergeCells>
  <printOptions horizontalCentered="1"/>
  <pageMargins left="0.70866141732283505" right="0.70866141732283505" top="0.35433070866141703" bottom="0.35433070866141703" header="0" footer="0"/>
  <pageSetup paperSize="9" scale="9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2:E27"/>
  <sheetViews>
    <sheetView zoomScale="115" zoomScaleNormal="115" workbookViewId="0">
      <selection activeCell="H15" sqref="H15"/>
    </sheetView>
  </sheetViews>
  <sheetFormatPr defaultRowHeight="12.5" x14ac:dyDescent="0.25"/>
  <cols>
    <col min="1" max="1" width="26.08984375" customWidth="1"/>
    <col min="3" max="3" width="10.36328125" customWidth="1"/>
    <col min="5" max="5" width="15" customWidth="1"/>
  </cols>
  <sheetData>
    <row r="2" spans="1:5" ht="15.5" x14ac:dyDescent="0.35">
      <c r="A2" s="61" t="s">
        <v>247</v>
      </c>
      <c r="B2" s="62"/>
      <c r="C2" s="63"/>
      <c r="D2" s="63"/>
      <c r="E2" s="182">
        <f>'Provisions Covering Sheet'!J4</f>
        <v>46021</v>
      </c>
    </row>
    <row r="3" spans="1:5" x14ac:dyDescent="0.25">
      <c r="A3" s="64"/>
      <c r="B3" s="62"/>
      <c r="C3" s="266"/>
      <c r="D3" s="266"/>
      <c r="E3" s="266"/>
    </row>
    <row r="4" spans="1:5" ht="15.5" x14ac:dyDescent="0.35">
      <c r="A4" s="65"/>
      <c r="B4" s="61"/>
      <c r="C4" s="63"/>
      <c r="D4" s="63"/>
      <c r="E4" s="63"/>
    </row>
    <row r="6" spans="1:5" ht="20.25" customHeight="1" x14ac:dyDescent="0.3">
      <c r="A6" s="127" t="s">
        <v>19</v>
      </c>
      <c r="B6" s="127" t="s">
        <v>20</v>
      </c>
      <c r="C6" s="267" t="s">
        <v>44</v>
      </c>
      <c r="D6" s="267"/>
      <c r="E6" s="267"/>
    </row>
    <row r="7" spans="1:5" ht="13" x14ac:dyDescent="0.3">
      <c r="A7" s="70"/>
      <c r="B7" s="66"/>
      <c r="C7" s="67" t="s">
        <v>45</v>
      </c>
      <c r="D7" s="67" t="s">
        <v>20</v>
      </c>
      <c r="E7" s="67" t="s">
        <v>46</v>
      </c>
    </row>
    <row r="8" spans="1:5" ht="13" x14ac:dyDescent="0.3">
      <c r="A8" s="70"/>
      <c r="B8" s="66"/>
      <c r="C8" s="67"/>
      <c r="D8" s="67" t="s">
        <v>47</v>
      </c>
      <c r="E8" s="68"/>
    </row>
    <row r="9" spans="1:5" ht="13" x14ac:dyDescent="0.3">
      <c r="A9" s="128"/>
      <c r="B9" s="125" t="s">
        <v>30</v>
      </c>
      <c r="C9" s="69"/>
      <c r="D9" s="69"/>
      <c r="E9" s="69">
        <f>C9*D9*0.8</f>
        <v>0</v>
      </c>
    </row>
    <row r="10" spans="1:5" ht="13" x14ac:dyDescent="0.3">
      <c r="A10" s="128"/>
      <c r="B10" s="125" t="s">
        <v>30</v>
      </c>
      <c r="C10" s="69"/>
      <c r="D10" s="69"/>
      <c r="E10" s="69">
        <f t="shared" ref="E10:E12" si="0">C10*D10*0.8</f>
        <v>0</v>
      </c>
    </row>
    <row r="11" spans="1:5" ht="13" x14ac:dyDescent="0.3">
      <c r="A11" s="128"/>
      <c r="B11" s="125" t="s">
        <v>30</v>
      </c>
      <c r="C11" s="69"/>
      <c r="D11" s="69"/>
      <c r="E11" s="69">
        <f t="shared" si="0"/>
        <v>0</v>
      </c>
    </row>
    <row r="12" spans="1:5" ht="13" x14ac:dyDescent="0.3">
      <c r="A12" s="128"/>
      <c r="B12" s="125" t="s">
        <v>30</v>
      </c>
      <c r="C12" s="69"/>
      <c r="D12" s="69"/>
      <c r="E12" s="69">
        <f t="shared" si="0"/>
        <v>0</v>
      </c>
    </row>
    <row r="13" spans="1:5" ht="13" x14ac:dyDescent="0.3">
      <c r="A13" s="128" t="s">
        <v>46</v>
      </c>
      <c r="B13" s="125"/>
      <c r="C13" s="69"/>
      <c r="D13" s="69"/>
      <c r="E13" s="69">
        <f>SUM(E9:E12)</f>
        <v>0</v>
      </c>
    </row>
    <row r="14" spans="1:5" ht="13" x14ac:dyDescent="0.3">
      <c r="A14" s="128"/>
      <c r="B14" s="125"/>
      <c r="C14" s="69"/>
      <c r="D14" s="69"/>
      <c r="E14" s="69"/>
    </row>
    <row r="15" spans="1:5" ht="13" x14ac:dyDescent="0.3">
      <c r="A15" s="70"/>
      <c r="B15" s="160" t="s">
        <v>30</v>
      </c>
      <c r="C15" s="69"/>
      <c r="D15" s="69"/>
      <c r="E15" s="69">
        <f>C15*D15*0.8</f>
        <v>0</v>
      </c>
    </row>
    <row r="16" spans="1:5" ht="13" x14ac:dyDescent="0.3">
      <c r="A16" s="70"/>
      <c r="B16" s="160" t="s">
        <v>30</v>
      </c>
      <c r="C16" s="69"/>
      <c r="D16" s="69"/>
      <c r="E16" s="69">
        <f>C16*D16*0.8</f>
        <v>0</v>
      </c>
    </row>
    <row r="17" spans="1:5" ht="13" x14ac:dyDescent="0.3">
      <c r="A17" s="47"/>
      <c r="B17" s="112" t="s">
        <v>30</v>
      </c>
      <c r="C17" s="69"/>
      <c r="D17" s="69"/>
      <c r="E17" s="69">
        <f>C17*D17*0.8</f>
        <v>0</v>
      </c>
    </row>
    <row r="18" spans="1:5" ht="13" x14ac:dyDescent="0.3">
      <c r="A18" s="70" t="s">
        <v>46</v>
      </c>
      <c r="B18" s="126"/>
      <c r="C18" s="151"/>
      <c r="D18" s="152"/>
      <c r="E18" s="69">
        <f>SUM(E15:E17)</f>
        <v>0</v>
      </c>
    </row>
    <row r="19" spans="1:5" ht="13" x14ac:dyDescent="0.3">
      <c r="A19" s="70"/>
      <c r="B19" s="126"/>
      <c r="C19" s="151"/>
      <c r="D19" s="152"/>
      <c r="E19" s="69"/>
    </row>
    <row r="20" spans="1:5" ht="13" x14ac:dyDescent="0.3">
      <c r="A20" s="70" t="s">
        <v>48</v>
      </c>
      <c r="B20" s="66"/>
      <c r="C20" s="71"/>
      <c r="D20" s="71"/>
      <c r="E20" s="72">
        <f>E13+E18</f>
        <v>0</v>
      </c>
    </row>
    <row r="21" spans="1:5" ht="13" x14ac:dyDescent="0.3">
      <c r="A21" s="70"/>
      <c r="B21" s="66"/>
      <c r="C21" s="71"/>
      <c r="D21" s="71"/>
      <c r="E21" s="71"/>
    </row>
    <row r="22" spans="1:5" ht="13" x14ac:dyDescent="0.3">
      <c r="A22" s="70"/>
      <c r="B22" s="66"/>
      <c r="C22" s="71"/>
      <c r="D22" s="71"/>
      <c r="E22" s="71"/>
    </row>
    <row r="26" spans="1:5" x14ac:dyDescent="0.25">
      <c r="C26" t="str">
        <f>'Provisions Covering Sheet'!L31</f>
        <v>Master name</v>
      </c>
    </row>
    <row r="27" spans="1:5" x14ac:dyDescent="0.25">
      <c r="C27" t="str">
        <f>'Provisions Covering Sheet'!L32:L32</f>
        <v>Vessel Name</v>
      </c>
    </row>
  </sheetData>
  <mergeCells count="2">
    <mergeCell ref="C3:E3"/>
    <mergeCell ref="C6:E6"/>
  </mergeCells>
  <pageMargins left="1" right="0.7" top="1" bottom="0.75" header="0.3" footer="0.3"/>
  <pageSetup paperSize="9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Provisions Covering Sheet</vt:lpstr>
      <vt:lpstr>Shipstaff Manday Calculation</vt:lpstr>
      <vt:lpstr>CONSOLIDATED</vt:lpstr>
      <vt:lpstr>OUTPORT MESSING</vt:lpstr>
      <vt:lpstr>Spoiled Items </vt:lpstr>
      <vt:lpstr>CONSOLIDATED!Print_Area</vt:lpstr>
      <vt:lpstr>'Provisions Covering Sheet'!Print_Area</vt:lpstr>
      <vt:lpstr>'Shipstaff Manday Calculation'!Print_Area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Kirthivasan</cp:lastModifiedBy>
  <cp:lastPrinted>2026-01-11T11:31:21Z</cp:lastPrinted>
  <dcterms:created xsi:type="dcterms:W3CDTF">2018-04-06T08:00:02Z</dcterms:created>
  <dcterms:modified xsi:type="dcterms:W3CDTF">2026-02-08T12:13:16Z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7949f441-f50a-4e93-bec8-4ffc5faef49a</vt:lpwstr>
  </property>
</Properties>
</file>